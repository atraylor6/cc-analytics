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gilbert\Documents\Python_Local\"/>
    </mc:Choice>
  </mc:AlternateContent>
  <xr:revisionPtr revIDLastSave="0" documentId="8_{1763EB7A-F716-4DEA-8182-8C3387CC6130}" xr6:coauthVersionLast="47" xr6:coauthVersionMax="47" xr10:uidLastSave="{00000000-0000-0000-0000-000000000000}"/>
  <bookViews>
    <workbookView xWindow="-120" yWindow="-120" windowWidth="29040" windowHeight="15720" xr2:uid="{112A9C13-0F6E-4077-BDC5-4168D8CD9667}"/>
  </bookViews>
  <sheets>
    <sheet name="Index Data" sheetId="1" r:id="rId1"/>
    <sheet name="Signals and Model Returns" sheetId="2" r:id="rId2"/>
    <sheet name="GIPS Returns" sheetId="3" r:id="rId3"/>
    <sheet name="Bloomberg Model Retur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3" i="1" l="1" a="1"/>
  <c r="A3" i="1" a="1"/>
  <c r="A1" i="1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G19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J3" i="4" a="1"/>
  <c r="AF3" i="4" a="1"/>
  <c r="AH3" i="4" a="1"/>
  <c r="AC3" i="4" a="1"/>
  <c r="Z3" i="4" a="1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X3" i="4" a="1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U3" i="4" a="1"/>
  <c r="R3" i="4" a="1"/>
  <c r="P3" i="4" a="1"/>
  <c r="N3" i="4" a="1"/>
  <c r="H3" i="4" a="1"/>
  <c r="F3" i="4" a="1"/>
  <c r="D3" i="4" a="1"/>
  <c r="K3" i="4" a="1"/>
  <c r="A3" i="4" a="1"/>
  <c r="AH3" i="1" l="1"/>
  <c r="A3" i="1"/>
  <c r="AJ3" i="4"/>
  <c r="AF3" i="4"/>
  <c r="AH3" i="4"/>
  <c r="AC3" i="4"/>
  <c r="AG4" i="4"/>
  <c r="AE4" i="4"/>
  <c r="Z3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67" i="4"/>
  <c r="AA66" i="4"/>
  <c r="AA65" i="4"/>
  <c r="AA64" i="4"/>
  <c r="AA63" i="4"/>
  <c r="AA62" i="4"/>
  <c r="X3" i="4"/>
  <c r="U3" i="4"/>
  <c r="W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S160" i="4"/>
  <c r="S159" i="4"/>
  <c r="S158" i="4"/>
  <c r="S157" i="4"/>
  <c r="S156" i="4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S128" i="4"/>
  <c r="S127" i="4"/>
  <c r="S126" i="4"/>
  <c r="S82" i="4"/>
  <c r="S79" i="4"/>
  <c r="S77" i="4"/>
  <c r="S75" i="4"/>
  <c r="S74" i="4"/>
  <c r="S73" i="4"/>
  <c r="S70" i="4"/>
  <c r="S68" i="4"/>
  <c r="S66" i="4"/>
  <c r="S63" i="4"/>
  <c r="S61" i="4"/>
  <c r="S59" i="4"/>
  <c r="S57" i="4"/>
  <c r="S54" i="4"/>
  <c r="S53" i="4"/>
  <c r="S51" i="4"/>
  <c r="S49" i="4"/>
  <c r="S46" i="4"/>
  <c r="S45" i="4"/>
  <c r="S43" i="4"/>
  <c r="S41" i="4"/>
  <c r="S39" i="4"/>
  <c r="S38" i="4"/>
  <c r="S36" i="4"/>
  <c r="S34" i="4"/>
  <c r="S32" i="4"/>
  <c r="S29" i="4"/>
  <c r="S26" i="4"/>
  <c r="S125" i="4"/>
  <c r="S124" i="4"/>
  <c r="S123" i="4"/>
  <c r="S122" i="4"/>
  <c r="S121" i="4"/>
  <c r="S120" i="4"/>
  <c r="S119" i="4"/>
  <c r="S118" i="4"/>
  <c r="S117" i="4"/>
  <c r="S116" i="4"/>
  <c r="S115" i="4"/>
  <c r="S114" i="4"/>
  <c r="S113" i="4"/>
  <c r="S112" i="4"/>
  <c r="S111" i="4"/>
  <c r="S110" i="4"/>
  <c r="S109" i="4"/>
  <c r="S108" i="4"/>
  <c r="S107" i="4"/>
  <c r="S106" i="4"/>
  <c r="S105" i="4"/>
  <c r="S104" i="4"/>
  <c r="S103" i="4"/>
  <c r="S102" i="4"/>
  <c r="S101" i="4"/>
  <c r="S100" i="4"/>
  <c r="S99" i="4"/>
  <c r="S98" i="4"/>
  <c r="S97" i="4"/>
  <c r="S96" i="4"/>
  <c r="S95" i="4"/>
  <c r="S94" i="4"/>
  <c r="S93" i="4"/>
  <c r="S92" i="4"/>
  <c r="S91" i="4"/>
  <c r="S90" i="4"/>
  <c r="S89" i="4"/>
  <c r="S88" i="4"/>
  <c r="S87" i="4"/>
  <c r="S86" i="4"/>
  <c r="S85" i="4"/>
  <c r="S84" i="4"/>
  <c r="S83" i="4"/>
  <c r="S81" i="4"/>
  <c r="S80" i="4"/>
  <c r="S78" i="4"/>
  <c r="S76" i="4"/>
  <c r="S72" i="4"/>
  <c r="S71" i="4"/>
  <c r="S69" i="4"/>
  <c r="S67" i="4"/>
  <c r="S64" i="4"/>
  <c r="S62" i="4"/>
  <c r="S60" i="4"/>
  <c r="S58" i="4"/>
  <c r="S56" i="4"/>
  <c r="S55" i="4"/>
  <c r="S52" i="4"/>
  <c r="S50" i="4"/>
  <c r="S48" i="4"/>
  <c r="S44" i="4"/>
  <c r="S42" i="4"/>
  <c r="S40" i="4"/>
  <c r="S37" i="4"/>
  <c r="S35" i="4"/>
  <c r="S33" i="4"/>
  <c r="S31" i="4"/>
  <c r="S30" i="4"/>
  <c r="S25" i="4"/>
  <c r="S24" i="4"/>
  <c r="S23" i="4"/>
  <c r="S22" i="4"/>
  <c r="S20" i="4"/>
  <c r="S19" i="4"/>
  <c r="S17" i="4"/>
  <c r="S14" i="4"/>
  <c r="S12" i="4"/>
  <c r="S9" i="4"/>
  <c r="S6" i="4"/>
  <c r="S65" i="4"/>
  <c r="S27" i="4"/>
  <c r="S21" i="4"/>
  <c r="S18" i="4"/>
  <c r="S16" i="4"/>
  <c r="S13" i="4"/>
  <c r="S8" i="4"/>
  <c r="R3" i="4"/>
  <c r="S199" i="4"/>
  <c r="S196" i="4"/>
  <c r="S193" i="4"/>
  <c r="S190" i="4"/>
  <c r="S188" i="4"/>
  <c r="S185" i="4"/>
  <c r="S28" i="4"/>
  <c r="S10" i="4"/>
  <c r="S5" i="4"/>
  <c r="S198" i="4"/>
  <c r="S195" i="4"/>
  <c r="S191" i="4"/>
  <c r="S187" i="4"/>
  <c r="S184" i="4"/>
  <c r="S47" i="4"/>
  <c r="S15" i="4"/>
  <c r="S11" i="4"/>
  <c r="S7" i="4"/>
  <c r="S197" i="4"/>
  <c r="S194" i="4"/>
  <c r="S192" i="4"/>
  <c r="S189" i="4"/>
  <c r="S186" i="4"/>
  <c r="P3" i="4"/>
  <c r="S4" i="4"/>
  <c r="Q57" i="4"/>
  <c r="Q56" i="4"/>
  <c r="Q55" i="4"/>
  <c r="Q54" i="4"/>
  <c r="Q53" i="4"/>
  <c r="Q52" i="4"/>
  <c r="Q45" i="4"/>
  <c r="Q42" i="4"/>
  <c r="Q40" i="4"/>
  <c r="Q38" i="4"/>
  <c r="Q36" i="4"/>
  <c r="Q33" i="4"/>
  <c r="Q31" i="4"/>
  <c r="Q29" i="4"/>
  <c r="Q26" i="4"/>
  <c r="Q24" i="4"/>
  <c r="Q22" i="4"/>
  <c r="Q19" i="4"/>
  <c r="Q17" i="4"/>
  <c r="Q15" i="4"/>
  <c r="Q13" i="4"/>
  <c r="Q11" i="4"/>
  <c r="Q10" i="4"/>
  <c r="Q8" i="4"/>
  <c r="Q6" i="4"/>
  <c r="Q5" i="4"/>
  <c r="Q198" i="4"/>
  <c r="Q197" i="4"/>
  <c r="Q196" i="4"/>
  <c r="Q194" i="4"/>
  <c r="Q192" i="4"/>
  <c r="Q190" i="4"/>
  <c r="Q186" i="4"/>
  <c r="Q185" i="4"/>
  <c r="Q183" i="4"/>
  <c r="Q179" i="4"/>
  <c r="Q177" i="4"/>
  <c r="Q174" i="4"/>
  <c r="Q171" i="4"/>
  <c r="Q168" i="4"/>
  <c r="Q165" i="4"/>
  <c r="Q160" i="4"/>
  <c r="Q157" i="4"/>
  <c r="Q155" i="4"/>
  <c r="Q153" i="4"/>
  <c r="Q146" i="4"/>
  <c r="Q142" i="4"/>
  <c r="Q139" i="4"/>
  <c r="Q137" i="4"/>
  <c r="Q134" i="4"/>
  <c r="Q131" i="4"/>
  <c r="Q129" i="4"/>
  <c r="Q126" i="4"/>
  <c r="Q124" i="4"/>
  <c r="Q122" i="4"/>
  <c r="Q120" i="4"/>
  <c r="Q119" i="4"/>
  <c r="Q114" i="4"/>
  <c r="Q111" i="4"/>
  <c r="Q109" i="4"/>
  <c r="Q106" i="4"/>
  <c r="Q104" i="4"/>
  <c r="Q101" i="4"/>
  <c r="Q98" i="4"/>
  <c r="Q95" i="4"/>
  <c r="Q94" i="4"/>
  <c r="Q92" i="4"/>
  <c r="Q89" i="4"/>
  <c r="Q87" i="4"/>
  <c r="Q84" i="4"/>
  <c r="Q80" i="4"/>
  <c r="Q77" i="4"/>
  <c r="Q75" i="4"/>
  <c r="Q71" i="4"/>
  <c r="Q69" i="4"/>
  <c r="Q66" i="4"/>
  <c r="Q64" i="4"/>
  <c r="Q62" i="4"/>
  <c r="Q59" i="4"/>
  <c r="Q51" i="4"/>
  <c r="Q50" i="4"/>
  <c r="Q49" i="4"/>
  <c r="Q48" i="4"/>
  <c r="Q47" i="4"/>
  <c r="Q46" i="4"/>
  <c r="Q44" i="4"/>
  <c r="Q43" i="4"/>
  <c r="Q41" i="4"/>
  <c r="Q39" i="4"/>
  <c r="Q37" i="4"/>
  <c r="Q35" i="4"/>
  <c r="Q34" i="4"/>
  <c r="Q32" i="4"/>
  <c r="Q30" i="4"/>
  <c r="Q28" i="4"/>
  <c r="Q27" i="4"/>
  <c r="Q25" i="4"/>
  <c r="Q23" i="4"/>
  <c r="Q21" i="4"/>
  <c r="Q20" i="4"/>
  <c r="Q18" i="4"/>
  <c r="Q16" i="4"/>
  <c r="Q14" i="4"/>
  <c r="Q12" i="4"/>
  <c r="Q9" i="4"/>
  <c r="Q7" i="4"/>
  <c r="Q4" i="4"/>
  <c r="Q188" i="4"/>
  <c r="Q180" i="4"/>
  <c r="Q176" i="4"/>
  <c r="Q173" i="4"/>
  <c r="Q170" i="4"/>
  <c r="Q167" i="4"/>
  <c r="Q164" i="4"/>
  <c r="Q161" i="4"/>
  <c r="Q158" i="4"/>
  <c r="Q151" i="4"/>
  <c r="Q148" i="4"/>
  <c r="Q144" i="4"/>
  <c r="Q141" i="4"/>
  <c r="Q138" i="4"/>
  <c r="Q135" i="4"/>
  <c r="Q132" i="4"/>
  <c r="Q127" i="4"/>
  <c r="Q123" i="4"/>
  <c r="Q121" i="4"/>
  <c r="Q116" i="4"/>
  <c r="Q112" i="4"/>
  <c r="Q107" i="4"/>
  <c r="Q102" i="4"/>
  <c r="Q96" i="4"/>
  <c r="Q91" i="4"/>
  <c r="Q86" i="4"/>
  <c r="Q82" i="4"/>
  <c r="Q76" i="4"/>
  <c r="Q73" i="4"/>
  <c r="Q70" i="4"/>
  <c r="Q67" i="4"/>
  <c r="Q63" i="4"/>
  <c r="Q60" i="4"/>
  <c r="Q199" i="4"/>
  <c r="Q195" i="4"/>
  <c r="Q193" i="4"/>
  <c r="Q191" i="4"/>
  <c r="Q189" i="4"/>
  <c r="Q187" i="4"/>
  <c r="Q184" i="4"/>
  <c r="Q182" i="4"/>
  <c r="Q181" i="4"/>
  <c r="Q178" i="4"/>
  <c r="Q175" i="4"/>
  <c r="Q172" i="4"/>
  <c r="Q169" i="4"/>
  <c r="Q166" i="4"/>
  <c r="Q163" i="4"/>
  <c r="Q162" i="4"/>
  <c r="Q159" i="4"/>
  <c r="Q156" i="4"/>
  <c r="Q154" i="4"/>
  <c r="Q152" i="4"/>
  <c r="Q150" i="4"/>
  <c r="Q149" i="4"/>
  <c r="Q147" i="4"/>
  <c r="Q145" i="4"/>
  <c r="Q143" i="4"/>
  <c r="Q140" i="4"/>
  <c r="Q136" i="4"/>
  <c r="Q133" i="4"/>
  <c r="Q130" i="4"/>
  <c r="Q128" i="4"/>
  <c r="Q125" i="4"/>
  <c r="Q118" i="4"/>
  <c r="Q117" i="4"/>
  <c r="Q115" i="4"/>
  <c r="Q113" i="4"/>
  <c r="Q110" i="4"/>
  <c r="Q108" i="4"/>
  <c r="Q105" i="4"/>
  <c r="Q103" i="4"/>
  <c r="Q100" i="4"/>
  <c r="Q99" i="4"/>
  <c r="Q97" i="4"/>
  <c r="Q93" i="4"/>
  <c r="Q90" i="4"/>
  <c r="Q88" i="4"/>
  <c r="Q85" i="4"/>
  <c r="Q83" i="4"/>
  <c r="Q81" i="4"/>
  <c r="Q79" i="4"/>
  <c r="Q78" i="4"/>
  <c r="Q74" i="4"/>
  <c r="Q72" i="4"/>
  <c r="Q68" i="4"/>
  <c r="Q65" i="4"/>
  <c r="Q61" i="4"/>
  <c r="Q58" i="4"/>
  <c r="N3" i="4"/>
  <c r="H3" i="4"/>
  <c r="F3" i="4"/>
  <c r="D3" i="4"/>
  <c r="O71" i="4"/>
  <c r="O70" i="4"/>
  <c r="O69" i="4"/>
  <c r="O68" i="4"/>
  <c r="O67" i="4"/>
  <c r="O66" i="4"/>
  <c r="O65" i="4"/>
  <c r="O47" i="4"/>
  <c r="O45" i="4"/>
  <c r="O43" i="4"/>
  <c r="O42" i="4"/>
  <c r="O40" i="4"/>
  <c r="O37" i="4"/>
  <c r="O35" i="4"/>
  <c r="O34" i="4"/>
  <c r="O32" i="4"/>
  <c r="O30" i="4"/>
  <c r="O28" i="4"/>
  <c r="O25" i="4"/>
  <c r="O22" i="4"/>
  <c r="O20" i="4"/>
  <c r="O18" i="4"/>
  <c r="O16" i="4"/>
  <c r="O13" i="4"/>
  <c r="O11" i="4"/>
  <c r="O9" i="4"/>
  <c r="O7" i="4"/>
  <c r="O5" i="4"/>
  <c r="O152" i="4"/>
  <c r="O148" i="4"/>
  <c r="O145" i="4"/>
  <c r="O142" i="4"/>
  <c r="O139" i="4"/>
  <c r="O135" i="4"/>
  <c r="O132" i="4"/>
  <c r="O127" i="4"/>
  <c r="O124" i="4"/>
  <c r="O121" i="4"/>
  <c r="O112" i="4"/>
  <c r="O107" i="4"/>
  <c r="O103" i="4"/>
  <c r="O100" i="4"/>
  <c r="O97" i="4"/>
  <c r="O94" i="4"/>
  <c r="O91" i="4"/>
  <c r="O88" i="4"/>
  <c r="O85" i="4"/>
  <c r="O82" i="4"/>
  <c r="O79" i="4"/>
  <c r="O75" i="4"/>
  <c r="O72" i="4"/>
  <c r="O64" i="4"/>
  <c r="O63" i="4"/>
  <c r="O62" i="4"/>
  <c r="O61" i="4"/>
  <c r="O60" i="4"/>
  <c r="O59" i="4"/>
  <c r="O58" i="4"/>
  <c r="O57" i="4"/>
  <c r="O56" i="4"/>
  <c r="O55" i="4"/>
  <c r="O54" i="4"/>
  <c r="O53" i="4"/>
  <c r="O52" i="4"/>
  <c r="O51" i="4"/>
  <c r="O50" i="4"/>
  <c r="O49" i="4"/>
  <c r="O48" i="4"/>
  <c r="O46" i="4"/>
  <c r="O44" i="4"/>
  <c r="O41" i="4"/>
  <c r="O39" i="4"/>
  <c r="O38" i="4"/>
  <c r="O36" i="4"/>
  <c r="O33" i="4"/>
  <c r="O31" i="4"/>
  <c r="O29" i="4"/>
  <c r="O27" i="4"/>
  <c r="O26" i="4"/>
  <c r="O24" i="4"/>
  <c r="O23" i="4"/>
  <c r="O21" i="4"/>
  <c r="O19" i="4"/>
  <c r="O17" i="4"/>
  <c r="O15" i="4"/>
  <c r="O14" i="4"/>
  <c r="O12" i="4"/>
  <c r="O10" i="4"/>
  <c r="O8" i="4"/>
  <c r="O6" i="4"/>
  <c r="O4" i="4"/>
  <c r="O150" i="4"/>
  <c r="O147" i="4"/>
  <c r="O144" i="4"/>
  <c r="O140" i="4"/>
  <c r="O138" i="4"/>
  <c r="O134" i="4"/>
  <c r="O130" i="4"/>
  <c r="O128" i="4"/>
  <c r="O126" i="4"/>
  <c r="O123" i="4"/>
  <c r="O119" i="4"/>
  <c r="O118" i="4"/>
  <c r="O116" i="4"/>
  <c r="O114" i="4"/>
  <c r="O111" i="4"/>
  <c r="O108" i="4"/>
  <c r="O105" i="4"/>
  <c r="O102" i="4"/>
  <c r="O98" i="4"/>
  <c r="O95" i="4"/>
  <c r="O93" i="4"/>
  <c r="O90" i="4"/>
  <c r="O87" i="4"/>
  <c r="O84" i="4"/>
  <c r="O81" i="4"/>
  <c r="O77" i="4"/>
  <c r="O74" i="4"/>
  <c r="O199" i="4"/>
  <c r="O198" i="4"/>
  <c r="O197" i="4"/>
  <c r="O196" i="4"/>
  <c r="O195" i="4"/>
  <c r="O194" i="4"/>
  <c r="O193" i="4"/>
  <c r="O192" i="4"/>
  <c r="O191" i="4"/>
  <c r="O190" i="4"/>
  <c r="O189" i="4"/>
  <c r="O188" i="4"/>
  <c r="O187" i="4"/>
  <c r="O186" i="4"/>
  <c r="O185" i="4"/>
  <c r="O184" i="4"/>
  <c r="O183" i="4"/>
  <c r="O182" i="4"/>
  <c r="O181" i="4"/>
  <c r="O180" i="4"/>
  <c r="O179" i="4"/>
  <c r="O178" i="4"/>
  <c r="O177" i="4"/>
  <c r="O176" i="4"/>
  <c r="O175" i="4"/>
  <c r="O174" i="4"/>
  <c r="O173" i="4"/>
  <c r="O172" i="4"/>
  <c r="O171" i="4"/>
  <c r="O170" i="4"/>
  <c r="O169" i="4"/>
  <c r="O168" i="4"/>
  <c r="O167" i="4"/>
  <c r="O166" i="4"/>
  <c r="O165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51" i="4"/>
  <c r="O149" i="4"/>
  <c r="O146" i="4"/>
  <c r="O143" i="4"/>
  <c r="O141" i="4"/>
  <c r="O137" i="4"/>
  <c r="O136" i="4"/>
  <c r="O133" i="4"/>
  <c r="O131" i="4"/>
  <c r="O129" i="4"/>
  <c r="O125" i="4"/>
  <c r="O122" i="4"/>
  <c r="O120" i="4"/>
  <c r="O117" i="4"/>
  <c r="O115" i="4"/>
  <c r="O113" i="4"/>
  <c r="O110" i="4"/>
  <c r="O109" i="4"/>
  <c r="O106" i="4"/>
  <c r="O104" i="4"/>
  <c r="O101" i="4"/>
  <c r="O99" i="4"/>
  <c r="O96" i="4"/>
  <c r="O92" i="4"/>
  <c r="O89" i="4"/>
  <c r="O86" i="4"/>
  <c r="O83" i="4"/>
  <c r="O80" i="4"/>
  <c r="O78" i="4"/>
  <c r="O76" i="4"/>
  <c r="O73" i="4"/>
  <c r="K3" i="4"/>
  <c r="E199" i="4"/>
  <c r="E198" i="4"/>
  <c r="E197" i="4"/>
  <c r="E196" i="4"/>
  <c r="E195" i="4"/>
  <c r="E194" i="4"/>
  <c r="E193" i="4"/>
  <c r="E192" i="4"/>
  <c r="E191" i="4"/>
  <c r="E187" i="4"/>
  <c r="E185" i="4"/>
  <c r="E183" i="4"/>
  <c r="E180" i="4"/>
  <c r="E178" i="4"/>
  <c r="E176" i="4"/>
  <c r="E174" i="4"/>
  <c r="E172" i="4"/>
  <c r="E171" i="4"/>
  <c r="E168" i="4"/>
  <c r="E166" i="4"/>
  <c r="E164" i="4"/>
  <c r="E161" i="4"/>
  <c r="E159" i="4"/>
  <c r="E157" i="4"/>
  <c r="E155" i="4"/>
  <c r="E153" i="4"/>
  <c r="E151" i="4"/>
  <c r="E149" i="4"/>
  <c r="E147" i="4"/>
  <c r="E146" i="4"/>
  <c r="E144" i="4"/>
  <c r="E142" i="4"/>
  <c r="E138" i="4"/>
  <c r="E136" i="4"/>
  <c r="E134" i="4"/>
  <c r="E133" i="4"/>
  <c r="E131" i="4"/>
  <c r="E129" i="4"/>
  <c r="E127" i="4"/>
  <c r="E125" i="4"/>
  <c r="E123" i="4"/>
  <c r="E121" i="4"/>
  <c r="E119" i="4"/>
  <c r="E117" i="4"/>
  <c r="E116" i="4"/>
  <c r="E113" i="4"/>
  <c r="E111" i="4"/>
  <c r="E109" i="4"/>
  <c r="E108" i="4"/>
  <c r="E107" i="4"/>
  <c r="E105" i="4"/>
  <c r="E103" i="4"/>
  <c r="E101" i="4"/>
  <c r="E99" i="4"/>
  <c r="E97" i="4"/>
  <c r="E95" i="4"/>
  <c r="E93" i="4"/>
  <c r="E89" i="4"/>
  <c r="E87" i="4"/>
  <c r="E85" i="4"/>
  <c r="E82" i="4"/>
  <c r="E80" i="4"/>
  <c r="E78" i="4"/>
  <c r="E77" i="4"/>
  <c r="E75" i="4"/>
  <c r="E73" i="4"/>
  <c r="E71" i="4"/>
  <c r="E69" i="4"/>
  <c r="E68" i="4"/>
  <c r="E64" i="4"/>
  <c r="E62" i="4"/>
  <c r="E60" i="4"/>
  <c r="E58" i="4"/>
  <c r="E56" i="4"/>
  <c r="E54" i="4"/>
  <c r="E52" i="4"/>
  <c r="E50" i="4"/>
  <c r="E49" i="4"/>
  <c r="E48" i="4"/>
  <c r="E47" i="4"/>
  <c r="E45" i="4"/>
  <c r="E42" i="4"/>
  <c r="E39" i="4"/>
  <c r="E37" i="4"/>
  <c r="E28" i="4"/>
  <c r="E25" i="4"/>
  <c r="E23" i="4"/>
  <c r="E21" i="4"/>
  <c r="E19" i="4"/>
  <c r="E18" i="4"/>
  <c r="E16" i="4"/>
  <c r="E13" i="4"/>
  <c r="E10" i="4"/>
  <c r="E190" i="4"/>
  <c r="E189" i="4"/>
  <c r="E188" i="4"/>
  <c r="E186" i="4"/>
  <c r="E184" i="4"/>
  <c r="E182" i="4"/>
  <c r="E181" i="4"/>
  <c r="E179" i="4"/>
  <c r="E177" i="4"/>
  <c r="E175" i="4"/>
  <c r="E173" i="4"/>
  <c r="E170" i="4"/>
  <c r="E169" i="4"/>
  <c r="E167" i="4"/>
  <c r="E165" i="4"/>
  <c r="E163" i="4"/>
  <c r="E162" i="4"/>
  <c r="E160" i="4"/>
  <c r="E158" i="4"/>
  <c r="E156" i="4"/>
  <c r="E154" i="4"/>
  <c r="E152" i="4"/>
  <c r="E150" i="4"/>
  <c r="E148" i="4"/>
  <c r="E145" i="4"/>
  <c r="E143" i="4"/>
  <c r="E141" i="4"/>
  <c r="E140" i="4"/>
  <c r="E139" i="4"/>
  <c r="E137" i="4"/>
  <c r="E135" i="4"/>
  <c r="E132" i="4"/>
  <c r="E130" i="4"/>
  <c r="E128" i="4"/>
  <c r="E126" i="4"/>
  <c r="E124" i="4"/>
  <c r="E122" i="4"/>
  <c r="E120" i="4"/>
  <c r="E118" i="4"/>
  <c r="E115" i="4"/>
  <c r="E114" i="4"/>
  <c r="E112" i="4"/>
  <c r="E110" i="4"/>
  <c r="E106" i="4"/>
  <c r="E104" i="4"/>
  <c r="E102" i="4"/>
  <c r="E100" i="4"/>
  <c r="E98" i="4"/>
  <c r="E96" i="4"/>
  <c r="E94" i="4"/>
  <c r="E92" i="4"/>
  <c r="E91" i="4"/>
  <c r="E90" i="4"/>
  <c r="E88" i="4"/>
  <c r="E86" i="4"/>
  <c r="E84" i="4"/>
  <c r="E83" i="4"/>
  <c r="E81" i="4"/>
  <c r="E79" i="4"/>
  <c r="E76" i="4"/>
  <c r="E74" i="4"/>
  <c r="E72" i="4"/>
  <c r="E70" i="4"/>
  <c r="E67" i="4"/>
  <c r="E66" i="4"/>
  <c r="E65" i="4"/>
  <c r="E63" i="4"/>
  <c r="E61" i="4"/>
  <c r="E59" i="4"/>
  <c r="E57" i="4"/>
  <c r="E55" i="4"/>
  <c r="E53" i="4"/>
  <c r="E51" i="4"/>
  <c r="E46" i="4"/>
  <c r="E44" i="4"/>
  <c r="E43" i="4"/>
  <c r="E41" i="4"/>
  <c r="E40" i="4"/>
  <c r="E38" i="4"/>
  <c r="E36" i="4"/>
  <c r="E35" i="4"/>
  <c r="E34" i="4"/>
  <c r="E33" i="4"/>
  <c r="E32" i="4"/>
  <c r="E31" i="4"/>
  <c r="E30" i="4"/>
  <c r="E29" i="4"/>
  <c r="E27" i="4"/>
  <c r="E26" i="4"/>
  <c r="E24" i="4"/>
  <c r="E22" i="4"/>
  <c r="E20" i="4"/>
  <c r="E17" i="4"/>
  <c r="E15" i="4"/>
  <c r="E14" i="4"/>
  <c r="E12" i="4"/>
  <c r="E11" i="4"/>
  <c r="E9" i="4"/>
  <c r="E8" i="4"/>
  <c r="E7" i="4"/>
  <c r="E6" i="4"/>
  <c r="E5" i="4"/>
  <c r="M162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6" i="4"/>
  <c r="M105" i="4"/>
  <c r="M98" i="4"/>
  <c r="M89" i="4"/>
  <c r="M87" i="4"/>
  <c r="M84" i="4"/>
  <c r="M81" i="4"/>
  <c r="M78" i="4"/>
  <c r="M75" i="4"/>
  <c r="M73" i="4"/>
  <c r="M70" i="4"/>
  <c r="M65" i="4"/>
  <c r="M62" i="4"/>
  <c r="M60" i="4"/>
  <c r="M56" i="4"/>
  <c r="M53" i="4"/>
  <c r="M49" i="4"/>
  <c r="M46" i="4"/>
  <c r="M43" i="4"/>
  <c r="M40" i="4"/>
  <c r="M37" i="4"/>
  <c r="M34" i="4"/>
  <c r="M32" i="4"/>
  <c r="M30" i="4"/>
  <c r="M27" i="4"/>
  <c r="M21" i="4"/>
  <c r="M16" i="4"/>
  <c r="M7" i="4"/>
  <c r="M199" i="4"/>
  <c r="M198" i="4"/>
  <c r="M197" i="4"/>
  <c r="M196" i="4"/>
  <c r="M195" i="4"/>
  <c r="M194" i="4"/>
  <c r="M193" i="4"/>
  <c r="M192" i="4"/>
  <c r="M191" i="4"/>
  <c r="M190" i="4"/>
  <c r="M189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6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M107" i="4"/>
  <c r="M104" i="4"/>
  <c r="M102" i="4"/>
  <c r="M100" i="4"/>
  <c r="M97" i="4"/>
  <c r="M95" i="4"/>
  <c r="M93" i="4"/>
  <c r="M92" i="4"/>
  <c r="M91" i="4"/>
  <c r="M88" i="4"/>
  <c r="M85" i="4"/>
  <c r="M83" i="4"/>
  <c r="M80" i="4"/>
  <c r="M77" i="4"/>
  <c r="M72" i="4"/>
  <c r="M69" i="4"/>
  <c r="M66" i="4"/>
  <c r="M64" i="4"/>
  <c r="M59" i="4"/>
  <c r="M57" i="4"/>
  <c r="M54" i="4"/>
  <c r="M51" i="4"/>
  <c r="M48" i="4"/>
  <c r="M44" i="4"/>
  <c r="M42" i="4"/>
  <c r="M38" i="4"/>
  <c r="M35" i="4"/>
  <c r="M31" i="4"/>
  <c r="M26" i="4"/>
  <c r="M20" i="4"/>
  <c r="M18" i="4"/>
  <c r="M14" i="4"/>
  <c r="M10" i="4"/>
  <c r="M6" i="4"/>
  <c r="M163" i="4"/>
  <c r="M103" i="4"/>
  <c r="M101" i="4"/>
  <c r="M99" i="4"/>
  <c r="M96" i="4"/>
  <c r="M94" i="4"/>
  <c r="M90" i="4"/>
  <c r="M86" i="4"/>
  <c r="M82" i="4"/>
  <c r="M79" i="4"/>
  <c r="M76" i="4"/>
  <c r="M74" i="4"/>
  <c r="M71" i="4"/>
  <c r="M68" i="4"/>
  <c r="M63" i="4"/>
  <c r="M61" i="4"/>
  <c r="M58" i="4"/>
  <c r="M55" i="4"/>
  <c r="M52" i="4"/>
  <c r="M47" i="4"/>
  <c r="M41" i="4"/>
  <c r="M33" i="4"/>
  <c r="M28" i="4"/>
  <c r="M24" i="4"/>
  <c r="M22" i="4"/>
  <c r="M19" i="4"/>
  <c r="M15" i="4"/>
  <c r="M12" i="4"/>
  <c r="M8" i="4"/>
  <c r="M4" i="4"/>
  <c r="M67" i="4"/>
  <c r="M50" i="4"/>
  <c r="M45" i="4"/>
  <c r="M39" i="4"/>
  <c r="M36" i="4"/>
  <c r="M29" i="4"/>
  <c r="M25" i="4"/>
  <c r="M23" i="4"/>
  <c r="M17" i="4"/>
  <c r="M13" i="4"/>
  <c r="M11" i="4"/>
  <c r="M9" i="4"/>
  <c r="M5" i="4"/>
  <c r="I143" i="4"/>
  <c r="I126" i="4"/>
  <c r="I123" i="4"/>
  <c r="I121" i="4"/>
  <c r="I119" i="4"/>
  <c r="I117" i="4"/>
  <c r="I115" i="4"/>
  <c r="I112" i="4"/>
  <c r="I110" i="4"/>
  <c r="I108" i="4"/>
  <c r="I107" i="4"/>
  <c r="I105" i="4"/>
  <c r="I103" i="4"/>
  <c r="I102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0" i="4"/>
  <c r="I68" i="4"/>
  <c r="I66" i="4"/>
  <c r="I65" i="4"/>
  <c r="I63" i="4"/>
  <c r="I60" i="4"/>
  <c r="I56" i="4"/>
  <c r="I54" i="4"/>
  <c r="I50" i="4"/>
  <c r="I48" i="4"/>
  <c r="I45" i="4"/>
  <c r="I41" i="4"/>
  <c r="I40" i="4"/>
  <c r="I37" i="4"/>
  <c r="I36" i="4"/>
  <c r="I33" i="4"/>
  <c r="I32" i="4"/>
  <c r="I29" i="4"/>
  <c r="I25" i="4"/>
  <c r="I23" i="4"/>
  <c r="I21" i="4"/>
  <c r="I18" i="4"/>
  <c r="I15" i="4"/>
  <c r="I14" i="4"/>
  <c r="I12" i="4"/>
  <c r="I9" i="4"/>
  <c r="I6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5" i="4"/>
  <c r="I124" i="4"/>
  <c r="I122" i="4"/>
  <c r="I120" i="4"/>
  <c r="I118" i="4"/>
  <c r="I116" i="4"/>
  <c r="I114" i="4"/>
  <c r="I113" i="4"/>
  <c r="I111" i="4"/>
  <c r="I109" i="4"/>
  <c r="I106" i="4"/>
  <c r="I104" i="4"/>
  <c r="I101" i="4"/>
  <c r="I69" i="4"/>
  <c r="I67" i="4"/>
  <c r="I64" i="4"/>
  <c r="I62" i="4"/>
  <c r="I59" i="4"/>
  <c r="I58" i="4"/>
  <c r="I55" i="4"/>
  <c r="I52" i="4"/>
  <c r="I49" i="4"/>
  <c r="I46" i="4"/>
  <c r="I43" i="4"/>
  <c r="I39" i="4"/>
  <c r="I35" i="4"/>
  <c r="I30" i="4"/>
  <c r="I27" i="4"/>
  <c r="I22" i="4"/>
  <c r="I19" i="4"/>
  <c r="I13" i="4"/>
  <c r="I10" i="4"/>
  <c r="I7" i="4"/>
  <c r="I4" i="4"/>
  <c r="I71" i="4"/>
  <c r="I61" i="4"/>
  <c r="I57" i="4"/>
  <c r="I53" i="4"/>
  <c r="I51" i="4"/>
  <c r="I47" i="4"/>
  <c r="I44" i="4"/>
  <c r="I42" i="4"/>
  <c r="I38" i="4"/>
  <c r="I34" i="4"/>
  <c r="I31" i="4"/>
  <c r="I28" i="4"/>
  <c r="I26" i="4"/>
  <c r="I24" i="4"/>
  <c r="I20" i="4"/>
  <c r="I17" i="4"/>
  <c r="I16" i="4"/>
  <c r="I11" i="4"/>
  <c r="I8" i="4"/>
  <c r="I5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28" i="4"/>
  <c r="G120" i="4"/>
  <c r="G114" i="4"/>
  <c r="G81" i="4"/>
  <c r="G46" i="4"/>
  <c r="G132" i="4"/>
  <c r="G124" i="4"/>
  <c r="G121" i="4"/>
  <c r="G119" i="4"/>
  <c r="G116" i="4"/>
  <c r="G113" i="4"/>
  <c r="G111" i="4"/>
  <c r="G109" i="4"/>
  <c r="G106" i="4"/>
  <c r="G104" i="4"/>
  <c r="G101" i="4"/>
  <c r="G98" i="4"/>
  <c r="G96" i="4"/>
  <c r="G93" i="4"/>
  <c r="G91" i="4"/>
  <c r="G89" i="4"/>
  <c r="G86" i="4"/>
  <c r="G84" i="4"/>
  <c r="G82" i="4"/>
  <c r="G79" i="4"/>
  <c r="G77" i="4"/>
  <c r="G75" i="4"/>
  <c r="G74" i="4"/>
  <c r="G70" i="4"/>
  <c r="G61" i="4"/>
  <c r="G56" i="4"/>
  <c r="G52" i="4"/>
  <c r="G47" i="4"/>
  <c r="G44" i="4"/>
  <c r="G42" i="4"/>
  <c r="G40" i="4"/>
  <c r="G38" i="4"/>
  <c r="G37" i="4"/>
  <c r="G35" i="4"/>
  <c r="G34" i="4"/>
  <c r="G32" i="4"/>
  <c r="G30" i="4"/>
  <c r="G28" i="4"/>
  <c r="G23" i="4"/>
  <c r="G19" i="4"/>
  <c r="G15" i="4"/>
  <c r="G12" i="4"/>
  <c r="G9" i="4"/>
  <c r="G6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38" i="4"/>
  <c r="G137" i="4"/>
  <c r="G136" i="4"/>
  <c r="G135" i="4"/>
  <c r="G134" i="4"/>
  <c r="G133" i="4"/>
  <c r="G131" i="4"/>
  <c r="G130" i="4"/>
  <c r="G129" i="4"/>
  <c r="G127" i="4"/>
  <c r="G126" i="4"/>
  <c r="G125" i="4"/>
  <c r="G123" i="4"/>
  <c r="G122" i="4"/>
  <c r="G118" i="4"/>
  <c r="G117" i="4"/>
  <c r="G115" i="4"/>
  <c r="G112" i="4"/>
  <c r="G110" i="4"/>
  <c r="G108" i="4"/>
  <c r="G107" i="4"/>
  <c r="G105" i="4"/>
  <c r="G103" i="4"/>
  <c r="G102" i="4"/>
  <c r="G100" i="4"/>
  <c r="G99" i="4"/>
  <c r="G97" i="4"/>
  <c r="G95" i="4"/>
  <c r="G94" i="4"/>
  <c r="G92" i="4"/>
  <c r="G90" i="4"/>
  <c r="G88" i="4"/>
  <c r="G87" i="4"/>
  <c r="G83" i="4"/>
  <c r="G80" i="4"/>
  <c r="G76" i="4"/>
  <c r="G73" i="4"/>
  <c r="G69" i="4"/>
  <c r="G68" i="4"/>
  <c r="G66" i="4"/>
  <c r="G64" i="4"/>
  <c r="G62" i="4"/>
  <c r="G60" i="4"/>
  <c r="G58" i="4"/>
  <c r="G55" i="4"/>
  <c r="G54" i="4"/>
  <c r="G51" i="4"/>
  <c r="G49" i="4"/>
  <c r="G27" i="4"/>
  <c r="G25" i="4"/>
  <c r="G21" i="4"/>
  <c r="G17" i="4"/>
  <c r="G13" i="4"/>
  <c r="G11" i="4"/>
  <c r="G8" i="4"/>
  <c r="G5" i="4"/>
  <c r="G85" i="4"/>
  <c r="G78" i="4"/>
  <c r="G72" i="4"/>
  <c r="G71" i="4"/>
  <c r="G67" i="4"/>
  <c r="G65" i="4"/>
  <c r="G63" i="4"/>
  <c r="G59" i="4"/>
  <c r="G57" i="4"/>
  <c r="G53" i="4"/>
  <c r="G50" i="4"/>
  <c r="G48" i="4"/>
  <c r="G45" i="4"/>
  <c r="G43" i="4"/>
  <c r="G41" i="4"/>
  <c r="G39" i="4"/>
  <c r="G36" i="4"/>
  <c r="G33" i="4"/>
  <c r="G31" i="4"/>
  <c r="G29" i="4"/>
  <c r="G26" i="4"/>
  <c r="G24" i="4"/>
  <c r="G22" i="4"/>
  <c r="G20" i="4"/>
  <c r="G18" i="4"/>
  <c r="G16" i="4"/>
  <c r="G14" i="4"/>
  <c r="G10" i="4"/>
  <c r="G7" i="4"/>
  <c r="C136" i="4"/>
  <c r="C137" i="4"/>
  <c r="C138" i="4"/>
  <c r="C139" i="4"/>
  <c r="C140" i="4"/>
  <c r="C141" i="4"/>
  <c r="C147" i="4"/>
  <c r="C151" i="4"/>
  <c r="C153" i="4"/>
  <c r="C155" i="4"/>
  <c r="C157" i="4"/>
  <c r="C159" i="4"/>
  <c r="C162" i="4"/>
  <c r="C163" i="4"/>
  <c r="C165" i="4"/>
  <c r="C167" i="4"/>
  <c r="C169" i="4"/>
  <c r="C171" i="4"/>
  <c r="C173" i="4"/>
  <c r="C175" i="4"/>
  <c r="C178" i="4"/>
  <c r="C181" i="4"/>
  <c r="C183" i="4"/>
  <c r="C185" i="4"/>
  <c r="C188" i="4"/>
  <c r="C190" i="4"/>
  <c r="C192" i="4"/>
  <c r="C194" i="4"/>
  <c r="C196" i="4"/>
  <c r="C198" i="4"/>
  <c r="C199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97" i="4"/>
  <c r="C102" i="4"/>
  <c r="C105" i="4"/>
  <c r="C108" i="4"/>
  <c r="C111" i="4"/>
  <c r="C114" i="4"/>
  <c r="C116" i="4"/>
  <c r="C119" i="4"/>
  <c r="C121" i="4"/>
  <c r="C123" i="4"/>
  <c r="C134" i="4"/>
  <c r="C142" i="4"/>
  <c r="C143" i="4"/>
  <c r="C144" i="4"/>
  <c r="C145" i="4"/>
  <c r="C146" i="4"/>
  <c r="C148" i="4"/>
  <c r="C149" i="4"/>
  <c r="C150" i="4"/>
  <c r="C152" i="4"/>
  <c r="C154" i="4"/>
  <c r="C156" i="4"/>
  <c r="C158" i="4"/>
  <c r="C160" i="4"/>
  <c r="C161" i="4"/>
  <c r="C164" i="4"/>
  <c r="C166" i="4"/>
  <c r="C168" i="4"/>
  <c r="C170" i="4"/>
  <c r="C172" i="4"/>
  <c r="C174" i="4"/>
  <c r="C176" i="4"/>
  <c r="C177" i="4"/>
  <c r="C179" i="4"/>
  <c r="C180" i="4"/>
  <c r="C182" i="4"/>
  <c r="C184" i="4"/>
  <c r="C186" i="4"/>
  <c r="C187" i="4"/>
  <c r="C189" i="4"/>
  <c r="C191" i="4"/>
  <c r="C193" i="4"/>
  <c r="C195" i="4"/>
  <c r="C197" i="4"/>
  <c r="C112" i="4"/>
  <c r="C120" i="4"/>
  <c r="C125" i="4"/>
  <c r="C128" i="4"/>
  <c r="C130" i="4"/>
  <c r="C133" i="4"/>
  <c r="C135" i="4"/>
  <c r="C34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8" i="4"/>
  <c r="C99" i="4"/>
  <c r="C100" i="4"/>
  <c r="C101" i="4"/>
  <c r="C103" i="4"/>
  <c r="C104" i="4"/>
  <c r="C106" i="4"/>
  <c r="C107" i="4"/>
  <c r="C110" i="4"/>
  <c r="C113" i="4"/>
  <c r="C115" i="4"/>
  <c r="C117" i="4"/>
  <c r="C122" i="4"/>
  <c r="C127" i="4"/>
  <c r="C132" i="4"/>
  <c r="C109" i="4"/>
  <c r="C118" i="4"/>
  <c r="C124" i="4"/>
  <c r="C126" i="4"/>
  <c r="C129" i="4"/>
  <c r="C131" i="4"/>
  <c r="A3" i="4"/>
  <c r="H463" i="2"/>
  <c r="K463" i="2"/>
  <c r="V463" i="2" s="1"/>
  <c r="L463" i="2"/>
  <c r="O463" i="2"/>
  <c r="W463" i="2" s="1"/>
  <c r="Q463" i="2"/>
  <c r="X463" i="2"/>
  <c r="I463" i="2"/>
  <c r="J463" i="2"/>
  <c r="M463" i="2"/>
  <c r="N463" i="2"/>
  <c r="T463" i="2" s="1"/>
  <c r="U463" i="2" s="1"/>
  <c r="P463" i="2"/>
  <c r="X462" i="2"/>
  <c r="L3" i="2"/>
  <c r="M3" i="2"/>
  <c r="N3" i="2"/>
  <c r="T3" i="2" s="1"/>
  <c r="O3" i="2"/>
  <c r="W3" i="2" s="1"/>
  <c r="P3" i="2"/>
  <c r="Q3" i="2"/>
  <c r="L4" i="2"/>
  <c r="M4" i="2"/>
  <c r="N4" i="2"/>
  <c r="T4" i="2" s="1"/>
  <c r="O4" i="2"/>
  <c r="W4" i="2" s="1"/>
  <c r="P4" i="2"/>
  <c r="Q4" i="2"/>
  <c r="L5" i="2"/>
  <c r="M5" i="2"/>
  <c r="N5" i="2"/>
  <c r="T5" i="2" s="1"/>
  <c r="O5" i="2"/>
  <c r="W5" i="2" s="1"/>
  <c r="P5" i="2"/>
  <c r="Q5" i="2"/>
  <c r="L6" i="2"/>
  <c r="M6" i="2"/>
  <c r="N6" i="2"/>
  <c r="T6" i="2" s="1"/>
  <c r="O6" i="2"/>
  <c r="W6" i="2" s="1"/>
  <c r="P6" i="2"/>
  <c r="Q6" i="2"/>
  <c r="L7" i="2"/>
  <c r="M7" i="2"/>
  <c r="N7" i="2"/>
  <c r="T7" i="2" s="1"/>
  <c r="O7" i="2"/>
  <c r="W7" i="2" s="1"/>
  <c r="P7" i="2"/>
  <c r="Q7" i="2"/>
  <c r="L8" i="2"/>
  <c r="M8" i="2"/>
  <c r="N8" i="2"/>
  <c r="T8" i="2" s="1"/>
  <c r="O8" i="2"/>
  <c r="W8" i="2" s="1"/>
  <c r="P8" i="2"/>
  <c r="Q8" i="2"/>
  <c r="L9" i="2"/>
  <c r="M9" i="2"/>
  <c r="N9" i="2"/>
  <c r="T9" i="2" s="1"/>
  <c r="O9" i="2"/>
  <c r="W9" i="2" s="1"/>
  <c r="P9" i="2"/>
  <c r="Q9" i="2"/>
  <c r="L10" i="2"/>
  <c r="M10" i="2"/>
  <c r="N10" i="2"/>
  <c r="T10" i="2" s="1"/>
  <c r="O10" i="2"/>
  <c r="W10" i="2" s="1"/>
  <c r="P10" i="2"/>
  <c r="Q10" i="2"/>
  <c r="L11" i="2"/>
  <c r="M11" i="2"/>
  <c r="N11" i="2"/>
  <c r="T11" i="2" s="1"/>
  <c r="O11" i="2"/>
  <c r="W11" i="2" s="1"/>
  <c r="P11" i="2"/>
  <c r="Q11" i="2"/>
  <c r="L12" i="2"/>
  <c r="M12" i="2"/>
  <c r="N12" i="2"/>
  <c r="T12" i="2" s="1"/>
  <c r="O12" i="2"/>
  <c r="W12" i="2" s="1"/>
  <c r="P12" i="2"/>
  <c r="Q12" i="2"/>
  <c r="L13" i="2"/>
  <c r="M13" i="2"/>
  <c r="N13" i="2"/>
  <c r="T13" i="2" s="1"/>
  <c r="O13" i="2"/>
  <c r="W13" i="2" s="1"/>
  <c r="P13" i="2"/>
  <c r="Q13" i="2"/>
  <c r="L14" i="2"/>
  <c r="M14" i="2"/>
  <c r="N14" i="2"/>
  <c r="T14" i="2" s="1"/>
  <c r="O14" i="2"/>
  <c r="W14" i="2" s="1"/>
  <c r="P14" i="2"/>
  <c r="Q14" i="2"/>
  <c r="L15" i="2"/>
  <c r="M15" i="2"/>
  <c r="N15" i="2"/>
  <c r="T15" i="2" s="1"/>
  <c r="O15" i="2"/>
  <c r="W15" i="2" s="1"/>
  <c r="P15" i="2"/>
  <c r="Q15" i="2"/>
  <c r="L16" i="2"/>
  <c r="M16" i="2"/>
  <c r="N16" i="2"/>
  <c r="T16" i="2" s="1"/>
  <c r="O16" i="2"/>
  <c r="W16" i="2" s="1"/>
  <c r="P16" i="2"/>
  <c r="Q16" i="2"/>
  <c r="L17" i="2"/>
  <c r="M17" i="2"/>
  <c r="N17" i="2"/>
  <c r="T17" i="2" s="1"/>
  <c r="O17" i="2"/>
  <c r="W17" i="2" s="1"/>
  <c r="P17" i="2"/>
  <c r="Q17" i="2"/>
  <c r="L18" i="2"/>
  <c r="M18" i="2"/>
  <c r="N18" i="2"/>
  <c r="T18" i="2" s="1"/>
  <c r="O18" i="2"/>
  <c r="W18" i="2" s="1"/>
  <c r="P18" i="2"/>
  <c r="Q18" i="2"/>
  <c r="L19" i="2"/>
  <c r="M19" i="2"/>
  <c r="T19" i="2" s="1"/>
  <c r="N19" i="2"/>
  <c r="O19" i="2"/>
  <c r="W19" i="2" s="1"/>
  <c r="P19" i="2"/>
  <c r="Q19" i="2"/>
  <c r="L20" i="2"/>
  <c r="M20" i="2"/>
  <c r="T20" i="2" s="1"/>
  <c r="N20" i="2"/>
  <c r="O20" i="2"/>
  <c r="W20" i="2" s="1"/>
  <c r="P20" i="2"/>
  <c r="Q20" i="2"/>
  <c r="L21" i="2"/>
  <c r="M21" i="2"/>
  <c r="T21" i="2" s="1"/>
  <c r="N21" i="2"/>
  <c r="O21" i="2"/>
  <c r="W21" i="2" s="1"/>
  <c r="P21" i="2"/>
  <c r="Q21" i="2"/>
  <c r="L22" i="2"/>
  <c r="M22" i="2"/>
  <c r="T22" i="2" s="1"/>
  <c r="N22" i="2"/>
  <c r="O22" i="2"/>
  <c r="W22" i="2" s="1"/>
  <c r="P22" i="2"/>
  <c r="Q22" i="2"/>
  <c r="L23" i="2"/>
  <c r="M23" i="2"/>
  <c r="T23" i="2" s="1"/>
  <c r="N23" i="2"/>
  <c r="O23" i="2"/>
  <c r="W23" i="2" s="1"/>
  <c r="P23" i="2"/>
  <c r="Q23" i="2"/>
  <c r="L24" i="2"/>
  <c r="M24" i="2"/>
  <c r="T24" i="2" s="1"/>
  <c r="N24" i="2"/>
  <c r="O24" i="2"/>
  <c r="W24" i="2" s="1"/>
  <c r="P24" i="2"/>
  <c r="Q24" i="2"/>
  <c r="L25" i="2"/>
  <c r="M25" i="2"/>
  <c r="T25" i="2" s="1"/>
  <c r="N25" i="2"/>
  <c r="O25" i="2"/>
  <c r="W25" i="2" s="1"/>
  <c r="P25" i="2"/>
  <c r="Q25" i="2"/>
  <c r="L26" i="2"/>
  <c r="M26" i="2"/>
  <c r="T26" i="2" s="1"/>
  <c r="N26" i="2"/>
  <c r="O26" i="2"/>
  <c r="W26" i="2" s="1"/>
  <c r="P26" i="2"/>
  <c r="Q26" i="2"/>
  <c r="L27" i="2"/>
  <c r="M27" i="2"/>
  <c r="T27" i="2" s="1"/>
  <c r="N27" i="2"/>
  <c r="O27" i="2"/>
  <c r="W27" i="2" s="1"/>
  <c r="P27" i="2"/>
  <c r="Q27" i="2"/>
  <c r="L28" i="2"/>
  <c r="M28" i="2"/>
  <c r="T28" i="2" s="1"/>
  <c r="N28" i="2"/>
  <c r="O28" i="2"/>
  <c r="W28" i="2" s="1"/>
  <c r="P28" i="2"/>
  <c r="Q28" i="2"/>
  <c r="L29" i="2"/>
  <c r="M29" i="2"/>
  <c r="T29" i="2" s="1"/>
  <c r="N29" i="2"/>
  <c r="O29" i="2"/>
  <c r="P29" i="2"/>
  <c r="Q29" i="2"/>
  <c r="L30" i="2"/>
  <c r="M30" i="2"/>
  <c r="T30" i="2" s="1"/>
  <c r="N30" i="2"/>
  <c r="O30" i="2"/>
  <c r="P30" i="2"/>
  <c r="Q30" i="2"/>
  <c r="L31" i="2"/>
  <c r="M31" i="2"/>
  <c r="T31" i="2" s="1"/>
  <c r="N31" i="2"/>
  <c r="O31" i="2"/>
  <c r="P31" i="2"/>
  <c r="Q31" i="2"/>
  <c r="L32" i="2"/>
  <c r="M32" i="2"/>
  <c r="T32" i="2" s="1"/>
  <c r="N32" i="2"/>
  <c r="O32" i="2"/>
  <c r="P32" i="2"/>
  <c r="Q32" i="2"/>
  <c r="L33" i="2"/>
  <c r="M33" i="2"/>
  <c r="T33" i="2" s="1"/>
  <c r="N33" i="2"/>
  <c r="O33" i="2"/>
  <c r="P33" i="2"/>
  <c r="Q33" i="2"/>
  <c r="L34" i="2"/>
  <c r="M34" i="2"/>
  <c r="T34" i="2" s="1"/>
  <c r="N34" i="2"/>
  <c r="O34" i="2"/>
  <c r="P34" i="2"/>
  <c r="W34" i="2" s="1"/>
  <c r="Q34" i="2"/>
  <c r="L35" i="2"/>
  <c r="M35" i="2"/>
  <c r="T35" i="2" s="1"/>
  <c r="N35" i="2"/>
  <c r="O35" i="2"/>
  <c r="P35" i="2"/>
  <c r="W35" i="2" s="1"/>
  <c r="Q35" i="2"/>
  <c r="L36" i="2"/>
  <c r="M36" i="2"/>
  <c r="T36" i="2" s="1"/>
  <c r="N36" i="2"/>
  <c r="O36" i="2"/>
  <c r="P36" i="2"/>
  <c r="W36" i="2" s="1"/>
  <c r="Q36" i="2"/>
  <c r="L37" i="2"/>
  <c r="M37" i="2"/>
  <c r="T37" i="2" s="1"/>
  <c r="N37" i="2"/>
  <c r="O37" i="2"/>
  <c r="P37" i="2"/>
  <c r="W37" i="2" s="1"/>
  <c r="Q37" i="2"/>
  <c r="L38" i="2"/>
  <c r="M38" i="2"/>
  <c r="T38" i="2" s="1"/>
  <c r="N38" i="2"/>
  <c r="O38" i="2"/>
  <c r="P38" i="2"/>
  <c r="W38" i="2" s="1"/>
  <c r="Q38" i="2"/>
  <c r="L39" i="2"/>
  <c r="M39" i="2"/>
  <c r="T39" i="2" s="1"/>
  <c r="N39" i="2"/>
  <c r="O39" i="2"/>
  <c r="P39" i="2"/>
  <c r="W39" i="2" s="1"/>
  <c r="Q39" i="2"/>
  <c r="L40" i="2"/>
  <c r="M40" i="2"/>
  <c r="T40" i="2" s="1"/>
  <c r="N40" i="2"/>
  <c r="O40" i="2"/>
  <c r="P40" i="2"/>
  <c r="W40" i="2" s="1"/>
  <c r="Q40" i="2"/>
  <c r="L41" i="2"/>
  <c r="M41" i="2"/>
  <c r="T41" i="2" s="1"/>
  <c r="N41" i="2"/>
  <c r="O41" i="2"/>
  <c r="W41" i="2" s="1"/>
  <c r="P41" i="2"/>
  <c r="Q41" i="2"/>
  <c r="L42" i="2"/>
  <c r="M42" i="2"/>
  <c r="T42" i="2" s="1"/>
  <c r="N42" i="2"/>
  <c r="O42" i="2"/>
  <c r="W42" i="2" s="1"/>
  <c r="P42" i="2"/>
  <c r="Q42" i="2"/>
  <c r="L43" i="2"/>
  <c r="M43" i="2"/>
  <c r="T43" i="2" s="1"/>
  <c r="N43" i="2"/>
  <c r="O43" i="2"/>
  <c r="W43" i="2" s="1"/>
  <c r="P43" i="2"/>
  <c r="Q43" i="2"/>
  <c r="L44" i="2"/>
  <c r="M44" i="2"/>
  <c r="T44" i="2" s="1"/>
  <c r="N44" i="2"/>
  <c r="O44" i="2"/>
  <c r="W44" i="2" s="1"/>
  <c r="P44" i="2"/>
  <c r="Q44" i="2"/>
  <c r="L45" i="2"/>
  <c r="M45" i="2"/>
  <c r="T45" i="2" s="1"/>
  <c r="N45" i="2"/>
  <c r="O45" i="2"/>
  <c r="W45" i="2" s="1"/>
  <c r="P45" i="2"/>
  <c r="Q45" i="2"/>
  <c r="L46" i="2"/>
  <c r="M46" i="2"/>
  <c r="T46" i="2" s="1"/>
  <c r="N46" i="2"/>
  <c r="O46" i="2"/>
  <c r="W46" i="2" s="1"/>
  <c r="P46" i="2"/>
  <c r="Q46" i="2"/>
  <c r="L47" i="2"/>
  <c r="M47" i="2"/>
  <c r="T47" i="2" s="1"/>
  <c r="N47" i="2"/>
  <c r="O47" i="2"/>
  <c r="W47" i="2" s="1"/>
  <c r="P47" i="2"/>
  <c r="Q47" i="2"/>
  <c r="L48" i="2"/>
  <c r="M48" i="2"/>
  <c r="T48" i="2" s="1"/>
  <c r="N48" i="2"/>
  <c r="O48" i="2"/>
  <c r="W48" i="2" s="1"/>
  <c r="P48" i="2"/>
  <c r="Q48" i="2"/>
  <c r="L49" i="2"/>
  <c r="M49" i="2"/>
  <c r="T49" i="2" s="1"/>
  <c r="N49" i="2"/>
  <c r="O49" i="2"/>
  <c r="W49" i="2" s="1"/>
  <c r="P49" i="2"/>
  <c r="Q49" i="2"/>
  <c r="L50" i="2"/>
  <c r="M50" i="2"/>
  <c r="T50" i="2" s="1"/>
  <c r="N50" i="2"/>
  <c r="O50" i="2"/>
  <c r="W50" i="2" s="1"/>
  <c r="P50" i="2"/>
  <c r="Q50" i="2"/>
  <c r="L51" i="2"/>
  <c r="M51" i="2"/>
  <c r="N51" i="2"/>
  <c r="T51" i="2" s="1"/>
  <c r="O51" i="2"/>
  <c r="W51" i="2" s="1"/>
  <c r="P51" i="2"/>
  <c r="Q51" i="2"/>
  <c r="L52" i="2"/>
  <c r="M52" i="2"/>
  <c r="N52" i="2"/>
  <c r="T52" i="2" s="1"/>
  <c r="O52" i="2"/>
  <c r="W52" i="2" s="1"/>
  <c r="P52" i="2"/>
  <c r="Q52" i="2"/>
  <c r="L53" i="2"/>
  <c r="M53" i="2"/>
  <c r="N53" i="2"/>
  <c r="T53" i="2" s="1"/>
  <c r="O53" i="2"/>
  <c r="W53" i="2" s="1"/>
  <c r="P53" i="2"/>
  <c r="Q53" i="2"/>
  <c r="L54" i="2"/>
  <c r="M54" i="2"/>
  <c r="N54" i="2"/>
  <c r="T54" i="2" s="1"/>
  <c r="O54" i="2"/>
  <c r="W54" i="2" s="1"/>
  <c r="P54" i="2"/>
  <c r="Q54" i="2"/>
  <c r="L55" i="2"/>
  <c r="M55" i="2"/>
  <c r="N55" i="2"/>
  <c r="T55" i="2" s="1"/>
  <c r="O55" i="2"/>
  <c r="W55" i="2" s="1"/>
  <c r="P55" i="2"/>
  <c r="Q55" i="2"/>
  <c r="L56" i="2"/>
  <c r="M56" i="2"/>
  <c r="N56" i="2"/>
  <c r="T56" i="2" s="1"/>
  <c r="O56" i="2"/>
  <c r="W56" i="2" s="1"/>
  <c r="P56" i="2"/>
  <c r="Q56" i="2"/>
  <c r="L57" i="2"/>
  <c r="M57" i="2"/>
  <c r="N57" i="2"/>
  <c r="T57" i="2" s="1"/>
  <c r="O57" i="2"/>
  <c r="W57" i="2" s="1"/>
  <c r="P57" i="2"/>
  <c r="Q57" i="2"/>
  <c r="L58" i="2"/>
  <c r="M58" i="2"/>
  <c r="N58" i="2"/>
  <c r="T58" i="2" s="1"/>
  <c r="O58" i="2"/>
  <c r="W58" i="2" s="1"/>
  <c r="P58" i="2"/>
  <c r="L59" i="2"/>
  <c r="M59" i="2"/>
  <c r="N59" i="2"/>
  <c r="T59" i="2" s="1"/>
  <c r="L73" i="2"/>
  <c r="N73" i="2"/>
  <c r="T73" i="2" s="1"/>
  <c r="P73" i="2"/>
  <c r="Q73" i="2"/>
  <c r="O74" i="2"/>
  <c r="W74" i="2" s="1"/>
  <c r="P74" i="2"/>
  <c r="Q74" i="2"/>
  <c r="L75" i="2"/>
  <c r="M75" i="2"/>
  <c r="N75" i="2"/>
  <c r="T75" i="2" s="1"/>
  <c r="O75" i="2"/>
  <c r="W75" i="2" s="1"/>
  <c r="P75" i="2"/>
  <c r="Q75" i="2"/>
  <c r="L76" i="2"/>
  <c r="M76" i="2"/>
  <c r="N76" i="2"/>
  <c r="T76" i="2" s="1"/>
  <c r="O76" i="2"/>
  <c r="W76" i="2" s="1"/>
  <c r="P76" i="2"/>
  <c r="Q76" i="2"/>
  <c r="L77" i="2"/>
  <c r="M77" i="2"/>
  <c r="N77" i="2"/>
  <c r="T77" i="2" s="1"/>
  <c r="O77" i="2"/>
  <c r="W77" i="2" s="1"/>
  <c r="P77" i="2"/>
  <c r="Q77" i="2"/>
  <c r="L78" i="2"/>
  <c r="N78" i="2"/>
  <c r="T78" i="2" s="1"/>
  <c r="O78" i="2"/>
  <c r="W78" i="2" s="1"/>
  <c r="L79" i="2"/>
  <c r="O79" i="2"/>
  <c r="W79" i="2" s="1"/>
  <c r="Q79" i="2"/>
  <c r="N80" i="2"/>
  <c r="T80" i="2" s="1"/>
  <c r="U80" i="2" s="1"/>
  <c r="O80" i="2"/>
  <c r="W80" i="2" s="1"/>
  <c r="Q80" i="2"/>
  <c r="N81" i="2"/>
  <c r="T81" i="2" s="1"/>
  <c r="U81" i="2" s="1"/>
  <c r="P81" i="2"/>
  <c r="L82" i="2"/>
  <c r="O82" i="2"/>
  <c r="W82" i="2" s="1"/>
  <c r="Q82" i="2"/>
  <c r="N83" i="2"/>
  <c r="T83" i="2" s="1"/>
  <c r="U83" i="2" s="1"/>
  <c r="P83" i="2"/>
  <c r="L84" i="2"/>
  <c r="O84" i="2"/>
  <c r="W84" i="2" s="1"/>
  <c r="Q84" i="2"/>
  <c r="N85" i="2"/>
  <c r="P85" i="2"/>
  <c r="L86" i="2"/>
  <c r="O86" i="2"/>
  <c r="W86" i="2" s="1"/>
  <c r="P86" i="2"/>
  <c r="L87" i="2"/>
  <c r="O87" i="2"/>
  <c r="W87" i="2" s="1"/>
  <c r="Q87" i="2"/>
  <c r="L88" i="2"/>
  <c r="N88" i="2"/>
  <c r="P88" i="2"/>
  <c r="L89" i="2"/>
  <c r="O89" i="2"/>
  <c r="W89" i="2" s="1"/>
  <c r="L90" i="2"/>
  <c r="P90" i="2"/>
  <c r="L91" i="2"/>
  <c r="N91" i="2"/>
  <c r="P91" i="2"/>
  <c r="L92" i="2"/>
  <c r="M92" i="2"/>
  <c r="T92" i="2" s="1"/>
  <c r="Q92" i="2"/>
  <c r="N93" i="2"/>
  <c r="M94" i="2"/>
  <c r="T94" i="2" s="1"/>
  <c r="M95" i="2"/>
  <c r="T95" i="2" s="1"/>
  <c r="P95" i="2"/>
  <c r="N96" i="2"/>
  <c r="N97" i="2"/>
  <c r="L98" i="2"/>
  <c r="L99" i="2"/>
  <c r="O99" i="2"/>
  <c r="W99" i="2" s="1"/>
  <c r="L100" i="2"/>
  <c r="Q100" i="2"/>
  <c r="P101" i="2"/>
  <c r="M102" i="2"/>
  <c r="T102" i="2" s="1"/>
  <c r="Q102" i="2"/>
  <c r="O103" i="2"/>
  <c r="W103" i="2" s="1"/>
  <c r="L105" i="2"/>
  <c r="O105" i="2"/>
  <c r="W105" i="2" s="1"/>
  <c r="P106" i="2"/>
  <c r="N107" i="2"/>
  <c r="Q107" i="2"/>
  <c r="O108" i="2"/>
  <c r="W108" i="2" s="1"/>
  <c r="M109" i="2"/>
  <c r="T109" i="2" s="1"/>
  <c r="N110" i="2"/>
  <c r="P110" i="2"/>
  <c r="L111" i="2"/>
  <c r="L112" i="2"/>
  <c r="P112" i="2"/>
  <c r="M113" i="2"/>
  <c r="T113" i="2" s="1"/>
  <c r="O114" i="2"/>
  <c r="W114" i="2" s="1"/>
  <c r="Q114" i="2"/>
  <c r="L116" i="2"/>
  <c r="Q116" i="2"/>
  <c r="M117" i="2"/>
  <c r="T117" i="2" s="1"/>
  <c r="L118" i="2"/>
  <c r="P118" i="2"/>
  <c r="P119" i="2"/>
  <c r="N120" i="2"/>
  <c r="N121" i="2"/>
  <c r="T121" i="2" s="1"/>
  <c r="P121" i="2"/>
  <c r="O122" i="2"/>
  <c r="W122" i="2" s="1"/>
  <c r="P123" i="2"/>
  <c r="O124" i="2"/>
  <c r="W124" i="2" s="1"/>
  <c r="L125" i="2"/>
  <c r="N125" i="2"/>
  <c r="T125" i="2" s="1"/>
  <c r="L126" i="2"/>
  <c r="O126" i="2"/>
  <c r="W126" i="2" s="1"/>
  <c r="L127" i="2"/>
  <c r="P127" i="2"/>
  <c r="N128" i="2"/>
  <c r="T128" i="2" s="1"/>
  <c r="P128" i="2"/>
  <c r="N129" i="2"/>
  <c r="T129" i="2" s="1"/>
  <c r="Q129" i="2"/>
  <c r="M130" i="2"/>
  <c r="T130" i="2" s="1"/>
  <c r="P130" i="2"/>
  <c r="O131" i="2"/>
  <c r="W131" i="2" s="1"/>
  <c r="L132" i="2"/>
  <c r="P132" i="2"/>
  <c r="O133" i="2"/>
  <c r="W133" i="2" s="1"/>
  <c r="M135" i="2"/>
  <c r="T135" i="2" s="1"/>
  <c r="Q135" i="2"/>
  <c r="P136" i="2"/>
  <c r="N137" i="2"/>
  <c r="Q137" i="2"/>
  <c r="M138" i="2"/>
  <c r="T138" i="2" s="1"/>
  <c r="L139" i="2"/>
  <c r="P139" i="2"/>
  <c r="L140" i="2"/>
  <c r="M140" i="2"/>
  <c r="T140" i="2" s="1"/>
  <c r="O140" i="2"/>
  <c r="W140" i="2" s="1"/>
  <c r="L141" i="2"/>
  <c r="P142" i="2"/>
  <c r="M143" i="2"/>
  <c r="T143" i="2" s="1"/>
  <c r="Q143" i="2"/>
  <c r="Q144" i="2"/>
  <c r="M145" i="2"/>
  <c r="T145" i="2" s="1"/>
  <c r="O145" i="2"/>
  <c r="W145" i="2" s="1"/>
  <c r="L146" i="2"/>
  <c r="M147" i="2"/>
  <c r="T147" i="2" s="1"/>
  <c r="O147" i="2"/>
  <c r="W147" i="2" s="1"/>
  <c r="O148" i="2"/>
  <c r="W148" i="2" s="1"/>
  <c r="N149" i="2"/>
  <c r="M150" i="2"/>
  <c r="T150" i="2" s="1"/>
  <c r="L151" i="2"/>
  <c r="P151" i="2"/>
  <c r="N152" i="2"/>
  <c r="N153" i="2"/>
  <c r="N154" i="2"/>
  <c r="N155" i="2"/>
  <c r="N156" i="2"/>
  <c r="T156" i="2" s="1"/>
  <c r="Q156" i="2"/>
  <c r="N157" i="2"/>
  <c r="T157" i="2" s="1"/>
  <c r="Q157" i="2"/>
  <c r="O158" i="2"/>
  <c r="O159" i="2"/>
  <c r="Q159" i="2"/>
  <c r="P160" i="2"/>
  <c r="W160" i="2" s="1"/>
  <c r="P161" i="2"/>
  <c r="W161" i="2" s="1"/>
  <c r="M162" i="2"/>
  <c r="P162" i="2"/>
  <c r="W162" i="2" s="1"/>
  <c r="N163" i="2"/>
  <c r="T163" i="2" s="1"/>
  <c r="Q163" i="2"/>
  <c r="O164" i="2"/>
  <c r="M165" i="2"/>
  <c r="Q165" i="2"/>
  <c r="M166" i="2"/>
  <c r="Q166" i="2"/>
  <c r="N167" i="2"/>
  <c r="T167" i="2" s="1"/>
  <c r="L169" i="2"/>
  <c r="P169" i="2"/>
  <c r="Q171" i="2"/>
  <c r="O258" i="2"/>
  <c r="M259" i="2"/>
  <c r="T259" i="2" s="1"/>
  <c r="L260" i="2"/>
  <c r="M261" i="2"/>
  <c r="T261" i="2" s="1"/>
  <c r="U261" i="2" s="1"/>
  <c r="L262" i="2"/>
  <c r="Q263" i="2"/>
  <c r="M264" i="2"/>
  <c r="T264" i="2" s="1"/>
  <c r="U264" i="2" s="1"/>
  <c r="N265" i="2"/>
  <c r="M266" i="2"/>
  <c r="T266" i="2" s="1"/>
  <c r="U266" i="2" s="1"/>
  <c r="N267" i="2"/>
  <c r="M268" i="2"/>
  <c r="T268" i="2" s="1"/>
  <c r="U268" i="2" s="1"/>
  <c r="N269" i="2"/>
  <c r="M272" i="2"/>
  <c r="T272" i="2" s="1"/>
  <c r="U272" i="2" s="1"/>
  <c r="P273" i="2"/>
  <c r="N274" i="2"/>
  <c r="Q274" i="2"/>
  <c r="Q275" i="2"/>
  <c r="P276" i="2"/>
  <c r="M278" i="2"/>
  <c r="T278" i="2" s="1"/>
  <c r="U278" i="2" s="1"/>
  <c r="P278" i="2"/>
  <c r="M280" i="2"/>
  <c r="T280" i="2" s="1"/>
  <c r="O281" i="2"/>
  <c r="W281" i="2" s="1"/>
  <c r="L282" i="2"/>
  <c r="P283" i="2"/>
  <c r="P284" i="2"/>
  <c r="O285" i="2"/>
  <c r="L286" i="2"/>
  <c r="Q287" i="2"/>
  <c r="O288" i="2"/>
  <c r="P289" i="2"/>
  <c r="O290" i="2"/>
  <c r="N291" i="2"/>
  <c r="N292" i="2"/>
  <c r="Q292" i="2"/>
  <c r="N293" i="2"/>
  <c r="M294" i="2"/>
  <c r="T294" i="2" s="1"/>
  <c r="O296" i="2"/>
  <c r="W296" i="2" s="1"/>
  <c r="L299" i="2"/>
  <c r="O299" i="2"/>
  <c r="W299" i="2" s="1"/>
  <c r="N300" i="2"/>
  <c r="N301" i="2"/>
  <c r="L302" i="2"/>
  <c r="Q302" i="2"/>
  <c r="N303" i="2"/>
  <c r="L304" i="2"/>
  <c r="M306" i="2"/>
  <c r="N308" i="2"/>
  <c r="T308" i="2" s="1"/>
  <c r="O309" i="2"/>
  <c r="W309" i="2" s="1"/>
  <c r="L311" i="2"/>
  <c r="L312" i="2"/>
  <c r="Q313" i="2"/>
  <c r="Q315" i="2"/>
  <c r="M316" i="2"/>
  <c r="T316" i="2" s="1"/>
  <c r="P317" i="2"/>
  <c r="L319" i="2"/>
  <c r="P321" i="2"/>
  <c r="P322" i="2"/>
  <c r="P323" i="2"/>
  <c r="N325" i="2"/>
  <c r="N326" i="2"/>
  <c r="N327" i="2"/>
  <c r="N328" i="2"/>
  <c r="Q328" i="2"/>
  <c r="O332" i="2"/>
  <c r="W332" i="2" s="1"/>
  <c r="M334" i="2"/>
  <c r="T334" i="2" s="1"/>
  <c r="L336" i="2"/>
  <c r="N337" i="2"/>
  <c r="Q337" i="2"/>
  <c r="O338" i="2"/>
  <c r="W338" i="2" s="1"/>
  <c r="Q338" i="2"/>
  <c r="N340" i="2"/>
  <c r="Q340" i="2"/>
  <c r="L342" i="2"/>
  <c r="L343" i="2"/>
  <c r="O343" i="2"/>
  <c r="W343" i="2" s="1"/>
  <c r="M345" i="2"/>
  <c r="P347" i="2"/>
  <c r="M351" i="2"/>
  <c r="P354" i="2"/>
  <c r="Q355" i="2"/>
  <c r="P356" i="2"/>
  <c r="N357" i="2"/>
  <c r="Q357" i="2"/>
  <c r="N360" i="2"/>
  <c r="Q360" i="2"/>
  <c r="P361" i="2"/>
  <c r="L364" i="2"/>
  <c r="L366" i="2"/>
  <c r="O366" i="2"/>
  <c r="W366" i="2" s="1"/>
  <c r="N367" i="2"/>
  <c r="Q368" i="2"/>
  <c r="L369" i="2"/>
  <c r="Q369" i="2"/>
  <c r="Q412" i="2"/>
  <c r="P414" i="2"/>
  <c r="Q415" i="2"/>
  <c r="Q417" i="2"/>
  <c r="P418" i="2"/>
  <c r="P419" i="2"/>
  <c r="Q420" i="2"/>
  <c r="P421" i="2"/>
  <c r="M422" i="2"/>
  <c r="O422" i="2"/>
  <c r="N423" i="2"/>
  <c r="T423" i="2" s="1"/>
  <c r="Q423" i="2"/>
  <c r="Q425" i="2"/>
  <c r="L428" i="2"/>
  <c r="M429" i="2"/>
  <c r="T429" i="2" s="1"/>
  <c r="Q429" i="2"/>
  <c r="L431" i="2"/>
  <c r="N432" i="2"/>
  <c r="L434" i="2"/>
  <c r="M435" i="2"/>
  <c r="T435" i="2" s="1"/>
  <c r="M436" i="2"/>
  <c r="T436" i="2" s="1"/>
  <c r="M437" i="2"/>
  <c r="T437" i="2" s="1"/>
  <c r="N438" i="2"/>
  <c r="P439" i="2"/>
  <c r="L441" i="2"/>
  <c r="Q444" i="2"/>
  <c r="N446" i="2"/>
  <c r="Q447" i="2"/>
  <c r="M449" i="2"/>
  <c r="T449" i="2" s="1"/>
  <c r="O450" i="2"/>
  <c r="P452" i="2"/>
  <c r="Q455" i="2"/>
  <c r="N462" i="2"/>
  <c r="T462" i="2" s="1"/>
  <c r="P462" i="2"/>
  <c r="Q58" i="2"/>
  <c r="M78" i="2"/>
  <c r="Q78" i="2"/>
  <c r="N79" i="2"/>
  <c r="T79" i="2" s="1"/>
  <c r="L80" i="2"/>
  <c r="L81" i="2"/>
  <c r="Q81" i="2"/>
  <c r="N82" i="2"/>
  <c r="T82" i="2" s="1"/>
  <c r="U82" i="2" s="1"/>
  <c r="L83" i="2"/>
  <c r="O83" i="2"/>
  <c r="W83" i="2" s="1"/>
  <c r="N84" i="2"/>
  <c r="L85" i="2"/>
  <c r="O85" i="2"/>
  <c r="W85" i="2" s="1"/>
  <c r="M86" i="2"/>
  <c r="T86" i="2" s="1"/>
  <c r="M87" i="2"/>
  <c r="T87" i="2" s="1"/>
  <c r="P87" i="2"/>
  <c r="M88" i="2"/>
  <c r="T88" i="2" s="1"/>
  <c r="P89" i="2"/>
  <c r="N90" i="2"/>
  <c r="M91" i="2"/>
  <c r="T91" i="2" s="1"/>
  <c r="N92" i="2"/>
  <c r="L93" i="2"/>
  <c r="Q93" i="2"/>
  <c r="N94" i="2"/>
  <c r="L95" i="2"/>
  <c r="M96" i="2"/>
  <c r="T96" i="2" s="1"/>
  <c r="Q96" i="2"/>
  <c r="O97" i="2"/>
  <c r="W97" i="2" s="1"/>
  <c r="N98" i="2"/>
  <c r="P99" i="2"/>
  <c r="P100" i="2"/>
  <c r="O101" i="2"/>
  <c r="W101" i="2" s="1"/>
  <c r="N102" i="2"/>
  <c r="L103" i="2"/>
  <c r="M104" i="2"/>
  <c r="T104" i="2" s="1"/>
  <c r="Q105" i="2"/>
  <c r="Q106" i="2"/>
  <c r="L108" i="2"/>
  <c r="Q108" i="2"/>
  <c r="P109" i="2"/>
  <c r="N111" i="2"/>
  <c r="Q111" i="2"/>
  <c r="L113" i="2"/>
  <c r="Q113" i="2"/>
  <c r="P114" i="2"/>
  <c r="O115" i="2"/>
  <c r="W115" i="2" s="1"/>
  <c r="N116" i="2"/>
  <c r="Q117" i="2"/>
  <c r="N118" i="2"/>
  <c r="L119" i="2"/>
  <c r="O119" i="2"/>
  <c r="W119" i="2" s="1"/>
  <c r="Q120" i="2"/>
  <c r="O121" i="2"/>
  <c r="W121" i="2" s="1"/>
  <c r="M122" i="2"/>
  <c r="M123" i="2"/>
  <c r="M124" i="2"/>
  <c r="P125" i="2"/>
  <c r="N126" i="2"/>
  <c r="T126" i="2" s="1"/>
  <c r="P126" i="2"/>
  <c r="N127" i="2"/>
  <c r="T127" i="2" s="1"/>
  <c r="L128" i="2"/>
  <c r="O128" i="2"/>
  <c r="W128" i="2" s="1"/>
  <c r="N131" i="2"/>
  <c r="O132" i="2"/>
  <c r="W132" i="2" s="1"/>
  <c r="P133" i="2"/>
  <c r="N134" i="2"/>
  <c r="L135" i="2"/>
  <c r="M136" i="2"/>
  <c r="T136" i="2" s="1"/>
  <c r="L137" i="2"/>
  <c r="P138" i="2"/>
  <c r="N139" i="2"/>
  <c r="Q140" i="2"/>
  <c r="P141" i="2"/>
  <c r="P144" i="2"/>
  <c r="N145" i="2"/>
  <c r="P146" i="2"/>
  <c r="N147" i="2"/>
  <c r="L148" i="2"/>
  <c r="Q148" i="2"/>
  <c r="O149" i="2"/>
  <c r="W149" i="2" s="1"/>
  <c r="Q150" i="2"/>
  <c r="O151" i="2"/>
  <c r="O152" i="2"/>
  <c r="O153" i="2"/>
  <c r="L155" i="2"/>
  <c r="L156" i="2"/>
  <c r="M163" i="2"/>
  <c r="N164" i="2"/>
  <c r="T164" i="2" s="1"/>
  <c r="L165" i="2"/>
  <c r="L167" i="2"/>
  <c r="M168" i="2"/>
  <c r="M169" i="2"/>
  <c r="Q169" i="2"/>
  <c r="P170" i="2"/>
  <c r="P171" i="2"/>
  <c r="L261" i="2"/>
  <c r="O271" i="2"/>
  <c r="W271" i="2" s="1"/>
  <c r="O275" i="2"/>
  <c r="W275" i="2" s="1"/>
  <c r="M279" i="2"/>
  <c r="T279" i="2" s="1"/>
  <c r="U279" i="2" s="1"/>
  <c r="O280" i="2"/>
  <c r="W280" i="2" s="1"/>
  <c r="Q282" i="2"/>
  <c r="N283" i="2"/>
  <c r="O284" i="2"/>
  <c r="W284" i="2" s="1"/>
  <c r="Q285" i="2"/>
  <c r="Q286" i="2"/>
  <c r="L289" i="2"/>
  <c r="Q290" i="2"/>
  <c r="Q291" i="2"/>
  <c r="O294" i="2"/>
  <c r="W294" i="2" s="1"/>
  <c r="P298" i="2"/>
  <c r="P300" i="2"/>
  <c r="N302" i="2"/>
  <c r="M303" i="2"/>
  <c r="T303" i="2" s="1"/>
  <c r="M304" i="2"/>
  <c r="O305" i="2"/>
  <c r="W305" i="2" s="1"/>
  <c r="L307" i="2"/>
  <c r="P307" i="2"/>
  <c r="O308" i="2"/>
  <c r="W308" i="2" s="1"/>
  <c r="P311" i="2"/>
  <c r="P312" i="2"/>
  <c r="O313" i="2"/>
  <c r="W313" i="2" s="1"/>
  <c r="O314" i="2"/>
  <c r="W314" i="2" s="1"/>
  <c r="Q316" i="2"/>
  <c r="Q318" i="2"/>
  <c r="L321" i="2"/>
  <c r="M323" i="2"/>
  <c r="T323" i="2" s="1"/>
  <c r="L325" i="2"/>
  <c r="Q326" i="2"/>
  <c r="M328" i="2"/>
  <c r="T328" i="2" s="1"/>
  <c r="M329" i="2"/>
  <c r="T329" i="2" s="1"/>
  <c r="M330" i="2"/>
  <c r="T330" i="2" s="1"/>
  <c r="N331" i="2"/>
  <c r="N332" i="2"/>
  <c r="Q333" i="2"/>
  <c r="M335" i="2"/>
  <c r="T335" i="2" s="1"/>
  <c r="O339" i="2"/>
  <c r="W339" i="2" s="1"/>
  <c r="O340" i="2"/>
  <c r="W340" i="2" s="1"/>
  <c r="M344" i="2"/>
  <c r="N346" i="2"/>
  <c r="T346" i="2" s="1"/>
  <c r="O347" i="2"/>
  <c r="W347" i="2" s="1"/>
  <c r="Q349" i="2"/>
  <c r="Q351" i="2"/>
  <c r="M355" i="2"/>
  <c r="T355" i="2" s="1"/>
  <c r="L356" i="2"/>
  <c r="M357" i="2"/>
  <c r="T357" i="2" s="1"/>
  <c r="L359" i="2"/>
  <c r="P360" i="2"/>
  <c r="M362" i="2"/>
  <c r="T362" i="2" s="1"/>
  <c r="N364" i="2"/>
  <c r="M365" i="2"/>
  <c r="T365" i="2" s="1"/>
  <c r="Q367" i="2"/>
  <c r="O369" i="2"/>
  <c r="W369" i="2" s="1"/>
  <c r="N370" i="2"/>
  <c r="O414" i="2"/>
  <c r="W414" i="2" s="1"/>
  <c r="P415" i="2"/>
  <c r="Q416" i="2"/>
  <c r="P417" i="2"/>
  <c r="L419" i="2"/>
  <c r="M421" i="2"/>
  <c r="Q422" i="2"/>
  <c r="L424" i="2"/>
  <c r="P426" i="2"/>
  <c r="M427" i="2"/>
  <c r="T427" i="2" s="1"/>
  <c r="Q433" i="2"/>
  <c r="O436" i="2"/>
  <c r="M438" i="2"/>
  <c r="T438" i="2" s="1"/>
  <c r="N439" i="2"/>
  <c r="M441" i="2"/>
  <c r="T441" i="2" s="1"/>
  <c r="N442" i="2"/>
  <c r="P443" i="2"/>
  <c r="L445" i="2"/>
  <c r="P449" i="2"/>
  <c r="M452" i="2"/>
  <c r="T452" i="2" s="1"/>
  <c r="L454" i="2"/>
  <c r="Q457" i="2"/>
  <c r="Q458" i="2"/>
  <c r="L460" i="2"/>
  <c r="O59" i="2"/>
  <c r="W59" i="2" s="1"/>
  <c r="P59" i="2"/>
  <c r="Q59" i="2"/>
  <c r="L60" i="2"/>
  <c r="M60" i="2"/>
  <c r="N60" i="2"/>
  <c r="T60" i="2" s="1"/>
  <c r="O60" i="2"/>
  <c r="W60" i="2" s="1"/>
  <c r="P60" i="2"/>
  <c r="Q60" i="2"/>
  <c r="L61" i="2"/>
  <c r="M61" i="2"/>
  <c r="N61" i="2"/>
  <c r="T61" i="2" s="1"/>
  <c r="O61" i="2"/>
  <c r="W61" i="2" s="1"/>
  <c r="P61" i="2"/>
  <c r="Q61" i="2"/>
  <c r="L62" i="2"/>
  <c r="M62" i="2"/>
  <c r="N62" i="2"/>
  <c r="T62" i="2" s="1"/>
  <c r="O62" i="2"/>
  <c r="W62" i="2" s="1"/>
  <c r="P62" i="2"/>
  <c r="Q62" i="2"/>
  <c r="L63" i="2"/>
  <c r="M63" i="2"/>
  <c r="N63" i="2"/>
  <c r="T63" i="2" s="1"/>
  <c r="O63" i="2"/>
  <c r="W63" i="2" s="1"/>
  <c r="P63" i="2"/>
  <c r="Q63" i="2"/>
  <c r="L64" i="2"/>
  <c r="M64" i="2"/>
  <c r="N64" i="2"/>
  <c r="T64" i="2" s="1"/>
  <c r="O64" i="2"/>
  <c r="W64" i="2" s="1"/>
  <c r="P64" i="2"/>
  <c r="Q64" i="2"/>
  <c r="L65" i="2"/>
  <c r="M65" i="2"/>
  <c r="N65" i="2"/>
  <c r="T65" i="2" s="1"/>
  <c r="O65" i="2"/>
  <c r="W65" i="2" s="1"/>
  <c r="P65" i="2"/>
  <c r="Q65" i="2"/>
  <c r="L66" i="2"/>
  <c r="M66" i="2"/>
  <c r="N66" i="2"/>
  <c r="T66" i="2" s="1"/>
  <c r="O66" i="2"/>
  <c r="W66" i="2" s="1"/>
  <c r="P66" i="2"/>
  <c r="Q66" i="2"/>
  <c r="L67" i="2"/>
  <c r="M67" i="2"/>
  <c r="N67" i="2"/>
  <c r="T67" i="2" s="1"/>
  <c r="O67" i="2"/>
  <c r="W67" i="2" s="1"/>
  <c r="P67" i="2"/>
  <c r="Q67" i="2"/>
  <c r="L68" i="2"/>
  <c r="M68" i="2"/>
  <c r="N68" i="2"/>
  <c r="T68" i="2" s="1"/>
  <c r="O68" i="2"/>
  <c r="W68" i="2" s="1"/>
  <c r="P68" i="2"/>
  <c r="Q68" i="2"/>
  <c r="L69" i="2"/>
  <c r="M69" i="2"/>
  <c r="N69" i="2"/>
  <c r="T69" i="2" s="1"/>
  <c r="O69" i="2"/>
  <c r="W69" i="2" s="1"/>
  <c r="P69" i="2"/>
  <c r="Q69" i="2"/>
  <c r="L70" i="2"/>
  <c r="M70" i="2"/>
  <c r="N70" i="2"/>
  <c r="T70" i="2" s="1"/>
  <c r="O70" i="2"/>
  <c r="W70" i="2" s="1"/>
  <c r="P70" i="2"/>
  <c r="Q70" i="2"/>
  <c r="L71" i="2"/>
  <c r="M71" i="2"/>
  <c r="N71" i="2"/>
  <c r="T71" i="2" s="1"/>
  <c r="O71" i="2"/>
  <c r="W71" i="2" s="1"/>
  <c r="P71" i="2"/>
  <c r="Q71" i="2"/>
  <c r="L72" i="2"/>
  <c r="M72" i="2"/>
  <c r="N72" i="2"/>
  <c r="T72" i="2" s="1"/>
  <c r="O72" i="2"/>
  <c r="W72" i="2" s="1"/>
  <c r="P72" i="2"/>
  <c r="Q72" i="2"/>
  <c r="M73" i="2"/>
  <c r="O73" i="2"/>
  <c r="W73" i="2" s="1"/>
  <c r="L74" i="2"/>
  <c r="M74" i="2"/>
  <c r="N74" i="2"/>
  <c r="T74" i="2" s="1"/>
  <c r="P78" i="2"/>
  <c r="M79" i="2"/>
  <c r="P79" i="2"/>
  <c r="M80" i="2"/>
  <c r="P80" i="2"/>
  <c r="M81" i="2"/>
  <c r="O81" i="2"/>
  <c r="W81" i="2" s="1"/>
  <c r="M82" i="2"/>
  <c r="P82" i="2"/>
  <c r="M83" i="2"/>
  <c r="Q83" i="2"/>
  <c r="M84" i="2"/>
  <c r="T84" i="2" s="1"/>
  <c r="U84" i="2" s="1"/>
  <c r="P84" i="2"/>
  <c r="M85" i="2"/>
  <c r="T85" i="2" s="1"/>
  <c r="U85" i="2" s="1"/>
  <c r="Q85" i="2"/>
  <c r="N86" i="2"/>
  <c r="Q86" i="2"/>
  <c r="N87" i="2"/>
  <c r="O88" i="2"/>
  <c r="W88" i="2" s="1"/>
  <c r="Q88" i="2"/>
  <c r="M89" i="2"/>
  <c r="T89" i="2" s="1"/>
  <c r="Q89" i="2"/>
  <c r="O90" i="2"/>
  <c r="W90" i="2" s="1"/>
  <c r="Q90" i="2"/>
  <c r="O91" i="2"/>
  <c r="W91" i="2" s="1"/>
  <c r="Q91" i="2"/>
  <c r="O92" i="2"/>
  <c r="W92" i="2" s="1"/>
  <c r="M93" i="2"/>
  <c r="T93" i="2" s="1"/>
  <c r="L94" i="2"/>
  <c r="N95" i="2"/>
  <c r="L96" i="2"/>
  <c r="P96" i="2"/>
  <c r="Q97" i="2"/>
  <c r="O98" i="2"/>
  <c r="W98" i="2" s="1"/>
  <c r="N99" i="2"/>
  <c r="O100" i="2"/>
  <c r="W100" i="2" s="1"/>
  <c r="L101" i="2"/>
  <c r="L102" i="2"/>
  <c r="P103" i="2"/>
  <c r="P104" i="2"/>
  <c r="M106" i="2"/>
  <c r="T106" i="2" s="1"/>
  <c r="M107" i="2"/>
  <c r="T107" i="2" s="1"/>
  <c r="P108" i="2"/>
  <c r="N109" i="2"/>
  <c r="M110" i="2"/>
  <c r="T110" i="2" s="1"/>
  <c r="Q110" i="2"/>
  <c r="P111" i="2"/>
  <c r="O112" i="2"/>
  <c r="W112" i="2" s="1"/>
  <c r="L114" i="2"/>
  <c r="M115" i="2"/>
  <c r="T115" i="2" s="1"/>
  <c r="P116" i="2"/>
  <c r="O117" i="2"/>
  <c r="W117" i="2" s="1"/>
  <c r="Q119" i="2"/>
  <c r="L121" i="2"/>
  <c r="N122" i="2"/>
  <c r="T122" i="2" s="1"/>
  <c r="L123" i="2"/>
  <c r="L124" i="2"/>
  <c r="P124" i="2"/>
  <c r="M125" i="2"/>
  <c r="M126" i="2"/>
  <c r="M127" i="2"/>
  <c r="M129" i="2"/>
  <c r="P129" i="2"/>
  <c r="O130" i="2"/>
  <c r="W130" i="2" s="1"/>
  <c r="P131" i="2"/>
  <c r="L133" i="2"/>
  <c r="M134" i="2"/>
  <c r="T134" i="2" s="1"/>
  <c r="Q134" i="2"/>
  <c r="N135" i="2"/>
  <c r="Q136" i="2"/>
  <c r="N138" i="2"/>
  <c r="M139" i="2"/>
  <c r="T139" i="2" s="1"/>
  <c r="O141" i="2"/>
  <c r="W141" i="2" s="1"/>
  <c r="N142" i="2"/>
  <c r="P143" i="2"/>
  <c r="N144" i="2"/>
  <c r="L145" i="2"/>
  <c r="M146" i="2"/>
  <c r="T146" i="2" s="1"/>
  <c r="Q146" i="2"/>
  <c r="Q147" i="2"/>
  <c r="L149" i="2"/>
  <c r="P149" i="2"/>
  <c r="P150" i="2"/>
  <c r="M152" i="2"/>
  <c r="T152" i="2" s="1"/>
  <c r="M153" i="2"/>
  <c r="T153" i="2" s="1"/>
  <c r="Q158" i="2"/>
  <c r="N160" i="2"/>
  <c r="T160" i="2" s="1"/>
  <c r="N161" i="2"/>
  <c r="T161" i="2" s="1"/>
  <c r="L162" i="2"/>
  <c r="Q162" i="2"/>
  <c r="L164" i="2"/>
  <c r="Q164" i="2"/>
  <c r="P165" i="2"/>
  <c r="W165" i="2" s="1"/>
  <c r="P166" i="2"/>
  <c r="W166" i="2" s="1"/>
  <c r="Q167" i="2"/>
  <c r="Q168" i="2"/>
  <c r="L170" i="2"/>
  <c r="Q170" i="2"/>
  <c r="L172" i="2"/>
  <c r="P259" i="2"/>
  <c r="P260" i="2"/>
  <c r="M262" i="2"/>
  <c r="T262" i="2" s="1"/>
  <c r="U262" i="2" s="1"/>
  <c r="N263" i="2"/>
  <c r="L265" i="2"/>
  <c r="P266" i="2"/>
  <c r="N268" i="2"/>
  <c r="L269" i="2"/>
  <c r="L272" i="2"/>
  <c r="Q272" i="2"/>
  <c r="N275" i="2"/>
  <c r="L278" i="2"/>
  <c r="Q278" i="2"/>
  <c r="L284" i="2"/>
  <c r="O287" i="2"/>
  <c r="M288" i="2"/>
  <c r="T288" i="2" s="1"/>
  <c r="O291" i="2"/>
  <c r="L293" i="2"/>
  <c r="O295" i="2"/>
  <c r="W295" i="2" s="1"/>
  <c r="P296" i="2"/>
  <c r="N297" i="2"/>
  <c r="L303" i="2"/>
  <c r="N304" i="2"/>
  <c r="T304" i="2" s="1"/>
  <c r="Q304" i="2"/>
  <c r="P306" i="2"/>
  <c r="P308" i="2"/>
  <c r="N310" i="2"/>
  <c r="T310" i="2" s="1"/>
  <c r="M312" i="2"/>
  <c r="L313" i="2"/>
  <c r="N314" i="2"/>
  <c r="N315" i="2"/>
  <c r="O317" i="2"/>
  <c r="W317" i="2" s="1"/>
  <c r="M318" i="2"/>
  <c r="T318" i="2" s="1"/>
  <c r="M321" i="2"/>
  <c r="T321" i="2" s="1"/>
  <c r="P324" i="2"/>
  <c r="M326" i="2"/>
  <c r="T326" i="2" s="1"/>
  <c r="Q329" i="2"/>
  <c r="L331" i="2"/>
  <c r="N334" i="2"/>
  <c r="M336" i="2"/>
  <c r="T336" i="2" s="1"/>
  <c r="L338" i="2"/>
  <c r="M341" i="2"/>
  <c r="T341" i="2" s="1"/>
  <c r="Q344" i="2"/>
  <c r="N345" i="2"/>
  <c r="T345" i="2" s="1"/>
  <c r="Q346" i="2"/>
  <c r="O348" i="2"/>
  <c r="W348" i="2" s="1"/>
  <c r="O351" i="2"/>
  <c r="W351" i="2" s="1"/>
  <c r="N352" i="2"/>
  <c r="T352" i="2" s="1"/>
  <c r="O353" i="2"/>
  <c r="W353" i="2" s="1"/>
  <c r="M356" i="2"/>
  <c r="T356" i="2" s="1"/>
  <c r="M358" i="2"/>
  <c r="T358" i="2" s="1"/>
  <c r="O359" i="2"/>
  <c r="W359" i="2" s="1"/>
  <c r="O361" i="2"/>
  <c r="W361" i="2" s="1"/>
  <c r="O364" i="2"/>
  <c r="W364" i="2" s="1"/>
  <c r="O365" i="2"/>
  <c r="W365" i="2" s="1"/>
  <c r="Q366" i="2"/>
  <c r="O367" i="2"/>
  <c r="W367" i="2" s="1"/>
  <c r="O413" i="2"/>
  <c r="W413" i="2" s="1"/>
  <c r="O417" i="2"/>
  <c r="Q419" i="2"/>
  <c r="Q421" i="2"/>
  <c r="L423" i="2"/>
  <c r="O429" i="2"/>
  <c r="P434" i="2"/>
  <c r="P435" i="2"/>
  <c r="Q436" i="2"/>
  <c r="O439" i="2"/>
  <c r="O440" i="2"/>
  <c r="O441" i="2"/>
  <c r="P444" i="2"/>
  <c r="P445" i="2"/>
  <c r="M446" i="2"/>
  <c r="T446" i="2" s="1"/>
  <c r="M448" i="2"/>
  <c r="T448" i="2" s="1"/>
  <c r="N450" i="2"/>
  <c r="Q450" i="2"/>
  <c r="O455" i="2"/>
  <c r="W455" i="2" s="1"/>
  <c r="P458" i="2"/>
  <c r="M460" i="2"/>
  <c r="Q460" i="2"/>
  <c r="P172" i="2"/>
  <c r="Q172" i="2"/>
  <c r="L173" i="2"/>
  <c r="M173" i="2"/>
  <c r="N173" i="2"/>
  <c r="T173" i="2" s="1"/>
  <c r="U173" i="2" s="1"/>
  <c r="O173" i="2"/>
  <c r="P173" i="2"/>
  <c r="Q173" i="2"/>
  <c r="L174" i="2"/>
  <c r="M174" i="2"/>
  <c r="N174" i="2"/>
  <c r="T174" i="2" s="1"/>
  <c r="U174" i="2" s="1"/>
  <c r="O174" i="2"/>
  <c r="P174" i="2"/>
  <c r="Q174" i="2"/>
  <c r="L175" i="2"/>
  <c r="M175" i="2"/>
  <c r="N175" i="2"/>
  <c r="T175" i="2" s="1"/>
  <c r="U175" i="2" s="1"/>
  <c r="O175" i="2"/>
  <c r="P175" i="2"/>
  <c r="Q175" i="2"/>
  <c r="L176" i="2"/>
  <c r="M176" i="2"/>
  <c r="N176" i="2"/>
  <c r="T176" i="2" s="1"/>
  <c r="U176" i="2" s="1"/>
  <c r="O176" i="2"/>
  <c r="P176" i="2"/>
  <c r="Q176" i="2"/>
  <c r="L177" i="2"/>
  <c r="M177" i="2"/>
  <c r="N177" i="2"/>
  <c r="T177" i="2" s="1"/>
  <c r="U177" i="2" s="1"/>
  <c r="O177" i="2"/>
  <c r="P177" i="2"/>
  <c r="Q177" i="2"/>
  <c r="L178" i="2"/>
  <c r="M178" i="2"/>
  <c r="N178" i="2"/>
  <c r="T178" i="2" s="1"/>
  <c r="U178" i="2" s="1"/>
  <c r="O178" i="2"/>
  <c r="P178" i="2"/>
  <c r="Q178" i="2"/>
  <c r="L179" i="2"/>
  <c r="M179" i="2"/>
  <c r="N179" i="2"/>
  <c r="T179" i="2" s="1"/>
  <c r="U179" i="2" s="1"/>
  <c r="O179" i="2"/>
  <c r="P179" i="2"/>
  <c r="Q179" i="2"/>
  <c r="L180" i="2"/>
  <c r="M180" i="2"/>
  <c r="N180" i="2"/>
  <c r="T180" i="2" s="1"/>
  <c r="U180" i="2" s="1"/>
  <c r="O180" i="2"/>
  <c r="P180" i="2"/>
  <c r="Q180" i="2"/>
  <c r="L181" i="2"/>
  <c r="M181" i="2"/>
  <c r="N181" i="2"/>
  <c r="T181" i="2" s="1"/>
  <c r="U181" i="2" s="1"/>
  <c r="O181" i="2"/>
  <c r="P181" i="2"/>
  <c r="Q181" i="2"/>
  <c r="L182" i="2"/>
  <c r="M182" i="2"/>
  <c r="N182" i="2"/>
  <c r="T182" i="2" s="1"/>
  <c r="U182" i="2" s="1"/>
  <c r="O182" i="2"/>
  <c r="P182" i="2"/>
  <c r="Q182" i="2"/>
  <c r="L183" i="2"/>
  <c r="M183" i="2"/>
  <c r="N183" i="2"/>
  <c r="T183" i="2" s="1"/>
  <c r="U183" i="2" s="1"/>
  <c r="O183" i="2"/>
  <c r="P183" i="2"/>
  <c r="Q183" i="2"/>
  <c r="L184" i="2"/>
  <c r="M184" i="2"/>
  <c r="N184" i="2"/>
  <c r="T184" i="2" s="1"/>
  <c r="U184" i="2" s="1"/>
  <c r="O184" i="2"/>
  <c r="P184" i="2"/>
  <c r="Q184" i="2"/>
  <c r="L185" i="2"/>
  <c r="M185" i="2"/>
  <c r="N185" i="2"/>
  <c r="T185" i="2" s="1"/>
  <c r="U185" i="2" s="1"/>
  <c r="O185" i="2"/>
  <c r="P185" i="2"/>
  <c r="Q185" i="2"/>
  <c r="L186" i="2"/>
  <c r="M186" i="2"/>
  <c r="N186" i="2"/>
  <c r="T186" i="2" s="1"/>
  <c r="U186" i="2" s="1"/>
  <c r="O186" i="2"/>
  <c r="P186" i="2"/>
  <c r="Q186" i="2"/>
  <c r="L187" i="2"/>
  <c r="M187" i="2"/>
  <c r="N187" i="2"/>
  <c r="T187" i="2" s="1"/>
  <c r="U187" i="2" s="1"/>
  <c r="O187" i="2"/>
  <c r="P187" i="2"/>
  <c r="Q187" i="2"/>
  <c r="L188" i="2"/>
  <c r="M188" i="2"/>
  <c r="N188" i="2"/>
  <c r="T188" i="2" s="1"/>
  <c r="U188" i="2" s="1"/>
  <c r="O188" i="2"/>
  <c r="W188" i="2" s="1"/>
  <c r="P188" i="2"/>
  <c r="Q188" i="2"/>
  <c r="L189" i="2"/>
  <c r="M189" i="2"/>
  <c r="N189" i="2"/>
  <c r="T189" i="2" s="1"/>
  <c r="U189" i="2" s="1"/>
  <c r="O189" i="2"/>
  <c r="W189" i="2" s="1"/>
  <c r="P189" i="2"/>
  <c r="Q189" i="2"/>
  <c r="L190" i="2"/>
  <c r="M190" i="2"/>
  <c r="N190" i="2"/>
  <c r="T190" i="2" s="1"/>
  <c r="U190" i="2" s="1"/>
  <c r="O190" i="2"/>
  <c r="W190" i="2" s="1"/>
  <c r="P190" i="2"/>
  <c r="Q190" i="2"/>
  <c r="L191" i="2"/>
  <c r="M191" i="2"/>
  <c r="N191" i="2"/>
  <c r="T191" i="2" s="1"/>
  <c r="U191" i="2" s="1"/>
  <c r="O191" i="2"/>
  <c r="W191" i="2" s="1"/>
  <c r="P191" i="2"/>
  <c r="Q191" i="2"/>
  <c r="L192" i="2"/>
  <c r="M192" i="2"/>
  <c r="N192" i="2"/>
  <c r="T192" i="2" s="1"/>
  <c r="U192" i="2" s="1"/>
  <c r="O192" i="2"/>
  <c r="W192" i="2" s="1"/>
  <c r="P192" i="2"/>
  <c r="Q192" i="2"/>
  <c r="L193" i="2"/>
  <c r="M193" i="2"/>
  <c r="N193" i="2"/>
  <c r="T193" i="2" s="1"/>
  <c r="O193" i="2"/>
  <c r="W193" i="2" s="1"/>
  <c r="P193" i="2"/>
  <c r="Q193" i="2"/>
  <c r="L194" i="2"/>
  <c r="M194" i="2"/>
  <c r="N194" i="2"/>
  <c r="T194" i="2" s="1"/>
  <c r="O194" i="2"/>
  <c r="W194" i="2" s="1"/>
  <c r="P194" i="2"/>
  <c r="Q194" i="2"/>
  <c r="L195" i="2"/>
  <c r="M195" i="2"/>
  <c r="N195" i="2"/>
  <c r="T195" i="2" s="1"/>
  <c r="O195" i="2"/>
  <c r="W195" i="2" s="1"/>
  <c r="P195" i="2"/>
  <c r="Q195" i="2"/>
  <c r="L196" i="2"/>
  <c r="M196" i="2"/>
  <c r="N196" i="2"/>
  <c r="T196" i="2" s="1"/>
  <c r="O196" i="2"/>
  <c r="W196" i="2" s="1"/>
  <c r="P196" i="2"/>
  <c r="Q196" i="2"/>
  <c r="L197" i="2"/>
  <c r="M197" i="2"/>
  <c r="N197" i="2"/>
  <c r="T197" i="2" s="1"/>
  <c r="O197" i="2"/>
  <c r="W197" i="2" s="1"/>
  <c r="P197" i="2"/>
  <c r="Q197" i="2"/>
  <c r="L198" i="2"/>
  <c r="M198" i="2"/>
  <c r="N198" i="2"/>
  <c r="T198" i="2" s="1"/>
  <c r="O198" i="2"/>
  <c r="W198" i="2" s="1"/>
  <c r="P198" i="2"/>
  <c r="Q198" i="2"/>
  <c r="L199" i="2"/>
  <c r="M199" i="2"/>
  <c r="N199" i="2"/>
  <c r="T199" i="2" s="1"/>
  <c r="O199" i="2"/>
  <c r="W199" i="2" s="1"/>
  <c r="P199" i="2"/>
  <c r="Q199" i="2"/>
  <c r="L200" i="2"/>
  <c r="M200" i="2"/>
  <c r="N200" i="2"/>
  <c r="T200" i="2" s="1"/>
  <c r="O200" i="2"/>
  <c r="W200" i="2" s="1"/>
  <c r="P200" i="2"/>
  <c r="Q200" i="2"/>
  <c r="L201" i="2"/>
  <c r="N201" i="2"/>
  <c r="T201" i="2" s="1"/>
  <c r="O201" i="2"/>
  <c r="W201" i="2" s="1"/>
  <c r="P201" i="2"/>
  <c r="Q201" i="2"/>
  <c r="L202" i="2"/>
  <c r="M202" i="2"/>
  <c r="N202" i="2"/>
  <c r="T202" i="2" s="1"/>
  <c r="O202" i="2"/>
  <c r="W202" i="2" s="1"/>
  <c r="P202" i="2"/>
  <c r="Q202" i="2"/>
  <c r="L203" i="2"/>
  <c r="M203" i="2"/>
  <c r="N203" i="2"/>
  <c r="T203" i="2" s="1"/>
  <c r="O203" i="2"/>
  <c r="W203" i="2" s="1"/>
  <c r="P203" i="2"/>
  <c r="Q203" i="2"/>
  <c r="L204" i="2"/>
  <c r="M204" i="2"/>
  <c r="N204" i="2"/>
  <c r="T204" i="2" s="1"/>
  <c r="O204" i="2"/>
  <c r="W204" i="2" s="1"/>
  <c r="P204" i="2"/>
  <c r="L205" i="2"/>
  <c r="M205" i="2"/>
  <c r="O205" i="2"/>
  <c r="W205" i="2" s="1"/>
  <c r="Q205" i="2"/>
  <c r="L206" i="2"/>
  <c r="N206" i="2"/>
  <c r="T206" i="2" s="1"/>
  <c r="P206" i="2"/>
  <c r="L207" i="2"/>
  <c r="N207" i="2"/>
  <c r="T207" i="2" s="1"/>
  <c r="P207" i="2"/>
  <c r="L208" i="2"/>
  <c r="N208" i="2"/>
  <c r="T208" i="2" s="1"/>
  <c r="P208" i="2"/>
  <c r="M209" i="2"/>
  <c r="N209" i="2"/>
  <c r="T209" i="2" s="1"/>
  <c r="P209" i="2"/>
  <c r="L210" i="2"/>
  <c r="N210" i="2"/>
  <c r="T210" i="2" s="1"/>
  <c r="P210" i="2"/>
  <c r="Q210" i="2"/>
  <c r="M211" i="2"/>
  <c r="P211" i="2"/>
  <c r="L212" i="2"/>
  <c r="N212" i="2"/>
  <c r="T212" i="2" s="1"/>
  <c r="P212" i="2"/>
  <c r="L213" i="2"/>
  <c r="N213" i="2"/>
  <c r="T213" i="2" s="1"/>
  <c r="P213" i="2"/>
  <c r="L214" i="2"/>
  <c r="N214" i="2"/>
  <c r="T214" i="2" s="1"/>
  <c r="O214" i="2"/>
  <c r="W214" i="2" s="1"/>
  <c r="Q214" i="2"/>
  <c r="M215" i="2"/>
  <c r="O215" i="2"/>
  <c r="W215" i="2" s="1"/>
  <c r="P215" i="2"/>
  <c r="L216" i="2"/>
  <c r="N216" i="2"/>
  <c r="T216" i="2" s="1"/>
  <c r="P216" i="2"/>
  <c r="Q216" i="2"/>
  <c r="M217" i="2"/>
  <c r="N217" i="2"/>
  <c r="T217" i="2" s="1"/>
  <c r="P217" i="2"/>
  <c r="L218" i="2"/>
  <c r="N218" i="2"/>
  <c r="T218" i="2" s="1"/>
  <c r="P218" i="2"/>
  <c r="L219" i="2"/>
  <c r="N219" i="2"/>
  <c r="T219" i="2" s="1"/>
  <c r="O219" i="2"/>
  <c r="W219" i="2" s="1"/>
  <c r="Q219" i="2"/>
  <c r="M220" i="2"/>
  <c r="O220" i="2"/>
  <c r="W220" i="2" s="1"/>
  <c r="Q220" i="2"/>
  <c r="M221" i="2"/>
  <c r="N221" i="2"/>
  <c r="T221" i="2" s="1"/>
  <c r="O221" i="2"/>
  <c r="W221" i="2" s="1"/>
  <c r="Q221" i="2"/>
  <c r="M222" i="2"/>
  <c r="O222" i="2"/>
  <c r="W222" i="2" s="1"/>
  <c r="P222" i="2"/>
  <c r="Q222" i="2"/>
  <c r="M223" i="2"/>
  <c r="O223" i="2"/>
  <c r="W223" i="2" s="1"/>
  <c r="Q223" i="2"/>
  <c r="M224" i="2"/>
  <c r="O224" i="2"/>
  <c r="W224" i="2" s="1"/>
  <c r="P224" i="2"/>
  <c r="L225" i="2"/>
  <c r="M225" i="2"/>
  <c r="O225" i="2"/>
  <c r="W225" i="2" s="1"/>
  <c r="Q225" i="2"/>
  <c r="M226" i="2"/>
  <c r="O226" i="2"/>
  <c r="W226" i="2" s="1"/>
  <c r="P226" i="2"/>
  <c r="L227" i="2"/>
  <c r="N227" i="2"/>
  <c r="T227" i="2" s="1"/>
  <c r="P227" i="2"/>
  <c r="Q227" i="2"/>
  <c r="M228" i="2"/>
  <c r="N228" i="2"/>
  <c r="T228" i="2" s="1"/>
  <c r="P228" i="2"/>
  <c r="L229" i="2"/>
  <c r="N229" i="2"/>
  <c r="T229" i="2" s="1"/>
  <c r="O229" i="2"/>
  <c r="W229" i="2" s="1"/>
  <c r="Q229" i="2"/>
  <c r="M230" i="2"/>
  <c r="O230" i="2"/>
  <c r="W230" i="2" s="1"/>
  <c r="Q230" i="2"/>
  <c r="L231" i="2"/>
  <c r="N231" i="2"/>
  <c r="T231" i="2" s="1"/>
  <c r="P231" i="2"/>
  <c r="L232" i="2"/>
  <c r="N232" i="2"/>
  <c r="T232" i="2" s="1"/>
  <c r="O232" i="2"/>
  <c r="W232" i="2" s="1"/>
  <c r="Q232" i="2"/>
  <c r="M233" i="2"/>
  <c r="O233" i="2"/>
  <c r="W233" i="2" s="1"/>
  <c r="P233" i="2"/>
  <c r="M234" i="2"/>
  <c r="P234" i="2"/>
  <c r="L235" i="2"/>
  <c r="N235" i="2"/>
  <c r="T235" i="2" s="1"/>
  <c r="O235" i="2"/>
  <c r="W235" i="2" s="1"/>
  <c r="Q235" i="2"/>
  <c r="M236" i="2"/>
  <c r="N236" i="2"/>
  <c r="T236" i="2" s="1"/>
  <c r="O236" i="2"/>
  <c r="W236" i="2" s="1"/>
  <c r="P236" i="2"/>
  <c r="Q236" i="2"/>
  <c r="L237" i="2"/>
  <c r="M237" i="2"/>
  <c r="T237" i="2" s="1"/>
  <c r="N237" i="2"/>
  <c r="O237" i="2"/>
  <c r="W237" i="2" s="1"/>
  <c r="P237" i="2"/>
  <c r="Q237" i="2"/>
  <c r="L238" i="2"/>
  <c r="M238" i="2"/>
  <c r="T238" i="2" s="1"/>
  <c r="N238" i="2"/>
  <c r="P238" i="2"/>
  <c r="Q238" i="2"/>
  <c r="M239" i="2"/>
  <c r="T239" i="2" s="1"/>
  <c r="O239" i="2"/>
  <c r="W239" i="2" s="1"/>
  <c r="Q239" i="2"/>
  <c r="M240" i="2"/>
  <c r="T240" i="2" s="1"/>
  <c r="N240" i="2"/>
  <c r="P240" i="2"/>
  <c r="L241" i="2"/>
  <c r="N241" i="2"/>
  <c r="P241" i="2"/>
  <c r="L242" i="2"/>
  <c r="N242" i="2"/>
  <c r="P242" i="2"/>
  <c r="W242" i="2" s="1"/>
  <c r="L243" i="2"/>
  <c r="N243" i="2"/>
  <c r="P243" i="2"/>
  <c r="W243" i="2" s="1"/>
  <c r="L244" i="2"/>
  <c r="N244" i="2"/>
  <c r="P244" i="2"/>
  <c r="W244" i="2" s="1"/>
  <c r="L245" i="2"/>
  <c r="N245" i="2"/>
  <c r="P245" i="2"/>
  <c r="W245" i="2" s="1"/>
  <c r="L246" i="2"/>
  <c r="N246" i="2"/>
  <c r="P246" i="2"/>
  <c r="W246" i="2" s="1"/>
  <c r="L247" i="2"/>
  <c r="N247" i="2"/>
  <c r="O247" i="2"/>
  <c r="Q247" i="2"/>
  <c r="M248" i="2"/>
  <c r="T248" i="2" s="1"/>
  <c r="O248" i="2"/>
  <c r="Q248" i="2"/>
  <c r="L252" i="2"/>
  <c r="N252" i="2"/>
  <c r="P252" i="2"/>
  <c r="W252" i="2" s="1"/>
  <c r="L253" i="2"/>
  <c r="N253" i="2"/>
  <c r="P253" i="2"/>
  <c r="L254" i="2"/>
  <c r="N254" i="2"/>
  <c r="P254" i="2"/>
  <c r="Q254" i="2"/>
  <c r="M255" i="2"/>
  <c r="T255" i="2" s="1"/>
  <c r="O255" i="2"/>
  <c r="Q255" i="2"/>
  <c r="M256" i="2"/>
  <c r="T256" i="2" s="1"/>
  <c r="O256" i="2"/>
  <c r="Q256" i="2"/>
  <c r="M257" i="2"/>
  <c r="T257" i="2" s="1"/>
  <c r="O257" i="2"/>
  <c r="P257" i="2"/>
  <c r="L258" i="2"/>
  <c r="Q258" i="2"/>
  <c r="N259" i="2"/>
  <c r="O260" i="2"/>
  <c r="W260" i="2" s="1"/>
  <c r="N261" i="2"/>
  <c r="O262" i="2"/>
  <c r="W262" i="2" s="1"/>
  <c r="L263" i="2"/>
  <c r="N264" i="2"/>
  <c r="L266" i="2"/>
  <c r="Q266" i="2"/>
  <c r="Q267" i="2"/>
  <c r="Q268" i="2"/>
  <c r="P271" i="2"/>
  <c r="N273" i="2"/>
  <c r="L274" i="2"/>
  <c r="L275" i="2"/>
  <c r="L276" i="2"/>
  <c r="L277" i="2"/>
  <c r="N277" i="2"/>
  <c r="O279" i="2"/>
  <c r="W279" i="2" s="1"/>
  <c r="P281" i="2"/>
  <c r="O282" i="2"/>
  <c r="W282" i="2" s="1"/>
  <c r="M284" i="2"/>
  <c r="T284" i="2" s="1"/>
  <c r="Q284" i="2"/>
  <c r="P285" i="2"/>
  <c r="L287" i="2"/>
  <c r="Q289" i="2"/>
  <c r="P290" i="2"/>
  <c r="P294" i="2"/>
  <c r="Q295" i="2"/>
  <c r="N296" i="2"/>
  <c r="N298" i="2"/>
  <c r="M299" i="2"/>
  <c r="T299" i="2" s="1"/>
  <c r="L300" i="2"/>
  <c r="M301" i="2"/>
  <c r="T301" i="2" s="1"/>
  <c r="M302" i="2"/>
  <c r="T302" i="2" s="1"/>
  <c r="P302" i="2"/>
  <c r="O303" i="2"/>
  <c r="W303" i="2" s="1"/>
  <c r="Q303" i="2"/>
  <c r="O304" i="2"/>
  <c r="W304" i="2" s="1"/>
  <c r="Q305" i="2"/>
  <c r="L308" i="2"/>
  <c r="N309" i="2"/>
  <c r="T309" i="2" s="1"/>
  <c r="O310" i="2"/>
  <c r="W310" i="2" s="1"/>
  <c r="Q311" i="2"/>
  <c r="N312" i="2"/>
  <c r="T312" i="2" s="1"/>
  <c r="L315" i="2"/>
  <c r="L318" i="2"/>
  <c r="O318" i="2"/>
  <c r="W318" i="2" s="1"/>
  <c r="Q319" i="2"/>
  <c r="M320" i="2"/>
  <c r="T320" i="2" s="1"/>
  <c r="N322" i="2"/>
  <c r="Q322" i="2"/>
  <c r="N323" i="2"/>
  <c r="Q323" i="2"/>
  <c r="M325" i="2"/>
  <c r="T325" i="2" s="1"/>
  <c r="Q325" i="2"/>
  <c r="O326" i="2"/>
  <c r="W326" i="2" s="1"/>
  <c r="N329" i="2"/>
  <c r="P330" i="2"/>
  <c r="P331" i="2"/>
  <c r="M332" i="2"/>
  <c r="T332" i="2" s="1"/>
  <c r="L333" i="2"/>
  <c r="P333" i="2"/>
  <c r="O334" i="2"/>
  <c r="W334" i="2" s="1"/>
  <c r="O336" i="2"/>
  <c r="W336" i="2" s="1"/>
  <c r="L337" i="2"/>
  <c r="P337" i="2"/>
  <c r="P338" i="2"/>
  <c r="N339" i="2"/>
  <c r="L340" i="2"/>
  <c r="L341" i="2"/>
  <c r="O341" i="2"/>
  <c r="W341" i="2" s="1"/>
  <c r="O342" i="2"/>
  <c r="W342" i="2" s="1"/>
  <c r="M343" i="2"/>
  <c r="T343" i="2" s="1"/>
  <c r="P344" i="2"/>
  <c r="Q345" i="2"/>
  <c r="O346" i="2"/>
  <c r="W346" i="2" s="1"/>
  <c r="M348" i="2"/>
  <c r="Q348" i="2"/>
  <c r="O349" i="2"/>
  <c r="W349" i="2" s="1"/>
  <c r="L350" i="2"/>
  <c r="L351" i="2"/>
  <c r="L352" i="2"/>
  <c r="P352" i="2"/>
  <c r="L354" i="2"/>
  <c r="N354" i="2"/>
  <c r="T354" i="2" s="1"/>
  <c r="L355" i="2"/>
  <c r="N356" i="2"/>
  <c r="L358" i="2"/>
  <c r="Q358" i="2"/>
  <c r="L360" i="2"/>
  <c r="L362" i="2"/>
  <c r="N365" i="2"/>
  <c r="M367" i="2"/>
  <c r="T367" i="2" s="1"/>
  <c r="N369" i="2"/>
  <c r="M370" i="2"/>
  <c r="T370" i="2" s="1"/>
  <c r="N413" i="2"/>
  <c r="T413" i="2" s="1"/>
  <c r="N414" i="2"/>
  <c r="T414" i="2" s="1"/>
  <c r="P416" i="2"/>
  <c r="O418" i="2"/>
  <c r="P420" i="2"/>
  <c r="O424" i="2"/>
  <c r="L425" i="2"/>
  <c r="L426" i="2"/>
  <c r="M426" i="2"/>
  <c r="T426" i="2" s="1"/>
  <c r="P427" i="2"/>
  <c r="N428" i="2"/>
  <c r="P428" i="2"/>
  <c r="N430" i="2"/>
  <c r="N431" i="2"/>
  <c r="L433" i="2"/>
  <c r="N433" i="2"/>
  <c r="N435" i="2"/>
  <c r="Q437" i="2"/>
  <c r="O438" i="2"/>
  <c r="N440" i="2"/>
  <c r="Q441" i="2"/>
  <c r="N443" i="2"/>
  <c r="N445" i="2"/>
  <c r="P446" i="2"/>
  <c r="L449" i="2"/>
  <c r="P451" i="2"/>
  <c r="Q452" i="2"/>
  <c r="O454" i="2"/>
  <c r="M455" i="2"/>
  <c r="T455" i="2" s="1"/>
  <c r="P455" i="2"/>
  <c r="L459" i="2"/>
  <c r="N461" i="2"/>
  <c r="T461" i="2" s="1"/>
  <c r="M201" i="2"/>
  <c r="Q204" i="2"/>
  <c r="N205" i="2"/>
  <c r="T205" i="2" s="1"/>
  <c r="P205" i="2"/>
  <c r="M206" i="2"/>
  <c r="O206" i="2"/>
  <c r="W206" i="2" s="1"/>
  <c r="Q206" i="2"/>
  <c r="M207" i="2"/>
  <c r="O207" i="2"/>
  <c r="W207" i="2" s="1"/>
  <c r="Q207" i="2"/>
  <c r="M208" i="2"/>
  <c r="O208" i="2"/>
  <c r="W208" i="2" s="1"/>
  <c r="Q208" i="2"/>
  <c r="L209" i="2"/>
  <c r="O209" i="2"/>
  <c r="W209" i="2" s="1"/>
  <c r="Q209" i="2"/>
  <c r="M210" i="2"/>
  <c r="O210" i="2"/>
  <c r="W210" i="2" s="1"/>
  <c r="L211" i="2"/>
  <c r="N211" i="2"/>
  <c r="T211" i="2" s="1"/>
  <c r="O211" i="2"/>
  <c r="W211" i="2" s="1"/>
  <c r="Q211" i="2"/>
  <c r="M212" i="2"/>
  <c r="O212" i="2"/>
  <c r="W212" i="2" s="1"/>
  <c r="Q212" i="2"/>
  <c r="M213" i="2"/>
  <c r="O213" i="2"/>
  <c r="W213" i="2" s="1"/>
  <c r="Q213" i="2"/>
  <c r="M214" i="2"/>
  <c r="P214" i="2"/>
  <c r="L215" i="2"/>
  <c r="N215" i="2"/>
  <c r="T215" i="2" s="1"/>
  <c r="Q215" i="2"/>
  <c r="M216" i="2"/>
  <c r="O216" i="2"/>
  <c r="W216" i="2" s="1"/>
  <c r="L217" i="2"/>
  <c r="O217" i="2"/>
  <c r="W217" i="2" s="1"/>
  <c r="Q217" i="2"/>
  <c r="M218" i="2"/>
  <c r="O218" i="2"/>
  <c r="W218" i="2" s="1"/>
  <c r="Q218" i="2"/>
  <c r="M219" i="2"/>
  <c r="P219" i="2"/>
  <c r="L220" i="2"/>
  <c r="N220" i="2"/>
  <c r="T220" i="2" s="1"/>
  <c r="P220" i="2"/>
  <c r="L221" i="2"/>
  <c r="P221" i="2"/>
  <c r="L222" i="2"/>
  <c r="N222" i="2"/>
  <c r="T222" i="2" s="1"/>
  <c r="L223" i="2"/>
  <c r="N223" i="2"/>
  <c r="T223" i="2" s="1"/>
  <c r="P223" i="2"/>
  <c r="L224" i="2"/>
  <c r="N224" i="2"/>
  <c r="T224" i="2" s="1"/>
  <c r="Q224" i="2"/>
  <c r="N225" i="2"/>
  <c r="T225" i="2" s="1"/>
  <c r="P225" i="2"/>
  <c r="L226" i="2"/>
  <c r="N226" i="2"/>
  <c r="T226" i="2" s="1"/>
  <c r="Q226" i="2"/>
  <c r="M227" i="2"/>
  <c r="O227" i="2"/>
  <c r="W227" i="2" s="1"/>
  <c r="L228" i="2"/>
  <c r="O228" i="2"/>
  <c r="W228" i="2" s="1"/>
  <c r="Q228" i="2"/>
  <c r="M229" i="2"/>
  <c r="P229" i="2"/>
  <c r="L230" i="2"/>
  <c r="N230" i="2"/>
  <c r="T230" i="2" s="1"/>
  <c r="P230" i="2"/>
  <c r="M231" i="2"/>
  <c r="O231" i="2"/>
  <c r="W231" i="2" s="1"/>
  <c r="Q231" i="2"/>
  <c r="M232" i="2"/>
  <c r="P232" i="2"/>
  <c r="L233" i="2"/>
  <c r="N233" i="2"/>
  <c r="T233" i="2" s="1"/>
  <c r="Q233" i="2"/>
  <c r="L234" i="2"/>
  <c r="N234" i="2"/>
  <c r="T234" i="2" s="1"/>
  <c r="O234" i="2"/>
  <c r="W234" i="2" s="1"/>
  <c r="Q234" i="2"/>
  <c r="M235" i="2"/>
  <c r="P235" i="2"/>
  <c r="L236" i="2"/>
  <c r="O238" i="2"/>
  <c r="W238" i="2" s="1"/>
  <c r="L239" i="2"/>
  <c r="N239" i="2"/>
  <c r="P239" i="2"/>
  <c r="L240" i="2"/>
  <c r="O240" i="2"/>
  <c r="W240" i="2" s="1"/>
  <c r="Q240" i="2"/>
  <c r="M241" i="2"/>
  <c r="T241" i="2" s="1"/>
  <c r="O241" i="2"/>
  <c r="Q241" i="2"/>
  <c r="M242" i="2"/>
  <c r="T242" i="2" s="1"/>
  <c r="O242" i="2"/>
  <c r="Q242" i="2"/>
  <c r="M243" i="2"/>
  <c r="T243" i="2" s="1"/>
  <c r="O243" i="2"/>
  <c r="Q243" i="2"/>
  <c r="M244" i="2"/>
  <c r="T244" i="2" s="1"/>
  <c r="O244" i="2"/>
  <c r="Q244" i="2"/>
  <c r="M245" i="2"/>
  <c r="T245" i="2" s="1"/>
  <c r="O245" i="2"/>
  <c r="Q245" i="2"/>
  <c r="M246" i="2"/>
  <c r="T246" i="2" s="1"/>
  <c r="O246" i="2"/>
  <c r="Q246" i="2"/>
  <c r="M247" i="2"/>
  <c r="T247" i="2" s="1"/>
  <c r="P247" i="2"/>
  <c r="W247" i="2" s="1"/>
  <c r="L248" i="2"/>
  <c r="N248" i="2"/>
  <c r="P248" i="2"/>
  <c r="W248" i="2" s="1"/>
  <c r="L249" i="2"/>
  <c r="M249" i="2"/>
  <c r="T249" i="2" s="1"/>
  <c r="N249" i="2"/>
  <c r="O249" i="2"/>
  <c r="P249" i="2"/>
  <c r="W249" i="2" s="1"/>
  <c r="Q249" i="2"/>
  <c r="L250" i="2"/>
  <c r="M250" i="2"/>
  <c r="T250" i="2" s="1"/>
  <c r="V250" i="2" s="1"/>
  <c r="N250" i="2"/>
  <c r="O250" i="2"/>
  <c r="P250" i="2"/>
  <c r="W250" i="2" s="1"/>
  <c r="Q250" i="2"/>
  <c r="L251" i="2"/>
  <c r="M251" i="2"/>
  <c r="T251" i="2" s="1"/>
  <c r="N251" i="2"/>
  <c r="O251" i="2"/>
  <c r="P251" i="2"/>
  <c r="W251" i="2" s="1"/>
  <c r="Q251" i="2"/>
  <c r="M252" i="2"/>
  <c r="T252" i="2" s="1"/>
  <c r="O252" i="2"/>
  <c r="Q252" i="2"/>
  <c r="M253" i="2"/>
  <c r="T253" i="2" s="1"/>
  <c r="O253" i="2"/>
  <c r="Q253" i="2"/>
  <c r="M254" i="2"/>
  <c r="T254" i="2" s="1"/>
  <c r="O254" i="2"/>
  <c r="L255" i="2"/>
  <c r="N255" i="2"/>
  <c r="P255" i="2"/>
  <c r="L256" i="2"/>
  <c r="N256" i="2"/>
  <c r="P256" i="2"/>
  <c r="L257" i="2"/>
  <c r="N257" i="2"/>
  <c r="Q257" i="2"/>
  <c r="M258" i="2"/>
  <c r="T258" i="2" s="1"/>
  <c r="O261" i="2"/>
  <c r="W261" i="2" s="1"/>
  <c r="P262" i="2"/>
  <c r="O264" i="2"/>
  <c r="W264" i="2" s="1"/>
  <c r="N266" i="2"/>
  <c r="M267" i="2"/>
  <c r="T267" i="2" s="1"/>
  <c r="U267" i="2" s="1"/>
  <c r="P268" i="2"/>
  <c r="P269" i="2"/>
  <c r="P270" i="2"/>
  <c r="N271" i="2"/>
  <c r="O272" i="2"/>
  <c r="W272" i="2" s="1"/>
  <c r="L273" i="2"/>
  <c r="O273" i="2"/>
  <c r="W273" i="2" s="1"/>
  <c r="N276" i="2"/>
  <c r="P277" i="2"/>
  <c r="L281" i="2"/>
  <c r="L283" i="2"/>
  <c r="N284" i="2"/>
  <c r="N286" i="2"/>
  <c r="M287" i="2"/>
  <c r="T287" i="2" s="1"/>
  <c r="M290" i="2"/>
  <c r="T290" i="2" s="1"/>
  <c r="L291" i="2"/>
  <c r="O292" i="2"/>
  <c r="W292" i="2" s="1"/>
  <c r="L294" i="2"/>
  <c r="M295" i="2"/>
  <c r="T295" i="2" s="1"/>
  <c r="P295" i="2"/>
  <c r="Q296" i="2"/>
  <c r="O297" i="2"/>
  <c r="W297" i="2" s="1"/>
  <c r="L298" i="2"/>
  <c r="Q299" i="2"/>
  <c r="O300" i="2"/>
  <c r="W300" i="2" s="1"/>
  <c r="P301" i="2"/>
  <c r="M305" i="2"/>
  <c r="M307" i="2"/>
  <c r="M308" i="2"/>
  <c r="L309" i="2"/>
  <c r="L310" i="2"/>
  <c r="P310" i="2"/>
  <c r="N311" i="2"/>
  <c r="T311" i="2" s="1"/>
  <c r="O312" i="2"/>
  <c r="W312" i="2" s="1"/>
  <c r="P313" i="2"/>
  <c r="P314" i="2"/>
  <c r="L317" i="2"/>
  <c r="P318" i="2"/>
  <c r="O319" i="2"/>
  <c r="W319" i="2" s="1"/>
  <c r="Q321" i="2"/>
  <c r="O322" i="2"/>
  <c r="W322" i="2" s="1"/>
  <c r="N324" i="2"/>
  <c r="L326" i="2"/>
  <c r="M327" i="2"/>
  <c r="T327" i="2" s="1"/>
  <c r="Q327" i="2"/>
  <c r="L330" i="2"/>
  <c r="Q330" i="2"/>
  <c r="O331" i="2"/>
  <c r="W331" i="2" s="1"/>
  <c r="L334" i="2"/>
  <c r="P334" i="2"/>
  <c r="L335" i="2"/>
  <c r="O335" i="2"/>
  <c r="W335" i="2" s="1"/>
  <c r="O337" i="2"/>
  <c r="W337" i="2" s="1"/>
  <c r="M338" i="2"/>
  <c r="T338" i="2" s="1"/>
  <c r="Q339" i="2"/>
  <c r="N342" i="2"/>
  <c r="Q342" i="2"/>
  <c r="N343" i="2"/>
  <c r="Q343" i="2"/>
  <c r="O344" i="2"/>
  <c r="W344" i="2" s="1"/>
  <c r="P345" i="2"/>
  <c r="M346" i="2"/>
  <c r="L348" i="2"/>
  <c r="P348" i="2"/>
  <c r="P349" i="2"/>
  <c r="M350" i="2"/>
  <c r="P350" i="2"/>
  <c r="L353" i="2"/>
  <c r="P353" i="2"/>
  <c r="N355" i="2"/>
  <c r="O356" i="2"/>
  <c r="W356" i="2" s="1"/>
  <c r="N359" i="2"/>
  <c r="Q359" i="2"/>
  <c r="L361" i="2"/>
  <c r="P362" i="2"/>
  <c r="Q365" i="2"/>
  <c r="P366" i="2"/>
  <c r="O368" i="2"/>
  <c r="W368" i="2" s="1"/>
  <c r="L370" i="2"/>
  <c r="N412" i="2"/>
  <c r="T412" i="2" s="1"/>
  <c r="L413" i="2"/>
  <c r="O416" i="2"/>
  <c r="W416" i="2" s="1"/>
  <c r="L420" i="2"/>
  <c r="O421" i="2"/>
  <c r="N422" i="2"/>
  <c r="T422" i="2" s="1"/>
  <c r="O425" i="2"/>
  <c r="N426" i="2"/>
  <c r="O427" i="2"/>
  <c r="M434" i="2"/>
  <c r="T434" i="2" s="1"/>
  <c r="P436" i="2"/>
  <c r="L440" i="2"/>
  <c r="Q445" i="2"/>
  <c r="P447" i="2"/>
  <c r="Q448" i="2"/>
  <c r="P450" i="2"/>
  <c r="O451" i="2"/>
  <c r="M453" i="2"/>
  <c r="T453" i="2" s="1"/>
  <c r="L455" i="2"/>
  <c r="L456" i="2"/>
  <c r="Q456" i="2"/>
  <c r="O458" i="2"/>
  <c r="W458" i="2" s="1"/>
  <c r="O459" i="2"/>
  <c r="W459" i="2" s="1"/>
  <c r="M461" i="2"/>
  <c r="L462" i="2"/>
  <c r="P370" i="2"/>
  <c r="Q370" i="2"/>
  <c r="L371" i="2"/>
  <c r="M371" i="2"/>
  <c r="T371" i="2" s="1"/>
  <c r="N371" i="2"/>
  <c r="O371" i="2"/>
  <c r="W371" i="2" s="1"/>
  <c r="P371" i="2"/>
  <c r="Q371" i="2"/>
  <c r="L372" i="2"/>
  <c r="M372" i="2"/>
  <c r="T372" i="2" s="1"/>
  <c r="N372" i="2"/>
  <c r="O372" i="2"/>
  <c r="W372" i="2" s="1"/>
  <c r="P372" i="2"/>
  <c r="Q372" i="2"/>
  <c r="L373" i="2"/>
  <c r="M373" i="2"/>
  <c r="T373" i="2" s="1"/>
  <c r="N373" i="2"/>
  <c r="O373" i="2"/>
  <c r="W373" i="2" s="1"/>
  <c r="P373" i="2"/>
  <c r="Q373" i="2"/>
  <c r="L374" i="2"/>
  <c r="M374" i="2"/>
  <c r="T374" i="2" s="1"/>
  <c r="N374" i="2"/>
  <c r="O374" i="2"/>
  <c r="W374" i="2" s="1"/>
  <c r="P374" i="2"/>
  <c r="Q374" i="2"/>
  <c r="L375" i="2"/>
  <c r="M375" i="2"/>
  <c r="T375" i="2" s="1"/>
  <c r="N375" i="2"/>
  <c r="O375" i="2"/>
  <c r="W375" i="2" s="1"/>
  <c r="P375" i="2"/>
  <c r="Q375" i="2"/>
  <c r="L376" i="2"/>
  <c r="M376" i="2"/>
  <c r="T376" i="2" s="1"/>
  <c r="N376" i="2"/>
  <c r="O376" i="2"/>
  <c r="W376" i="2" s="1"/>
  <c r="P376" i="2"/>
  <c r="Q376" i="2"/>
  <c r="L377" i="2"/>
  <c r="M377" i="2"/>
  <c r="T377" i="2" s="1"/>
  <c r="N377" i="2"/>
  <c r="O377" i="2"/>
  <c r="W377" i="2" s="1"/>
  <c r="P377" i="2"/>
  <c r="Q377" i="2"/>
  <c r="L378" i="2"/>
  <c r="M378" i="2"/>
  <c r="T378" i="2" s="1"/>
  <c r="N378" i="2"/>
  <c r="O378" i="2"/>
  <c r="W378" i="2" s="1"/>
  <c r="P378" i="2"/>
  <c r="Q378" i="2"/>
  <c r="L379" i="2"/>
  <c r="M379" i="2"/>
  <c r="T379" i="2" s="1"/>
  <c r="N379" i="2"/>
  <c r="O379" i="2"/>
  <c r="W379" i="2" s="1"/>
  <c r="P379" i="2"/>
  <c r="Q379" i="2"/>
  <c r="L380" i="2"/>
  <c r="M380" i="2"/>
  <c r="T380" i="2" s="1"/>
  <c r="N380" i="2"/>
  <c r="O380" i="2"/>
  <c r="W380" i="2" s="1"/>
  <c r="P380" i="2"/>
  <c r="Q380" i="2"/>
  <c r="L381" i="2"/>
  <c r="M381" i="2"/>
  <c r="T381" i="2" s="1"/>
  <c r="N381" i="2"/>
  <c r="O381" i="2"/>
  <c r="W381" i="2" s="1"/>
  <c r="P381" i="2"/>
  <c r="Q381" i="2"/>
  <c r="L382" i="2"/>
  <c r="M382" i="2"/>
  <c r="T382" i="2" s="1"/>
  <c r="N382" i="2"/>
  <c r="O382" i="2"/>
  <c r="W382" i="2" s="1"/>
  <c r="P382" i="2"/>
  <c r="Q382" i="2"/>
  <c r="L383" i="2"/>
  <c r="M383" i="2"/>
  <c r="T383" i="2" s="1"/>
  <c r="N383" i="2"/>
  <c r="O383" i="2"/>
  <c r="W383" i="2" s="1"/>
  <c r="P383" i="2"/>
  <c r="Q383" i="2"/>
  <c r="L384" i="2"/>
  <c r="M384" i="2"/>
  <c r="T384" i="2" s="1"/>
  <c r="N384" i="2"/>
  <c r="O384" i="2"/>
  <c r="W384" i="2" s="1"/>
  <c r="P384" i="2"/>
  <c r="Q384" i="2"/>
  <c r="L385" i="2"/>
  <c r="M385" i="2"/>
  <c r="T385" i="2" s="1"/>
  <c r="N385" i="2"/>
  <c r="O385" i="2"/>
  <c r="W385" i="2" s="1"/>
  <c r="P385" i="2"/>
  <c r="Q385" i="2"/>
  <c r="L386" i="2"/>
  <c r="M386" i="2"/>
  <c r="T386" i="2" s="1"/>
  <c r="N386" i="2"/>
  <c r="O386" i="2"/>
  <c r="W386" i="2" s="1"/>
  <c r="P386" i="2"/>
  <c r="Q386" i="2"/>
  <c r="L387" i="2"/>
  <c r="M387" i="2"/>
  <c r="T387" i="2" s="1"/>
  <c r="N387" i="2"/>
  <c r="O387" i="2"/>
  <c r="W387" i="2" s="1"/>
  <c r="P387" i="2"/>
  <c r="Q387" i="2"/>
  <c r="L388" i="2"/>
  <c r="M388" i="2"/>
  <c r="T388" i="2" s="1"/>
  <c r="N388" i="2"/>
  <c r="O388" i="2"/>
  <c r="W388" i="2" s="1"/>
  <c r="P388" i="2"/>
  <c r="Q388" i="2"/>
  <c r="L389" i="2"/>
  <c r="M389" i="2"/>
  <c r="T389" i="2" s="1"/>
  <c r="N389" i="2"/>
  <c r="O389" i="2"/>
  <c r="W389" i="2" s="1"/>
  <c r="P389" i="2"/>
  <c r="Q389" i="2"/>
  <c r="L390" i="2"/>
  <c r="M390" i="2"/>
  <c r="T390" i="2" s="1"/>
  <c r="N390" i="2"/>
  <c r="O390" i="2"/>
  <c r="W390" i="2" s="1"/>
  <c r="P390" i="2"/>
  <c r="Q390" i="2"/>
  <c r="L391" i="2"/>
  <c r="M391" i="2"/>
  <c r="T391" i="2" s="1"/>
  <c r="N391" i="2"/>
  <c r="O391" i="2"/>
  <c r="W391" i="2" s="1"/>
  <c r="P391" i="2"/>
  <c r="Q391" i="2"/>
  <c r="L392" i="2"/>
  <c r="M392" i="2"/>
  <c r="T392" i="2" s="1"/>
  <c r="N392" i="2"/>
  <c r="O392" i="2"/>
  <c r="W392" i="2" s="1"/>
  <c r="P392" i="2"/>
  <c r="Q392" i="2"/>
  <c r="L393" i="2"/>
  <c r="M393" i="2"/>
  <c r="T393" i="2" s="1"/>
  <c r="N393" i="2"/>
  <c r="O393" i="2"/>
  <c r="W393" i="2" s="1"/>
  <c r="P393" i="2"/>
  <c r="Q393" i="2"/>
  <c r="L394" i="2"/>
  <c r="M394" i="2"/>
  <c r="T394" i="2" s="1"/>
  <c r="N394" i="2"/>
  <c r="O394" i="2"/>
  <c r="W394" i="2" s="1"/>
  <c r="P394" i="2"/>
  <c r="Q394" i="2"/>
  <c r="L395" i="2"/>
  <c r="M395" i="2"/>
  <c r="T395" i="2" s="1"/>
  <c r="N395" i="2"/>
  <c r="O395" i="2"/>
  <c r="W395" i="2" s="1"/>
  <c r="P395" i="2"/>
  <c r="Q395" i="2"/>
  <c r="L396" i="2"/>
  <c r="M396" i="2"/>
  <c r="T396" i="2" s="1"/>
  <c r="N396" i="2"/>
  <c r="O396" i="2"/>
  <c r="W396" i="2" s="1"/>
  <c r="P396" i="2"/>
  <c r="Q396" i="2"/>
  <c r="L397" i="2"/>
  <c r="M397" i="2"/>
  <c r="T397" i="2" s="1"/>
  <c r="N397" i="2"/>
  <c r="O397" i="2"/>
  <c r="W397" i="2" s="1"/>
  <c r="P397" i="2"/>
  <c r="Q397" i="2"/>
  <c r="L398" i="2"/>
  <c r="M398" i="2"/>
  <c r="T398" i="2" s="1"/>
  <c r="U398" i="2" s="1"/>
  <c r="N398" i="2"/>
  <c r="O398" i="2"/>
  <c r="W398" i="2" s="1"/>
  <c r="P398" i="2"/>
  <c r="Q398" i="2"/>
  <c r="L399" i="2"/>
  <c r="M399" i="2"/>
  <c r="T399" i="2" s="1"/>
  <c r="N399" i="2"/>
  <c r="O399" i="2"/>
  <c r="W399" i="2" s="1"/>
  <c r="P399" i="2"/>
  <c r="Q399" i="2"/>
  <c r="L400" i="2"/>
  <c r="M400" i="2"/>
  <c r="T400" i="2" s="1"/>
  <c r="N400" i="2"/>
  <c r="O400" i="2"/>
  <c r="W400" i="2" s="1"/>
  <c r="P400" i="2"/>
  <c r="Q400" i="2"/>
  <c r="L401" i="2"/>
  <c r="M401" i="2"/>
  <c r="N401" i="2"/>
  <c r="T401" i="2" s="1"/>
  <c r="O401" i="2"/>
  <c r="W401" i="2" s="1"/>
  <c r="P401" i="2"/>
  <c r="Q401" i="2"/>
  <c r="L402" i="2"/>
  <c r="M402" i="2"/>
  <c r="N402" i="2"/>
  <c r="T402" i="2" s="1"/>
  <c r="O402" i="2"/>
  <c r="W402" i="2" s="1"/>
  <c r="P402" i="2"/>
  <c r="Q402" i="2"/>
  <c r="L403" i="2"/>
  <c r="M403" i="2"/>
  <c r="N403" i="2"/>
  <c r="T403" i="2" s="1"/>
  <c r="O403" i="2"/>
  <c r="W403" i="2" s="1"/>
  <c r="P403" i="2"/>
  <c r="Q403" i="2"/>
  <c r="L404" i="2"/>
  <c r="M404" i="2"/>
  <c r="N404" i="2"/>
  <c r="T404" i="2" s="1"/>
  <c r="O404" i="2"/>
  <c r="W404" i="2" s="1"/>
  <c r="P404" i="2"/>
  <c r="Q404" i="2"/>
  <c r="L405" i="2"/>
  <c r="M405" i="2"/>
  <c r="N405" i="2"/>
  <c r="T405" i="2" s="1"/>
  <c r="O405" i="2"/>
  <c r="W405" i="2" s="1"/>
  <c r="P405" i="2"/>
  <c r="Q405" i="2"/>
  <c r="L406" i="2"/>
  <c r="M406" i="2"/>
  <c r="N406" i="2"/>
  <c r="T406" i="2" s="1"/>
  <c r="O406" i="2"/>
  <c r="W406" i="2" s="1"/>
  <c r="P406" i="2"/>
  <c r="Q406" i="2"/>
  <c r="L407" i="2"/>
  <c r="M407" i="2"/>
  <c r="N407" i="2"/>
  <c r="T407" i="2" s="1"/>
  <c r="O407" i="2"/>
  <c r="W407" i="2" s="1"/>
  <c r="P407" i="2"/>
  <c r="Q407" i="2"/>
  <c r="L408" i="2"/>
  <c r="M408" i="2"/>
  <c r="N408" i="2"/>
  <c r="T408" i="2" s="1"/>
  <c r="O408" i="2"/>
  <c r="W408" i="2" s="1"/>
  <c r="P408" i="2"/>
  <c r="Q408" i="2"/>
  <c r="L409" i="2"/>
  <c r="M409" i="2"/>
  <c r="N409" i="2"/>
  <c r="T409" i="2" s="1"/>
  <c r="O409" i="2"/>
  <c r="W409" i="2" s="1"/>
  <c r="P409" i="2"/>
  <c r="Q409" i="2"/>
  <c r="L410" i="2"/>
  <c r="M410" i="2"/>
  <c r="N410" i="2"/>
  <c r="T410" i="2" s="1"/>
  <c r="O410" i="2"/>
  <c r="W410" i="2" s="1"/>
  <c r="P410" i="2"/>
  <c r="Q410" i="2"/>
  <c r="L411" i="2"/>
  <c r="M411" i="2"/>
  <c r="N411" i="2"/>
  <c r="T411" i="2" s="1"/>
  <c r="O411" i="2"/>
  <c r="W411" i="2" s="1"/>
  <c r="P411" i="2"/>
  <c r="Q411" i="2"/>
  <c r="L412" i="2"/>
  <c r="M412" i="2"/>
  <c r="O412" i="2"/>
  <c r="W412" i="2" s="1"/>
  <c r="P412" i="2"/>
  <c r="L414" i="2"/>
  <c r="N415" i="2"/>
  <c r="T415" i="2" s="1"/>
  <c r="N416" i="2"/>
  <c r="T416" i="2" s="1"/>
  <c r="M417" i="2"/>
  <c r="L418" i="2"/>
  <c r="L421" i="2"/>
  <c r="O423" i="2"/>
  <c r="L427" i="2"/>
  <c r="O431" i="2"/>
  <c r="M433" i="2"/>
  <c r="T433" i="2" s="1"/>
  <c r="Q434" i="2"/>
  <c r="O437" i="2"/>
  <c r="N441" i="2"/>
  <c r="P442" i="2"/>
  <c r="M444" i="2"/>
  <c r="T444" i="2" s="1"/>
  <c r="L447" i="2"/>
  <c r="P448" i="2"/>
  <c r="M451" i="2"/>
  <c r="T451" i="2" s="1"/>
  <c r="O452" i="2"/>
  <c r="Q454" i="2"/>
  <c r="L457" i="2"/>
  <c r="M459" i="2"/>
  <c r="T459" i="2" s="1"/>
  <c r="N460" i="2"/>
  <c r="T460" i="2" s="1"/>
  <c r="P461" i="2"/>
  <c r="M90" i="2"/>
  <c r="T90" i="2" s="1"/>
  <c r="P92" i="2"/>
  <c r="P93" i="2"/>
  <c r="P94" i="2"/>
  <c r="O95" i="2"/>
  <c r="W95" i="2" s="1"/>
  <c r="O96" i="2"/>
  <c r="W96" i="2" s="1"/>
  <c r="M97" i="2"/>
  <c r="T97" i="2" s="1"/>
  <c r="M98" i="2"/>
  <c r="T98" i="2" s="1"/>
  <c r="Q98" i="2"/>
  <c r="Q99" i="2"/>
  <c r="M100" i="2"/>
  <c r="T100" i="2" s="1"/>
  <c r="N101" i="2"/>
  <c r="P102" i="2"/>
  <c r="N103" i="2"/>
  <c r="L104" i="2"/>
  <c r="O104" i="2"/>
  <c r="W104" i="2" s="1"/>
  <c r="M105" i="2"/>
  <c r="T105" i="2" s="1"/>
  <c r="P105" i="2"/>
  <c r="L106" i="2"/>
  <c r="O106" i="2"/>
  <c r="W106" i="2" s="1"/>
  <c r="O107" i="2"/>
  <c r="W107" i="2" s="1"/>
  <c r="P107" i="2"/>
  <c r="N108" i="2"/>
  <c r="L109" i="2"/>
  <c r="O109" i="2"/>
  <c r="W109" i="2" s="1"/>
  <c r="Q109" i="2"/>
  <c r="M111" i="2"/>
  <c r="T111" i="2" s="1"/>
  <c r="N112" i="2"/>
  <c r="Q112" i="2"/>
  <c r="N113" i="2"/>
  <c r="P113" i="2"/>
  <c r="M114" i="2"/>
  <c r="T114" i="2" s="1"/>
  <c r="N115" i="2"/>
  <c r="Q115" i="2"/>
  <c r="M116" i="2"/>
  <c r="T116" i="2" s="1"/>
  <c r="L117" i="2"/>
  <c r="N117" i="2"/>
  <c r="M118" i="2"/>
  <c r="T118" i="2" s="1"/>
  <c r="Q118" i="2"/>
  <c r="M119" i="2"/>
  <c r="T119" i="2" s="1"/>
  <c r="M120" i="2"/>
  <c r="T120" i="2" s="1"/>
  <c r="P120" i="2"/>
  <c r="Q121" i="2"/>
  <c r="Q122" i="2"/>
  <c r="N123" i="2"/>
  <c r="T123" i="2" s="1"/>
  <c r="Q123" i="2"/>
  <c r="Q125" i="2"/>
  <c r="Q126" i="2"/>
  <c r="Q127" i="2"/>
  <c r="M128" i="2"/>
  <c r="Q128" i="2"/>
  <c r="O129" i="2"/>
  <c r="W129" i="2" s="1"/>
  <c r="Q130" i="2"/>
  <c r="M131" i="2"/>
  <c r="T131" i="2" s="1"/>
  <c r="Q131" i="2"/>
  <c r="N132" i="2"/>
  <c r="Q132" i="2"/>
  <c r="N133" i="2"/>
  <c r="Q133" i="2"/>
  <c r="P134" i="2"/>
  <c r="P135" i="2"/>
  <c r="L136" i="2"/>
  <c r="N136" i="2"/>
  <c r="M137" i="2"/>
  <c r="T137" i="2" s="1"/>
  <c r="P137" i="2"/>
  <c r="O138" i="2"/>
  <c r="W138" i="2" s="1"/>
  <c r="Q139" i="2"/>
  <c r="N140" i="2"/>
  <c r="N141" i="2"/>
  <c r="Q141" i="2"/>
  <c r="M142" i="2"/>
  <c r="T142" i="2" s="1"/>
  <c r="Q142" i="2"/>
  <c r="L143" i="2"/>
  <c r="O143" i="2"/>
  <c r="W143" i="2" s="1"/>
  <c r="M144" i="2"/>
  <c r="T144" i="2" s="1"/>
  <c r="P145" i="2"/>
  <c r="O146" i="2"/>
  <c r="W146" i="2" s="1"/>
  <c r="P147" i="2"/>
  <c r="P148" i="2"/>
  <c r="L150" i="2"/>
  <c r="O150" i="2"/>
  <c r="W150" i="2" s="1"/>
  <c r="M151" i="2"/>
  <c r="T151" i="2" s="1"/>
  <c r="Q151" i="2"/>
  <c r="Q152" i="2"/>
  <c r="Q153" i="2"/>
  <c r="O155" i="2"/>
  <c r="M159" i="2"/>
  <c r="O160" i="2"/>
  <c r="M161" i="2"/>
  <c r="Q161" i="2"/>
  <c r="O162" i="2"/>
  <c r="O163" i="2"/>
  <c r="M164" i="2"/>
  <c r="N165" i="2"/>
  <c r="T165" i="2" s="1"/>
  <c r="N166" i="2"/>
  <c r="T166" i="2" s="1"/>
  <c r="P167" i="2"/>
  <c r="W167" i="2" s="1"/>
  <c r="N168" i="2"/>
  <c r="T168" i="2" s="1"/>
  <c r="N169" i="2"/>
  <c r="T169" i="2" s="1"/>
  <c r="U169" i="2" s="1"/>
  <c r="N170" i="2"/>
  <c r="T170" i="2" s="1"/>
  <c r="U170" i="2" s="1"/>
  <c r="L171" i="2"/>
  <c r="O171" i="2"/>
  <c r="M172" i="2"/>
  <c r="L259" i="2"/>
  <c r="O259" i="2"/>
  <c r="W259" i="2" s="1"/>
  <c r="Q260" i="2"/>
  <c r="O263" i="2"/>
  <c r="W263" i="2" s="1"/>
  <c r="M265" i="2"/>
  <c r="T265" i="2" s="1"/>
  <c r="U265" i="2" s="1"/>
  <c r="O265" i="2"/>
  <c r="W265" i="2" s="1"/>
  <c r="Q265" i="2"/>
  <c r="O266" i="2"/>
  <c r="W266" i="2" s="1"/>
  <c r="L267" i="2"/>
  <c r="O267" i="2"/>
  <c r="W267" i="2" s="1"/>
  <c r="L268" i="2"/>
  <c r="M269" i="2"/>
  <c r="T269" i="2" s="1"/>
  <c r="U269" i="2" s="1"/>
  <c r="L270" i="2"/>
  <c r="O270" i="2"/>
  <c r="W270" i="2" s="1"/>
  <c r="M271" i="2"/>
  <c r="T271" i="2" s="1"/>
  <c r="U271" i="2" s="1"/>
  <c r="Q271" i="2"/>
  <c r="P272" i="2"/>
  <c r="P274" i="2"/>
  <c r="M276" i="2"/>
  <c r="T276" i="2" s="1"/>
  <c r="U276" i="2" s="1"/>
  <c r="M277" i="2"/>
  <c r="T277" i="2" s="1"/>
  <c r="U277" i="2" s="1"/>
  <c r="O277" i="2"/>
  <c r="W277" i="2" s="1"/>
  <c r="O278" i="2"/>
  <c r="W278" i="2" s="1"/>
  <c r="Q279" i="2"/>
  <c r="Q280" i="2"/>
  <c r="N281" i="2"/>
  <c r="Q281" i="2"/>
  <c r="P282" i="2"/>
  <c r="O283" i="2"/>
  <c r="W283" i="2" s="1"/>
  <c r="M285" i="2"/>
  <c r="T285" i="2" s="1"/>
  <c r="P286" i="2"/>
  <c r="P288" i="2"/>
  <c r="O289" i="2"/>
  <c r="P292" i="2"/>
  <c r="P293" i="2"/>
  <c r="Q294" i="2"/>
  <c r="L296" i="2"/>
  <c r="Q297" i="2"/>
  <c r="Q298" i="2"/>
  <c r="N299" i="2"/>
  <c r="P299" i="2"/>
  <c r="L301" i="2"/>
  <c r="Q301" i="2"/>
  <c r="P304" i="2"/>
  <c r="P305" i="2"/>
  <c r="Q306" i="2"/>
  <c r="N307" i="2"/>
  <c r="T307" i="2" s="1"/>
  <c r="M309" i="2"/>
  <c r="M310" i="2"/>
  <c r="Q310" i="2"/>
  <c r="Q312" i="2"/>
  <c r="M315" i="2"/>
  <c r="T315" i="2" s="1"/>
  <c r="N316" i="2"/>
  <c r="P316" i="2"/>
  <c r="N317" i="2"/>
  <c r="M319" i="2"/>
  <c r="T319" i="2" s="1"/>
  <c r="P319" i="2"/>
  <c r="O320" i="2"/>
  <c r="W320" i="2" s="1"/>
  <c r="Q320" i="2"/>
  <c r="N321" i="2"/>
  <c r="L322" i="2"/>
  <c r="L323" i="2"/>
  <c r="L324" i="2"/>
  <c r="O324" i="2"/>
  <c r="W324" i="2" s="1"/>
  <c r="O325" i="2"/>
  <c r="W325" i="2" s="1"/>
  <c r="L327" i="2"/>
  <c r="P327" i="2"/>
  <c r="O328" i="2"/>
  <c r="W328" i="2" s="1"/>
  <c r="P329" i="2"/>
  <c r="O330" i="2"/>
  <c r="W330" i="2" s="1"/>
  <c r="O333" i="2"/>
  <c r="W333" i="2" s="1"/>
  <c r="Q334" i="2"/>
  <c r="N335" i="2"/>
  <c r="Q335" i="2"/>
  <c r="Q336" i="2"/>
  <c r="M337" i="2"/>
  <c r="T337" i="2" s="1"/>
  <c r="P339" i="2"/>
  <c r="M340" i="2"/>
  <c r="T340" i="2" s="1"/>
  <c r="P341" i="2"/>
  <c r="P342" i="2"/>
  <c r="N344" i="2"/>
  <c r="T344" i="2" s="1"/>
  <c r="N347" i="2"/>
  <c r="T347" i="2" s="1"/>
  <c r="M349" i="2"/>
  <c r="M352" i="2"/>
  <c r="Q352" i="2"/>
  <c r="Q353" i="2"/>
  <c r="O354" i="2"/>
  <c r="W354" i="2" s="1"/>
  <c r="O355" i="2"/>
  <c r="W355" i="2" s="1"/>
  <c r="Q356" i="2"/>
  <c r="P358" i="2"/>
  <c r="O360" i="2"/>
  <c r="W360" i="2" s="1"/>
  <c r="N363" i="2"/>
  <c r="P363" i="2"/>
  <c r="Q364" i="2"/>
  <c r="M366" i="2"/>
  <c r="T366" i="2" s="1"/>
  <c r="L368" i="2"/>
  <c r="M369" i="2"/>
  <c r="T369" i="2" s="1"/>
  <c r="P413" i="2"/>
  <c r="L416" i="2"/>
  <c r="N417" i="2"/>
  <c r="T417" i="2" s="1"/>
  <c r="N419" i="2"/>
  <c r="T419" i="2" s="1"/>
  <c r="M420" i="2"/>
  <c r="L422" i="2"/>
  <c r="M424" i="2"/>
  <c r="Q424" i="2"/>
  <c r="M425" i="2"/>
  <c r="T425" i="2" s="1"/>
  <c r="O426" i="2"/>
  <c r="N427" i="2"/>
  <c r="M428" i="2"/>
  <c r="T428" i="2" s="1"/>
  <c r="L429" i="2"/>
  <c r="O430" i="2"/>
  <c r="L432" i="2"/>
  <c r="Q432" i="2"/>
  <c r="N434" i="2"/>
  <c r="Q435" i="2"/>
  <c r="L437" i="2"/>
  <c r="N437" i="2"/>
  <c r="L438" i="2"/>
  <c r="M439" i="2"/>
  <c r="T439" i="2" s="1"/>
  <c r="M440" i="2"/>
  <c r="T440" i="2" s="1"/>
  <c r="L443" i="2"/>
  <c r="O444" i="2"/>
  <c r="L446" i="2"/>
  <c r="O446" i="2"/>
  <c r="N448" i="2"/>
  <c r="O449" i="2"/>
  <c r="O453" i="2"/>
  <c r="M454" i="2"/>
  <c r="T454" i="2" s="1"/>
  <c r="P454" i="2"/>
  <c r="O456" i="2"/>
  <c r="W456" i="2" s="1"/>
  <c r="P457" i="2"/>
  <c r="M458" i="2"/>
  <c r="T458" i="2" s="1"/>
  <c r="N459" i="2"/>
  <c r="P459" i="2"/>
  <c r="O461" i="2"/>
  <c r="W461" i="2" s="1"/>
  <c r="O462" i="2"/>
  <c r="W462" i="2" s="1"/>
  <c r="N89" i="2"/>
  <c r="O93" i="2"/>
  <c r="W93" i="2" s="1"/>
  <c r="O94" i="2"/>
  <c r="W94" i="2" s="1"/>
  <c r="Q94" i="2"/>
  <c r="Q95" i="2"/>
  <c r="L97" i="2"/>
  <c r="P97" i="2"/>
  <c r="P98" i="2"/>
  <c r="M99" i="2"/>
  <c r="T99" i="2" s="1"/>
  <c r="N100" i="2"/>
  <c r="M101" i="2"/>
  <c r="T101" i="2" s="1"/>
  <c r="Q101" i="2"/>
  <c r="O102" i="2"/>
  <c r="W102" i="2" s="1"/>
  <c r="M103" i="2"/>
  <c r="T103" i="2" s="1"/>
  <c r="Q103" i="2"/>
  <c r="N104" i="2"/>
  <c r="Q104" i="2"/>
  <c r="N105" i="2"/>
  <c r="N106" i="2"/>
  <c r="L107" i="2"/>
  <c r="M108" i="2"/>
  <c r="T108" i="2" s="1"/>
  <c r="L110" i="2"/>
  <c r="O110" i="2"/>
  <c r="W110" i="2" s="1"/>
  <c r="O111" i="2"/>
  <c r="W111" i="2" s="1"/>
  <c r="M112" i="2"/>
  <c r="T112" i="2" s="1"/>
  <c r="O113" i="2"/>
  <c r="W113" i="2" s="1"/>
  <c r="N114" i="2"/>
  <c r="L115" i="2"/>
  <c r="P115" i="2"/>
  <c r="O116" i="2"/>
  <c r="W116" i="2" s="1"/>
  <c r="P117" i="2"/>
  <c r="O118" i="2"/>
  <c r="W118" i="2" s="1"/>
  <c r="N119" i="2"/>
  <c r="L120" i="2"/>
  <c r="O120" i="2"/>
  <c r="W120" i="2" s="1"/>
  <c r="M121" i="2"/>
  <c r="L122" i="2"/>
  <c r="P122" i="2"/>
  <c r="O123" i="2"/>
  <c r="W123" i="2" s="1"/>
  <c r="N124" i="2"/>
  <c r="T124" i="2" s="1"/>
  <c r="Q124" i="2"/>
  <c r="O125" i="2"/>
  <c r="W125" i="2" s="1"/>
  <c r="O127" i="2"/>
  <c r="W127" i="2" s="1"/>
  <c r="L129" i="2"/>
  <c r="L130" i="2"/>
  <c r="N130" i="2"/>
  <c r="L131" i="2"/>
  <c r="M132" i="2"/>
  <c r="T132" i="2" s="1"/>
  <c r="M133" i="2"/>
  <c r="T133" i="2" s="1"/>
  <c r="L134" i="2"/>
  <c r="O134" i="2"/>
  <c r="W134" i="2" s="1"/>
  <c r="O135" i="2"/>
  <c r="W135" i="2" s="1"/>
  <c r="O136" i="2"/>
  <c r="W136" i="2" s="1"/>
  <c r="O137" i="2"/>
  <c r="W137" i="2" s="1"/>
  <c r="L138" i="2"/>
  <c r="Q138" i="2"/>
  <c r="O139" i="2"/>
  <c r="W139" i="2" s="1"/>
  <c r="P140" i="2"/>
  <c r="M141" i="2"/>
  <c r="T141" i="2" s="1"/>
  <c r="L142" i="2"/>
  <c r="O142" i="2"/>
  <c r="W142" i="2" s="1"/>
  <c r="N143" i="2"/>
  <c r="L144" i="2"/>
  <c r="O144" i="2"/>
  <c r="W144" i="2" s="1"/>
  <c r="Q145" i="2"/>
  <c r="N146" i="2"/>
  <c r="L147" i="2"/>
  <c r="N148" i="2"/>
  <c r="M149" i="2"/>
  <c r="T149" i="2" s="1"/>
  <c r="Q149" i="2"/>
  <c r="N150" i="2"/>
  <c r="N151" i="2"/>
  <c r="L152" i="2"/>
  <c r="P152" i="2"/>
  <c r="W152" i="2" s="1"/>
  <c r="P153" i="2"/>
  <c r="W153" i="2" s="1"/>
  <c r="M154" i="2"/>
  <c r="T154" i="2" s="1"/>
  <c r="P154" i="2"/>
  <c r="W154" i="2" s="1"/>
  <c r="M155" i="2"/>
  <c r="T155" i="2" s="1"/>
  <c r="P155" i="2"/>
  <c r="W155" i="2" s="1"/>
  <c r="O156" i="2"/>
  <c r="M157" i="2"/>
  <c r="P157" i="2"/>
  <c r="W157" i="2" s="1"/>
  <c r="N158" i="2"/>
  <c r="T158" i="2" s="1"/>
  <c r="P159" i="2"/>
  <c r="W159" i="2" s="1"/>
  <c r="L160" i="2"/>
  <c r="L161" i="2"/>
  <c r="L166" i="2"/>
  <c r="O166" i="2"/>
  <c r="O167" i="2"/>
  <c r="P168" i="2"/>
  <c r="W168" i="2" s="1"/>
  <c r="O169" i="2"/>
  <c r="O170" i="2"/>
  <c r="N171" i="2"/>
  <c r="T171" i="2" s="1"/>
  <c r="U171" i="2" s="1"/>
  <c r="O172" i="2"/>
  <c r="P258" i="2"/>
  <c r="Q259" i="2"/>
  <c r="M260" i="2"/>
  <c r="T260" i="2" s="1"/>
  <c r="U260" i="2" s="1"/>
  <c r="P261" i="2"/>
  <c r="N262" i="2"/>
  <c r="M263" i="2"/>
  <c r="T263" i="2" s="1"/>
  <c r="U263" i="2" s="1"/>
  <c r="P263" i="2"/>
  <c r="Q264" i="2"/>
  <c r="P265" i="2"/>
  <c r="O268" i="2"/>
  <c r="W268" i="2" s="1"/>
  <c r="O269" i="2"/>
  <c r="W269" i="2" s="1"/>
  <c r="N270" i="2"/>
  <c r="Q270" i="2"/>
  <c r="M273" i="2"/>
  <c r="T273" i="2" s="1"/>
  <c r="U273" i="2" s="1"/>
  <c r="M274" i="2"/>
  <c r="T274" i="2" s="1"/>
  <c r="U274" i="2" s="1"/>
  <c r="M275" i="2"/>
  <c r="T275" i="2" s="1"/>
  <c r="U275" i="2" s="1"/>
  <c r="Q276" i="2"/>
  <c r="N278" i="2"/>
  <c r="N279" i="2"/>
  <c r="P279" i="2"/>
  <c r="L280" i="2"/>
  <c r="P280" i="2"/>
  <c r="N282" i="2"/>
  <c r="L285" i="2"/>
  <c r="O286" i="2"/>
  <c r="N287" i="2"/>
  <c r="L288" i="2"/>
  <c r="N288" i="2"/>
  <c r="M289" i="2"/>
  <c r="T289" i="2" s="1"/>
  <c r="N290" i="2"/>
  <c r="M292" i="2"/>
  <c r="T292" i="2" s="1"/>
  <c r="O293" i="2"/>
  <c r="W293" i="2" s="1"/>
  <c r="N295" i="2"/>
  <c r="M296" i="2"/>
  <c r="T296" i="2" s="1"/>
  <c r="M297" i="2"/>
  <c r="T297" i="2" s="1"/>
  <c r="M298" i="2"/>
  <c r="T298" i="2" s="1"/>
  <c r="O298" i="2"/>
  <c r="W298" i="2" s="1"/>
  <c r="M300" i="2"/>
  <c r="T300" i="2" s="1"/>
  <c r="N305" i="2"/>
  <c r="T305" i="2" s="1"/>
  <c r="N306" i="2"/>
  <c r="T306" i="2" s="1"/>
  <c r="O307" i="2"/>
  <c r="W307" i="2" s="1"/>
  <c r="Q309" i="2"/>
  <c r="M311" i="2"/>
  <c r="M313" i="2"/>
  <c r="L314" i="2"/>
  <c r="O315" i="2"/>
  <c r="W315" i="2" s="1"/>
  <c r="L316" i="2"/>
  <c r="O316" i="2"/>
  <c r="W316" i="2" s="1"/>
  <c r="M317" i="2"/>
  <c r="T317" i="2" s="1"/>
  <c r="N318" i="2"/>
  <c r="N319" i="2"/>
  <c r="N320" i="2"/>
  <c r="O323" i="2"/>
  <c r="W323" i="2" s="1"/>
  <c r="M324" i="2"/>
  <c r="T324" i="2" s="1"/>
  <c r="Q324" i="2"/>
  <c r="P325" i="2"/>
  <c r="P326" i="2"/>
  <c r="O327" i="2"/>
  <c r="W327" i="2" s="1"/>
  <c r="L328" i="2"/>
  <c r="L329" i="2"/>
  <c r="O329" i="2"/>
  <c r="W329" i="2" s="1"/>
  <c r="M331" i="2"/>
  <c r="T331" i="2" s="1"/>
  <c r="L332" i="2"/>
  <c r="P332" i="2"/>
  <c r="M333" i="2"/>
  <c r="T333" i="2" s="1"/>
  <c r="P335" i="2"/>
  <c r="N336" i="2"/>
  <c r="M339" i="2"/>
  <c r="T339" i="2" s="1"/>
  <c r="Q341" i="2"/>
  <c r="L344" i="2"/>
  <c r="L347" i="2"/>
  <c r="L349" i="2"/>
  <c r="N350" i="2"/>
  <c r="T350" i="2" s="1"/>
  <c r="P351" i="2"/>
  <c r="O352" i="2"/>
  <c r="W352" i="2" s="1"/>
  <c r="M353" i="2"/>
  <c r="Q354" i="2"/>
  <c r="P357" i="2"/>
  <c r="M359" i="2"/>
  <c r="T359" i="2" s="1"/>
  <c r="M360" i="2"/>
  <c r="T360" i="2" s="1"/>
  <c r="M361" i="2"/>
  <c r="T361" i="2" s="1"/>
  <c r="N362" i="2"/>
  <c r="L363" i="2"/>
  <c r="Q363" i="2"/>
  <c r="P365" i="2"/>
  <c r="L367" i="2"/>
  <c r="N368" i="2"/>
  <c r="M413" i="2"/>
  <c r="M414" i="2"/>
  <c r="Q414" i="2"/>
  <c r="O415" i="2"/>
  <c r="W415" i="2" s="1"/>
  <c r="L417" i="2"/>
  <c r="N420" i="2"/>
  <c r="T420" i="2" s="1"/>
  <c r="N421" i="2"/>
  <c r="T421" i="2" s="1"/>
  <c r="P423" i="2"/>
  <c r="N424" i="2"/>
  <c r="T424" i="2" s="1"/>
  <c r="P425" i="2"/>
  <c r="N429" i="2"/>
  <c r="P429" i="2"/>
  <c r="M430" i="2"/>
  <c r="T430" i="2" s="1"/>
  <c r="M431" i="2"/>
  <c r="T431" i="2" s="1"/>
  <c r="O432" i="2"/>
  <c r="P437" i="2"/>
  <c r="Q438" i="2"/>
  <c r="Q440" i="2"/>
  <c r="Q443" i="2"/>
  <c r="N444" i="2"/>
  <c r="M447" i="2"/>
  <c r="T447" i="2" s="1"/>
  <c r="L448" i="2"/>
  <c r="O448" i="2"/>
  <c r="M450" i="2"/>
  <c r="T450" i="2" s="1"/>
  <c r="N451" i="2"/>
  <c r="P453" i="2"/>
  <c r="N455" i="2"/>
  <c r="M457" i="2"/>
  <c r="T457" i="2" s="1"/>
  <c r="L458" i="2"/>
  <c r="P460" i="2"/>
  <c r="Q461" i="2"/>
  <c r="Q462" i="2"/>
  <c r="M148" i="2"/>
  <c r="T148" i="2" s="1"/>
  <c r="L153" i="2"/>
  <c r="L154" i="2"/>
  <c r="O154" i="2"/>
  <c r="Q154" i="2"/>
  <c r="Q155" i="2"/>
  <c r="M156" i="2"/>
  <c r="P156" i="2"/>
  <c r="W156" i="2" s="1"/>
  <c r="L157" i="2"/>
  <c r="O157" i="2"/>
  <c r="L158" i="2"/>
  <c r="M158" i="2"/>
  <c r="P158" i="2"/>
  <c r="W158" i="2" s="1"/>
  <c r="L159" i="2"/>
  <c r="N159" i="2"/>
  <c r="T159" i="2" s="1"/>
  <c r="M160" i="2"/>
  <c r="Q160" i="2"/>
  <c r="O161" i="2"/>
  <c r="N162" i="2"/>
  <c r="T162" i="2" s="1"/>
  <c r="L163" i="2"/>
  <c r="P163" i="2"/>
  <c r="W163" i="2" s="1"/>
  <c r="P164" i="2"/>
  <c r="W164" i="2" s="1"/>
  <c r="O165" i="2"/>
  <c r="M167" i="2"/>
  <c r="L168" i="2"/>
  <c r="O168" i="2"/>
  <c r="M170" i="2"/>
  <c r="M171" i="2"/>
  <c r="N172" i="2"/>
  <c r="T172" i="2" s="1"/>
  <c r="U172" i="2" s="1"/>
  <c r="N258" i="2"/>
  <c r="N260" i="2"/>
  <c r="Q261" i="2"/>
  <c r="Q262" i="2"/>
  <c r="L264" i="2"/>
  <c r="P264" i="2"/>
  <c r="P267" i="2"/>
  <c r="Q269" i="2"/>
  <c r="M270" i="2"/>
  <c r="T270" i="2" s="1"/>
  <c r="U270" i="2" s="1"/>
  <c r="L271" i="2"/>
  <c r="N272" i="2"/>
  <c r="Q273" i="2"/>
  <c r="O274" i="2"/>
  <c r="W274" i="2" s="1"/>
  <c r="P275" i="2"/>
  <c r="O276" i="2"/>
  <c r="W276" i="2" s="1"/>
  <c r="Q277" i="2"/>
  <c r="L279" i="2"/>
  <c r="N280" i="2"/>
  <c r="M281" i="2"/>
  <c r="T281" i="2" s="1"/>
  <c r="M282" i="2"/>
  <c r="T282" i="2" s="1"/>
  <c r="M283" i="2"/>
  <c r="T283" i="2" s="1"/>
  <c r="Q283" i="2"/>
  <c r="N285" i="2"/>
  <c r="M286" i="2"/>
  <c r="T286" i="2" s="1"/>
  <c r="P287" i="2"/>
  <c r="Q288" i="2"/>
  <c r="N289" i="2"/>
  <c r="L290" i="2"/>
  <c r="M291" i="2"/>
  <c r="T291" i="2" s="1"/>
  <c r="P291" i="2"/>
  <c r="L292" i="2"/>
  <c r="M293" i="2"/>
  <c r="T293" i="2" s="1"/>
  <c r="Q293" i="2"/>
  <c r="N294" i="2"/>
  <c r="L295" i="2"/>
  <c r="L297" i="2"/>
  <c r="P297" i="2"/>
  <c r="Q300" i="2"/>
  <c r="O301" i="2"/>
  <c r="W301" i="2" s="1"/>
  <c r="O302" i="2"/>
  <c r="W302" i="2" s="1"/>
  <c r="P303" i="2"/>
  <c r="L305" i="2"/>
  <c r="L306" i="2"/>
  <c r="O306" i="2"/>
  <c r="W306" i="2" s="1"/>
  <c r="Q307" i="2"/>
  <c r="Q308" i="2"/>
  <c r="P309" i="2"/>
  <c r="O311" i="2"/>
  <c r="W311" i="2" s="1"/>
  <c r="N313" i="2"/>
  <c r="T313" i="2" s="1"/>
  <c r="M314" i="2"/>
  <c r="T314" i="2" s="1"/>
  <c r="Q314" i="2"/>
  <c r="P315" i="2"/>
  <c r="Q317" i="2"/>
  <c r="L320" i="2"/>
  <c r="P320" i="2"/>
  <c r="O321" i="2"/>
  <c r="W321" i="2" s="1"/>
  <c r="M322" i="2"/>
  <c r="T322" i="2" s="1"/>
  <c r="P328" i="2"/>
  <c r="N330" i="2"/>
  <c r="Q331" i="2"/>
  <c r="Q332" i="2"/>
  <c r="N333" i="2"/>
  <c r="P336" i="2"/>
  <c r="N338" i="2"/>
  <c r="L339" i="2"/>
  <c r="P340" i="2"/>
  <c r="N341" i="2"/>
  <c r="M342" i="2"/>
  <c r="T342" i="2" s="1"/>
  <c r="P343" i="2"/>
  <c r="L345" i="2"/>
  <c r="O345" i="2"/>
  <c r="W345" i="2" s="1"/>
  <c r="L346" i="2"/>
  <c r="M347" i="2"/>
  <c r="Q347" i="2"/>
  <c r="N348" i="2"/>
  <c r="T348" i="2" s="1"/>
  <c r="N349" i="2"/>
  <c r="T349" i="2" s="1"/>
  <c r="O350" i="2"/>
  <c r="W350" i="2" s="1"/>
  <c r="Q350" i="2"/>
  <c r="N351" i="2"/>
  <c r="T351" i="2" s="1"/>
  <c r="N353" i="2"/>
  <c r="T353" i="2" s="1"/>
  <c r="M354" i="2"/>
  <c r="P355" i="2"/>
  <c r="L357" i="2"/>
  <c r="O357" i="2"/>
  <c r="W357" i="2" s="1"/>
  <c r="N358" i="2"/>
  <c r="P359" i="2"/>
  <c r="Q361" i="2"/>
  <c r="O362" i="2"/>
  <c r="W362" i="2" s="1"/>
  <c r="M363" i="2"/>
  <c r="T363" i="2" s="1"/>
  <c r="O363" i="2"/>
  <c r="W363" i="2" s="1"/>
  <c r="M364" i="2"/>
  <c r="T364" i="2" s="1"/>
  <c r="P364" i="2"/>
  <c r="L365" i="2"/>
  <c r="N366" i="2"/>
  <c r="M368" i="2"/>
  <c r="T368" i="2" s="1"/>
  <c r="P368" i="2"/>
  <c r="O370" i="2"/>
  <c r="W370" i="2" s="1"/>
  <c r="L415" i="2"/>
  <c r="M418" i="2"/>
  <c r="Q418" i="2"/>
  <c r="M419" i="2"/>
  <c r="O420" i="2"/>
  <c r="P422" i="2"/>
  <c r="M423" i="2"/>
  <c r="P424" i="2"/>
  <c r="N425" i="2"/>
  <c r="Q427" i="2"/>
  <c r="L430" i="2"/>
  <c r="P430" i="2"/>
  <c r="P431" i="2"/>
  <c r="M432" i="2"/>
  <c r="T432" i="2" s="1"/>
  <c r="P432" i="2"/>
  <c r="O433" i="2"/>
  <c r="O434" i="2"/>
  <c r="O435" i="2"/>
  <c r="L436" i="2"/>
  <c r="P438" i="2"/>
  <c r="L439" i="2"/>
  <c r="L442" i="2"/>
  <c r="O442" i="2"/>
  <c r="M443" i="2"/>
  <c r="T443" i="2" s="1"/>
  <c r="L444" i="2"/>
  <c r="O445" i="2"/>
  <c r="N447" i="2"/>
  <c r="L450" i="2"/>
  <c r="L451" i="2"/>
  <c r="N452" i="2"/>
  <c r="L453" i="2"/>
  <c r="N456" i="2"/>
  <c r="O457" i="2"/>
  <c r="W457" i="2" s="1"/>
  <c r="Q459" i="2"/>
  <c r="O460" i="2"/>
  <c r="W460" i="2" s="1"/>
  <c r="L461" i="2"/>
  <c r="P346" i="2"/>
  <c r="O358" i="2"/>
  <c r="W358" i="2" s="1"/>
  <c r="N361" i="2"/>
  <c r="Q362" i="2"/>
  <c r="P367" i="2"/>
  <c r="P369" i="2"/>
  <c r="Q413" i="2"/>
  <c r="M415" i="2"/>
  <c r="M416" i="2"/>
  <c r="N418" i="2"/>
  <c r="T418" i="2" s="1"/>
  <c r="O419" i="2"/>
  <c r="Q426" i="2"/>
  <c r="O428" i="2"/>
  <c r="Q428" i="2"/>
  <c r="Q430" i="2"/>
  <c r="Q431" i="2"/>
  <c r="P433" i="2"/>
  <c r="L435" i="2"/>
  <c r="M442" i="2"/>
  <c r="T442" i="2" s="1"/>
  <c r="O443" i="2"/>
  <c r="M445" i="2"/>
  <c r="T445" i="2" s="1"/>
  <c r="Q446" i="2"/>
  <c r="Q449" i="2"/>
  <c r="L452" i="2"/>
  <c r="N453" i="2"/>
  <c r="M456" i="2"/>
  <c r="T456" i="2" s="1"/>
  <c r="N457" i="2"/>
  <c r="N458" i="2"/>
  <c r="N436" i="2"/>
  <c r="Q439" i="2"/>
  <c r="P440" i="2"/>
  <c r="P441" i="2"/>
  <c r="Q442" i="2"/>
  <c r="O447" i="2"/>
  <c r="N449" i="2"/>
  <c r="Q451" i="2"/>
  <c r="Q453" i="2"/>
  <c r="N454" i="2"/>
  <c r="P456" i="2"/>
  <c r="M462" i="2"/>
  <c r="P2" i="2"/>
  <c r="Q2" i="2"/>
  <c r="N2" i="2"/>
  <c r="M2" i="2"/>
  <c r="T2" i="2" s="1"/>
  <c r="L2" i="2"/>
  <c r="O2" i="2"/>
  <c r="W2" i="2" s="1"/>
  <c r="J3" i="2"/>
  <c r="K3" i="2"/>
  <c r="J4" i="2"/>
  <c r="J5" i="2"/>
  <c r="K5" i="2"/>
  <c r="J6" i="2"/>
  <c r="K6" i="2"/>
  <c r="J7" i="2"/>
  <c r="K8" i="2"/>
  <c r="K10" i="2"/>
  <c r="K11" i="2"/>
  <c r="K13" i="2"/>
  <c r="J15" i="2"/>
  <c r="K16" i="2"/>
  <c r="K18" i="2"/>
  <c r="K20" i="2"/>
  <c r="K22" i="2"/>
  <c r="K24" i="2"/>
  <c r="K26" i="2"/>
  <c r="K28" i="2"/>
  <c r="K30" i="2"/>
  <c r="K32" i="2"/>
  <c r="K34" i="2"/>
  <c r="J36" i="2"/>
  <c r="J38" i="2"/>
  <c r="J40" i="2"/>
  <c r="K42" i="2"/>
  <c r="J44" i="2"/>
  <c r="J46" i="2"/>
  <c r="K48" i="2"/>
  <c r="K51" i="2"/>
  <c r="K53" i="2"/>
  <c r="J55" i="2"/>
  <c r="J57" i="2"/>
  <c r="J253" i="2"/>
  <c r="J257" i="2"/>
  <c r="J262" i="2"/>
  <c r="J267" i="2"/>
  <c r="J269" i="2"/>
  <c r="K272" i="2"/>
  <c r="V272" i="2" s="1"/>
  <c r="K276" i="2"/>
  <c r="V276" i="2" s="1"/>
  <c r="K280" i="2"/>
  <c r="J284" i="2"/>
  <c r="J314" i="2"/>
  <c r="K316" i="2"/>
  <c r="J323" i="2"/>
  <c r="J324" i="2"/>
  <c r="K326" i="2"/>
  <c r="K331" i="2"/>
  <c r="J334" i="2"/>
  <c r="K338" i="2"/>
  <c r="K342" i="2"/>
  <c r="K347" i="2"/>
  <c r="J353" i="2"/>
  <c r="K354" i="2"/>
  <c r="J357" i="2"/>
  <c r="K359" i="2"/>
  <c r="V359" i="2" s="1"/>
  <c r="J365" i="2"/>
  <c r="J371" i="2"/>
  <c r="J372" i="2"/>
  <c r="J376" i="2"/>
  <c r="J379" i="2"/>
  <c r="J383" i="2"/>
  <c r="K384" i="2"/>
  <c r="J389" i="2"/>
  <c r="K396" i="2"/>
  <c r="J400" i="2"/>
  <c r="K402" i="2"/>
  <c r="V402" i="2" s="1"/>
  <c r="J405" i="2"/>
  <c r="K409" i="2"/>
  <c r="K414" i="2"/>
  <c r="J419" i="2"/>
  <c r="K423" i="2"/>
  <c r="J426" i="2"/>
  <c r="K429" i="2"/>
  <c r="K433" i="2"/>
  <c r="J435" i="2"/>
  <c r="K437" i="2"/>
  <c r="J439" i="2"/>
  <c r="J443" i="2"/>
  <c r="K450" i="2"/>
  <c r="V450" i="2" s="1"/>
  <c r="J453" i="2"/>
  <c r="K456" i="2"/>
  <c r="V456" i="2" s="1"/>
  <c r="J458" i="2"/>
  <c r="J460" i="2"/>
  <c r="J462" i="2"/>
  <c r="K59" i="2"/>
  <c r="J60" i="2"/>
  <c r="K60" i="2"/>
  <c r="J61" i="2"/>
  <c r="K61" i="2"/>
  <c r="V61" i="2" s="1"/>
  <c r="J62" i="2"/>
  <c r="K62" i="2"/>
  <c r="V62" i="2" s="1"/>
  <c r="J63" i="2"/>
  <c r="K63" i="2"/>
  <c r="V63" i="2" s="1"/>
  <c r="J64" i="2"/>
  <c r="K64" i="2"/>
  <c r="V64" i="2" s="1"/>
  <c r="J65" i="2"/>
  <c r="K65" i="2"/>
  <c r="V65" i="2" s="1"/>
  <c r="J66" i="2"/>
  <c r="K66" i="2"/>
  <c r="V66" i="2" s="1"/>
  <c r="J67" i="2"/>
  <c r="K67" i="2"/>
  <c r="V67" i="2" s="1"/>
  <c r="J68" i="2"/>
  <c r="K68" i="2"/>
  <c r="V68" i="2" s="1"/>
  <c r="J69" i="2"/>
  <c r="K69" i="2"/>
  <c r="V69" i="2" s="1"/>
  <c r="J70" i="2"/>
  <c r="K70" i="2"/>
  <c r="V70" i="2" s="1"/>
  <c r="J71" i="2"/>
  <c r="K71" i="2"/>
  <c r="V71" i="2" s="1"/>
  <c r="J72" i="2"/>
  <c r="K72" i="2"/>
  <c r="V72" i="2" s="1"/>
  <c r="J73" i="2"/>
  <c r="K73" i="2"/>
  <c r="V73" i="2" s="1"/>
  <c r="J74" i="2"/>
  <c r="K74" i="2"/>
  <c r="V74" i="2" s="1"/>
  <c r="J75" i="2"/>
  <c r="K75" i="2"/>
  <c r="V75" i="2" s="1"/>
  <c r="J76" i="2"/>
  <c r="K76" i="2"/>
  <c r="V76" i="2" s="1"/>
  <c r="J77" i="2"/>
  <c r="K77" i="2"/>
  <c r="V77" i="2" s="1"/>
  <c r="J78" i="2"/>
  <c r="K78" i="2"/>
  <c r="V78" i="2" s="1"/>
  <c r="J79" i="2"/>
  <c r="K79" i="2"/>
  <c r="V79" i="2" s="1"/>
  <c r="J80" i="2"/>
  <c r="K80" i="2"/>
  <c r="V80" i="2" s="1"/>
  <c r="J81" i="2"/>
  <c r="K81" i="2"/>
  <c r="V81" i="2" s="1"/>
  <c r="J82" i="2"/>
  <c r="K82" i="2"/>
  <c r="V82" i="2" s="1"/>
  <c r="J83" i="2"/>
  <c r="K83" i="2"/>
  <c r="V83" i="2" s="1"/>
  <c r="J84" i="2"/>
  <c r="K84" i="2"/>
  <c r="V84" i="2" s="1"/>
  <c r="J85" i="2"/>
  <c r="K85" i="2"/>
  <c r="V85" i="2" s="1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V140" i="2" s="1"/>
  <c r="J141" i="2"/>
  <c r="K141" i="2"/>
  <c r="V141" i="2" s="1"/>
  <c r="J142" i="2"/>
  <c r="K142" i="2"/>
  <c r="V142" i="2" s="1"/>
  <c r="J143" i="2"/>
  <c r="K143" i="2"/>
  <c r="V143" i="2" s="1"/>
  <c r="J144" i="2"/>
  <c r="K144" i="2"/>
  <c r="V144" i="2" s="1"/>
  <c r="J145" i="2"/>
  <c r="K145" i="2"/>
  <c r="V145" i="2" s="1"/>
  <c r="J146" i="2"/>
  <c r="K146" i="2"/>
  <c r="V146" i="2" s="1"/>
  <c r="J147" i="2"/>
  <c r="K147" i="2"/>
  <c r="V147" i="2" s="1"/>
  <c r="J148" i="2"/>
  <c r="K148" i="2"/>
  <c r="V148" i="2" s="1"/>
  <c r="J149" i="2"/>
  <c r="K149" i="2"/>
  <c r="V149" i="2" s="1"/>
  <c r="J150" i="2"/>
  <c r="K150" i="2"/>
  <c r="V150" i="2" s="1"/>
  <c r="J151" i="2"/>
  <c r="K151" i="2"/>
  <c r="V151" i="2" s="1"/>
  <c r="J152" i="2"/>
  <c r="K152" i="2"/>
  <c r="V152" i="2" s="1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V169" i="2" s="1"/>
  <c r="J170" i="2"/>
  <c r="K170" i="2"/>
  <c r="V170" i="2" s="1"/>
  <c r="J171" i="2"/>
  <c r="K171" i="2"/>
  <c r="V171" i="2" s="1"/>
  <c r="J172" i="2"/>
  <c r="K172" i="2"/>
  <c r="V172" i="2" s="1"/>
  <c r="J173" i="2"/>
  <c r="K173" i="2"/>
  <c r="V173" i="2" s="1"/>
  <c r="J174" i="2"/>
  <c r="K174" i="2"/>
  <c r="V174" i="2" s="1"/>
  <c r="J175" i="2"/>
  <c r="K175" i="2"/>
  <c r="V175" i="2" s="1"/>
  <c r="J176" i="2"/>
  <c r="K176" i="2"/>
  <c r="V176" i="2" s="1"/>
  <c r="J177" i="2"/>
  <c r="K177" i="2"/>
  <c r="V177" i="2" s="1"/>
  <c r="J178" i="2"/>
  <c r="K178" i="2"/>
  <c r="V178" i="2" s="1"/>
  <c r="J179" i="2"/>
  <c r="K179" i="2"/>
  <c r="V179" i="2" s="1"/>
  <c r="J180" i="2"/>
  <c r="K180" i="2"/>
  <c r="V180" i="2" s="1"/>
  <c r="J181" i="2"/>
  <c r="K181" i="2"/>
  <c r="V181" i="2" s="1"/>
  <c r="J182" i="2"/>
  <c r="K182" i="2"/>
  <c r="V182" i="2" s="1"/>
  <c r="J183" i="2"/>
  <c r="K183" i="2"/>
  <c r="V183" i="2" s="1"/>
  <c r="J184" i="2"/>
  <c r="K184" i="2"/>
  <c r="V184" i="2" s="1"/>
  <c r="J185" i="2"/>
  <c r="K185" i="2"/>
  <c r="V185" i="2" s="1"/>
  <c r="J186" i="2"/>
  <c r="K186" i="2"/>
  <c r="V186" i="2" s="1"/>
  <c r="J187" i="2"/>
  <c r="K187" i="2"/>
  <c r="V187" i="2" s="1"/>
  <c r="J188" i="2"/>
  <c r="K188" i="2"/>
  <c r="V188" i="2" s="1"/>
  <c r="J189" i="2"/>
  <c r="K189" i="2"/>
  <c r="V189" i="2" s="1"/>
  <c r="J190" i="2"/>
  <c r="K190" i="2"/>
  <c r="V190" i="2" s="1"/>
  <c r="J191" i="2"/>
  <c r="K191" i="2"/>
  <c r="V191" i="2" s="1"/>
  <c r="J192" i="2"/>
  <c r="K192" i="2"/>
  <c r="V192" i="2" s="1"/>
  <c r="J193" i="2"/>
  <c r="U193" i="2" s="1"/>
  <c r="K193" i="2"/>
  <c r="V193" i="2" s="1"/>
  <c r="J194" i="2"/>
  <c r="U194" i="2" s="1"/>
  <c r="K194" i="2"/>
  <c r="V194" i="2" s="1"/>
  <c r="J195" i="2"/>
  <c r="U195" i="2" s="1"/>
  <c r="K195" i="2"/>
  <c r="V195" i="2" s="1"/>
  <c r="J196" i="2"/>
  <c r="U196" i="2" s="1"/>
  <c r="K196" i="2"/>
  <c r="V196" i="2" s="1"/>
  <c r="J197" i="2"/>
  <c r="U197" i="2" s="1"/>
  <c r="K197" i="2"/>
  <c r="V197" i="2" s="1"/>
  <c r="J198" i="2"/>
  <c r="U198" i="2" s="1"/>
  <c r="K198" i="2"/>
  <c r="V198" i="2" s="1"/>
  <c r="J199" i="2"/>
  <c r="U199" i="2" s="1"/>
  <c r="K199" i="2"/>
  <c r="V199" i="2" s="1"/>
  <c r="J200" i="2"/>
  <c r="U200" i="2" s="1"/>
  <c r="K200" i="2"/>
  <c r="V200" i="2" s="1"/>
  <c r="J201" i="2"/>
  <c r="U201" i="2" s="1"/>
  <c r="K201" i="2"/>
  <c r="V201" i="2" s="1"/>
  <c r="J202" i="2"/>
  <c r="U202" i="2" s="1"/>
  <c r="K202" i="2"/>
  <c r="V202" i="2" s="1"/>
  <c r="J203" i="2"/>
  <c r="U203" i="2" s="1"/>
  <c r="K203" i="2"/>
  <c r="V203" i="2" s="1"/>
  <c r="J204" i="2"/>
  <c r="U204" i="2" s="1"/>
  <c r="K204" i="2"/>
  <c r="V204" i="2" s="1"/>
  <c r="J205" i="2"/>
  <c r="U205" i="2" s="1"/>
  <c r="K205" i="2"/>
  <c r="V205" i="2" s="1"/>
  <c r="J206" i="2"/>
  <c r="U206" i="2" s="1"/>
  <c r="K206" i="2"/>
  <c r="V206" i="2" s="1"/>
  <c r="J207" i="2"/>
  <c r="U207" i="2" s="1"/>
  <c r="K207" i="2"/>
  <c r="V207" i="2" s="1"/>
  <c r="J208" i="2"/>
  <c r="U208" i="2" s="1"/>
  <c r="K208" i="2"/>
  <c r="V208" i="2" s="1"/>
  <c r="J209" i="2"/>
  <c r="U209" i="2" s="1"/>
  <c r="K209" i="2"/>
  <c r="V209" i="2" s="1"/>
  <c r="J210" i="2"/>
  <c r="U210" i="2" s="1"/>
  <c r="K210" i="2"/>
  <c r="V210" i="2" s="1"/>
  <c r="J211" i="2"/>
  <c r="U211" i="2" s="1"/>
  <c r="K211" i="2"/>
  <c r="V211" i="2" s="1"/>
  <c r="J212" i="2"/>
  <c r="U212" i="2" s="1"/>
  <c r="K212" i="2"/>
  <c r="V212" i="2" s="1"/>
  <c r="J213" i="2"/>
  <c r="U213" i="2" s="1"/>
  <c r="K213" i="2"/>
  <c r="V213" i="2" s="1"/>
  <c r="J214" i="2"/>
  <c r="U214" i="2" s="1"/>
  <c r="K214" i="2"/>
  <c r="V214" i="2" s="1"/>
  <c r="J215" i="2"/>
  <c r="U215" i="2" s="1"/>
  <c r="K215" i="2"/>
  <c r="V215" i="2" s="1"/>
  <c r="J216" i="2"/>
  <c r="U216" i="2" s="1"/>
  <c r="K216" i="2"/>
  <c r="V216" i="2" s="1"/>
  <c r="J217" i="2"/>
  <c r="U217" i="2" s="1"/>
  <c r="K217" i="2"/>
  <c r="V217" i="2" s="1"/>
  <c r="J218" i="2"/>
  <c r="U218" i="2" s="1"/>
  <c r="K218" i="2"/>
  <c r="V218" i="2" s="1"/>
  <c r="J219" i="2"/>
  <c r="U219" i="2" s="1"/>
  <c r="K219" i="2"/>
  <c r="V219" i="2" s="1"/>
  <c r="J220" i="2"/>
  <c r="U220" i="2" s="1"/>
  <c r="K220" i="2"/>
  <c r="V220" i="2" s="1"/>
  <c r="J221" i="2"/>
  <c r="U221" i="2" s="1"/>
  <c r="K221" i="2"/>
  <c r="V221" i="2" s="1"/>
  <c r="J222" i="2"/>
  <c r="U222" i="2" s="1"/>
  <c r="K222" i="2"/>
  <c r="V222" i="2" s="1"/>
  <c r="J223" i="2"/>
  <c r="U223" i="2" s="1"/>
  <c r="K223" i="2"/>
  <c r="V223" i="2" s="1"/>
  <c r="J224" i="2"/>
  <c r="U224" i="2" s="1"/>
  <c r="K224" i="2"/>
  <c r="V224" i="2" s="1"/>
  <c r="J225" i="2"/>
  <c r="U225" i="2" s="1"/>
  <c r="J226" i="2"/>
  <c r="U226" i="2" s="1"/>
  <c r="K226" i="2"/>
  <c r="V226" i="2" s="1"/>
  <c r="J227" i="2"/>
  <c r="U227" i="2" s="1"/>
  <c r="K227" i="2"/>
  <c r="V227" i="2" s="1"/>
  <c r="J228" i="2"/>
  <c r="U228" i="2" s="1"/>
  <c r="K228" i="2"/>
  <c r="V228" i="2" s="1"/>
  <c r="K229" i="2"/>
  <c r="V229" i="2" s="1"/>
  <c r="J230" i="2"/>
  <c r="U230" i="2" s="1"/>
  <c r="K230" i="2"/>
  <c r="V230" i="2" s="1"/>
  <c r="J231" i="2"/>
  <c r="U231" i="2" s="1"/>
  <c r="J232" i="2"/>
  <c r="U232" i="2" s="1"/>
  <c r="K232" i="2"/>
  <c r="V232" i="2" s="1"/>
  <c r="J233" i="2"/>
  <c r="U233" i="2" s="1"/>
  <c r="K233" i="2"/>
  <c r="V233" i="2" s="1"/>
  <c r="J234" i="2"/>
  <c r="U234" i="2" s="1"/>
  <c r="K234" i="2"/>
  <c r="V234" i="2" s="1"/>
  <c r="J235" i="2"/>
  <c r="U235" i="2" s="1"/>
  <c r="K235" i="2"/>
  <c r="V235" i="2" s="1"/>
  <c r="J236" i="2"/>
  <c r="U236" i="2" s="1"/>
  <c r="K236" i="2"/>
  <c r="V236" i="2" s="1"/>
  <c r="J237" i="2"/>
  <c r="U237" i="2" s="1"/>
  <c r="K237" i="2"/>
  <c r="V237" i="2" s="1"/>
  <c r="J238" i="2"/>
  <c r="U238" i="2" s="1"/>
  <c r="K238" i="2"/>
  <c r="V238" i="2" s="1"/>
  <c r="J239" i="2"/>
  <c r="U239" i="2" s="1"/>
  <c r="K239" i="2"/>
  <c r="V239" i="2" s="1"/>
  <c r="J240" i="2"/>
  <c r="U240" i="2" s="1"/>
  <c r="K240" i="2"/>
  <c r="V240" i="2" s="1"/>
  <c r="J241" i="2"/>
  <c r="U241" i="2" s="1"/>
  <c r="J242" i="2"/>
  <c r="U242" i="2" s="1"/>
  <c r="J243" i="2"/>
  <c r="U243" i="2" s="1"/>
  <c r="K243" i="2"/>
  <c r="V243" i="2" s="1"/>
  <c r="J244" i="2"/>
  <c r="U244" i="2" s="1"/>
  <c r="J245" i="2"/>
  <c r="U245" i="2" s="1"/>
  <c r="J246" i="2"/>
  <c r="U246" i="2" s="1"/>
  <c r="K246" i="2"/>
  <c r="V246" i="2" s="1"/>
  <c r="K247" i="2"/>
  <c r="V247" i="2" s="1"/>
  <c r="J248" i="2"/>
  <c r="U248" i="2" s="1"/>
  <c r="J249" i="2"/>
  <c r="U249" i="2" s="1"/>
  <c r="K249" i="2"/>
  <c r="V249" i="2" s="1"/>
  <c r="J250" i="2"/>
  <c r="U250" i="2" s="1"/>
  <c r="K250" i="2"/>
  <c r="J252" i="2"/>
  <c r="K253" i="2"/>
  <c r="J256" i="2"/>
  <c r="J258" i="2"/>
  <c r="K260" i="2"/>
  <c r="V260" i="2" s="1"/>
  <c r="K264" i="2"/>
  <c r="V264" i="2" s="1"/>
  <c r="J266" i="2"/>
  <c r="K267" i="2"/>
  <c r="V267" i="2" s="1"/>
  <c r="J270" i="2"/>
  <c r="J272" i="2"/>
  <c r="K274" i="2"/>
  <c r="V274" i="2" s="1"/>
  <c r="J276" i="2"/>
  <c r="K277" i="2"/>
  <c r="V277" i="2" s="1"/>
  <c r="K278" i="2"/>
  <c r="V278" i="2" s="1"/>
  <c r="J280" i="2"/>
  <c r="K282" i="2"/>
  <c r="K284" i="2"/>
  <c r="K314" i="2"/>
  <c r="K317" i="2"/>
  <c r="J319" i="2"/>
  <c r="K324" i="2"/>
  <c r="K327" i="2"/>
  <c r="K329" i="2"/>
  <c r="K333" i="2"/>
  <c r="J336" i="2"/>
  <c r="J341" i="2"/>
  <c r="K344" i="2"/>
  <c r="K348" i="2"/>
  <c r="K350" i="2"/>
  <c r="K355" i="2"/>
  <c r="V355" i="2" s="1"/>
  <c r="J360" i="2"/>
  <c r="J362" i="2"/>
  <c r="K363" i="2"/>
  <c r="V363" i="2" s="1"/>
  <c r="K365" i="2"/>
  <c r="V365" i="2" s="1"/>
  <c r="K367" i="2"/>
  <c r="V367" i="2" s="1"/>
  <c r="J369" i="2"/>
  <c r="K374" i="2"/>
  <c r="K377" i="2"/>
  <c r="K379" i="2"/>
  <c r="J382" i="2"/>
  <c r="J384" i="2"/>
  <c r="K385" i="2"/>
  <c r="K387" i="2"/>
  <c r="J390" i="2"/>
  <c r="J392" i="2"/>
  <c r="J395" i="2"/>
  <c r="J397" i="2"/>
  <c r="K398" i="2"/>
  <c r="V398" i="2" s="1"/>
  <c r="K401" i="2"/>
  <c r="V401" i="2" s="1"/>
  <c r="K404" i="2"/>
  <c r="V404" i="2" s="1"/>
  <c r="J407" i="2"/>
  <c r="J410" i="2"/>
  <c r="K412" i="2"/>
  <c r="K417" i="2"/>
  <c r="J420" i="2"/>
  <c r="J425" i="2"/>
  <c r="K427" i="2"/>
  <c r="J429" i="2"/>
  <c r="J432" i="2"/>
  <c r="J434" i="2"/>
  <c r="J437" i="2"/>
  <c r="J440" i="2"/>
  <c r="J442" i="2"/>
  <c r="J444" i="2"/>
  <c r="J446" i="2"/>
  <c r="J448" i="2"/>
  <c r="J450" i="2"/>
  <c r="J451" i="2"/>
  <c r="J454" i="2"/>
  <c r="J456" i="2"/>
  <c r="K457" i="2"/>
  <c r="V457" i="2" s="1"/>
  <c r="J459" i="2"/>
  <c r="K225" i="2"/>
  <c r="V225" i="2" s="1"/>
  <c r="K241" i="2"/>
  <c r="V241" i="2" s="1"/>
  <c r="K244" i="2"/>
  <c r="V244" i="2" s="1"/>
  <c r="J247" i="2"/>
  <c r="U247" i="2" s="1"/>
  <c r="K251" i="2"/>
  <c r="J254" i="2"/>
  <c r="K256" i="2"/>
  <c r="K258" i="2"/>
  <c r="J260" i="2"/>
  <c r="J263" i="2"/>
  <c r="K268" i="2"/>
  <c r="V268" i="2" s="1"/>
  <c r="K269" i="2"/>
  <c r="V269" i="2" s="1"/>
  <c r="J274" i="2"/>
  <c r="K279" i="2"/>
  <c r="V279" i="2" s="1"/>
  <c r="J283" i="2"/>
  <c r="J313" i="2"/>
  <c r="K322" i="2"/>
  <c r="J326" i="2"/>
  <c r="J329" i="2"/>
  <c r="K330" i="2"/>
  <c r="K336" i="2"/>
  <c r="J340" i="2"/>
  <c r="J343" i="2"/>
  <c r="K346" i="2"/>
  <c r="J349" i="2"/>
  <c r="J351" i="2"/>
  <c r="J361" i="2"/>
  <c r="K362" i="2"/>
  <c r="V362" i="2" s="1"/>
  <c r="K368" i="2"/>
  <c r="V368" i="2" s="1"/>
  <c r="J370" i="2"/>
  <c r="J373" i="2"/>
  <c r="K375" i="2"/>
  <c r="J378" i="2"/>
  <c r="J381" i="2"/>
  <c r="J387" i="2"/>
  <c r="K389" i="2"/>
  <c r="K391" i="2"/>
  <c r="K397" i="2"/>
  <c r="J401" i="2"/>
  <c r="K405" i="2"/>
  <c r="J409" i="2"/>
  <c r="J413" i="2"/>
  <c r="K416" i="2"/>
  <c r="J418" i="2"/>
  <c r="K419" i="2"/>
  <c r="J422" i="2"/>
  <c r="K425" i="2"/>
  <c r="K431" i="2"/>
  <c r="K434" i="2"/>
  <c r="K438" i="2"/>
  <c r="K440" i="2"/>
  <c r="K442" i="2"/>
  <c r="K447" i="2"/>
  <c r="K449" i="2"/>
  <c r="J452" i="2"/>
  <c r="K455" i="2"/>
  <c r="V455" i="2" s="1"/>
  <c r="K458" i="2"/>
  <c r="V458" i="2" s="1"/>
  <c r="K460" i="2"/>
  <c r="V460" i="2" s="1"/>
  <c r="K231" i="2"/>
  <c r="V231" i="2" s="1"/>
  <c r="J255" i="2"/>
  <c r="J259" i="2"/>
  <c r="K261" i="2"/>
  <c r="V261" i="2" s="1"/>
  <c r="K263" i="2"/>
  <c r="V263" i="2" s="1"/>
  <c r="J265" i="2"/>
  <c r="J268" i="2"/>
  <c r="J271" i="2"/>
  <c r="J273" i="2"/>
  <c r="K275" i="2"/>
  <c r="V275" i="2" s="1"/>
  <c r="J278" i="2"/>
  <c r="K283" i="2"/>
  <c r="K312" i="2"/>
  <c r="J315" i="2"/>
  <c r="J321" i="2"/>
  <c r="J325" i="2"/>
  <c r="J328" i="2"/>
  <c r="J330" i="2"/>
  <c r="K332" i="2"/>
  <c r="J335" i="2"/>
  <c r="J338" i="2"/>
  <c r="K341" i="2"/>
  <c r="K343" i="2"/>
  <c r="J350" i="2"/>
  <c r="J352" i="2"/>
  <c r="K353" i="2"/>
  <c r="K357" i="2"/>
  <c r="V357" i="2" s="1"/>
  <c r="J359" i="2"/>
  <c r="K360" i="2"/>
  <c r="V360" i="2" s="1"/>
  <c r="J364" i="2"/>
  <c r="K366" i="2"/>
  <c r="V366" i="2" s="1"/>
  <c r="K372" i="2"/>
  <c r="J374" i="2"/>
  <c r="K376" i="2"/>
  <c r="K380" i="2"/>
  <c r="K383" i="2"/>
  <c r="J385" i="2"/>
  <c r="K386" i="2"/>
  <c r="K388" i="2"/>
  <c r="J393" i="2"/>
  <c r="K394" i="2"/>
  <c r="J398" i="2"/>
  <c r="J403" i="2"/>
  <c r="K408" i="2"/>
  <c r="J412" i="2"/>
  <c r="J415" i="2"/>
  <c r="K424" i="2"/>
  <c r="J431" i="2"/>
  <c r="K436" i="2"/>
  <c r="J438" i="2"/>
  <c r="K445" i="2"/>
  <c r="J447" i="2"/>
  <c r="J449" i="2"/>
  <c r="J457" i="2"/>
  <c r="K459" i="2"/>
  <c r="V459" i="2" s="1"/>
  <c r="J229" i="2"/>
  <c r="U229" i="2" s="1"/>
  <c r="K242" i="2"/>
  <c r="V242" i="2" s="1"/>
  <c r="K245" i="2"/>
  <c r="V245" i="2" s="1"/>
  <c r="K248" i="2"/>
  <c r="V248" i="2" s="1"/>
  <c r="K252" i="2"/>
  <c r="K254" i="2"/>
  <c r="K257" i="2"/>
  <c r="J261" i="2"/>
  <c r="K266" i="2"/>
  <c r="V266" i="2" s="1"/>
  <c r="K271" i="2"/>
  <c r="V271" i="2" s="1"/>
  <c r="K273" i="2"/>
  <c r="V273" i="2" s="1"/>
  <c r="J275" i="2"/>
  <c r="J277" i="2"/>
  <c r="J279" i="2"/>
  <c r="K281" i="2"/>
  <c r="J285" i="2"/>
  <c r="K318" i="2"/>
  <c r="K321" i="2"/>
  <c r="J327" i="2"/>
  <c r="J333" i="2"/>
  <c r="J337" i="2"/>
  <c r="K340" i="2"/>
  <c r="J344" i="2"/>
  <c r="J346" i="2"/>
  <c r="K349" i="2"/>
  <c r="K352" i="2"/>
  <c r="K356" i="2"/>
  <c r="V356" i="2" s="1"/>
  <c r="K361" i="2"/>
  <c r="V361" i="2" s="1"/>
  <c r="J363" i="2"/>
  <c r="J367" i="2"/>
  <c r="K370" i="2"/>
  <c r="K373" i="2"/>
  <c r="K378" i="2"/>
  <c r="J391" i="2"/>
  <c r="K392" i="2"/>
  <c r="K400" i="2"/>
  <c r="V400" i="2" s="1"/>
  <c r="J404" i="2"/>
  <c r="J408" i="2"/>
  <c r="K411" i="2"/>
  <c r="K413" i="2"/>
  <c r="J416" i="2"/>
  <c r="K422" i="2"/>
  <c r="J424" i="2"/>
  <c r="J428" i="2"/>
  <c r="K432" i="2"/>
  <c r="J436" i="2"/>
  <c r="K439" i="2"/>
  <c r="J441" i="2"/>
  <c r="K444" i="2"/>
  <c r="K452" i="2"/>
  <c r="V452" i="2" s="1"/>
  <c r="J455" i="2"/>
  <c r="J461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3" i="2"/>
  <c r="J316" i="2"/>
  <c r="J318" i="2"/>
  <c r="K319" i="2"/>
  <c r="K320" i="2"/>
  <c r="J322" i="2"/>
  <c r="J332" i="2"/>
  <c r="K335" i="2"/>
  <c r="J339" i="2"/>
  <c r="K345" i="2"/>
  <c r="J348" i="2"/>
  <c r="J355" i="2"/>
  <c r="J358" i="2"/>
  <c r="J368" i="2"/>
  <c r="K371" i="2"/>
  <c r="J375" i="2"/>
  <c r="K381" i="2"/>
  <c r="K382" i="2"/>
  <c r="J386" i="2"/>
  <c r="J388" i="2"/>
  <c r="J394" i="2"/>
  <c r="J396" i="2"/>
  <c r="J399" i="2"/>
  <c r="J402" i="2"/>
  <c r="J406" i="2"/>
  <c r="K407" i="2"/>
  <c r="K410" i="2"/>
  <c r="J414" i="2"/>
  <c r="J417" i="2"/>
  <c r="J421" i="2"/>
  <c r="J423" i="2"/>
  <c r="J427" i="2"/>
  <c r="K430" i="2"/>
  <c r="J445" i="2"/>
  <c r="K446" i="2"/>
  <c r="K448" i="2"/>
  <c r="K453" i="2"/>
  <c r="V453" i="2" s="1"/>
  <c r="K461" i="2"/>
  <c r="V461" i="2" s="1"/>
  <c r="K4" i="2"/>
  <c r="K7" i="2"/>
  <c r="J8" i="2"/>
  <c r="J9" i="2"/>
  <c r="K9" i="2"/>
  <c r="J10" i="2"/>
  <c r="J11" i="2"/>
  <c r="J12" i="2"/>
  <c r="K12" i="2"/>
  <c r="J13" i="2"/>
  <c r="J14" i="2"/>
  <c r="K14" i="2"/>
  <c r="K15" i="2"/>
  <c r="J16" i="2"/>
  <c r="J17" i="2"/>
  <c r="K17" i="2"/>
  <c r="J18" i="2"/>
  <c r="J19" i="2"/>
  <c r="K19" i="2"/>
  <c r="J20" i="2"/>
  <c r="J21" i="2"/>
  <c r="K21" i="2"/>
  <c r="J22" i="2"/>
  <c r="J23" i="2"/>
  <c r="K23" i="2"/>
  <c r="J24" i="2"/>
  <c r="J25" i="2"/>
  <c r="K25" i="2"/>
  <c r="J26" i="2"/>
  <c r="J27" i="2"/>
  <c r="K27" i="2"/>
  <c r="J28" i="2"/>
  <c r="J29" i="2"/>
  <c r="K29" i="2"/>
  <c r="J30" i="2"/>
  <c r="J31" i="2"/>
  <c r="K31" i="2"/>
  <c r="J32" i="2"/>
  <c r="J33" i="2"/>
  <c r="K33" i="2"/>
  <c r="J34" i="2"/>
  <c r="J35" i="2"/>
  <c r="K35" i="2"/>
  <c r="K36" i="2"/>
  <c r="J37" i="2"/>
  <c r="K37" i="2"/>
  <c r="K38" i="2"/>
  <c r="J39" i="2"/>
  <c r="K39" i="2"/>
  <c r="K40" i="2"/>
  <c r="J41" i="2"/>
  <c r="K41" i="2"/>
  <c r="J42" i="2"/>
  <c r="J43" i="2"/>
  <c r="K43" i="2"/>
  <c r="K44" i="2"/>
  <c r="J45" i="2"/>
  <c r="K45" i="2"/>
  <c r="K46" i="2"/>
  <c r="J47" i="2"/>
  <c r="K47" i="2"/>
  <c r="J48" i="2"/>
  <c r="J49" i="2"/>
  <c r="K49" i="2"/>
  <c r="J50" i="2"/>
  <c r="K50" i="2"/>
  <c r="J51" i="2"/>
  <c r="J52" i="2"/>
  <c r="K52" i="2"/>
  <c r="J53" i="2"/>
  <c r="J54" i="2"/>
  <c r="K54" i="2"/>
  <c r="K55" i="2"/>
  <c r="J56" i="2"/>
  <c r="K56" i="2"/>
  <c r="K57" i="2"/>
  <c r="J58" i="2"/>
  <c r="K58" i="2"/>
  <c r="J59" i="2"/>
  <c r="J251" i="2"/>
  <c r="K255" i="2"/>
  <c r="K259" i="2"/>
  <c r="K262" i="2"/>
  <c r="V262" i="2" s="1"/>
  <c r="J264" i="2"/>
  <c r="K265" i="2"/>
  <c r="V265" i="2" s="1"/>
  <c r="K270" i="2"/>
  <c r="V270" i="2" s="1"/>
  <c r="J281" i="2"/>
  <c r="J282" i="2"/>
  <c r="K285" i="2"/>
  <c r="K315" i="2"/>
  <c r="J317" i="2"/>
  <c r="J320" i="2"/>
  <c r="K323" i="2"/>
  <c r="K325" i="2"/>
  <c r="K328" i="2"/>
  <c r="J331" i="2"/>
  <c r="K334" i="2"/>
  <c r="K337" i="2"/>
  <c r="K339" i="2"/>
  <c r="J342" i="2"/>
  <c r="J345" i="2"/>
  <c r="J347" i="2"/>
  <c r="K351" i="2"/>
  <c r="J354" i="2"/>
  <c r="J356" i="2"/>
  <c r="K358" i="2"/>
  <c r="V358" i="2" s="1"/>
  <c r="K364" i="2"/>
  <c r="V364" i="2" s="1"/>
  <c r="J366" i="2"/>
  <c r="K369" i="2"/>
  <c r="J377" i="2"/>
  <c r="J380" i="2"/>
  <c r="K390" i="2"/>
  <c r="K393" i="2"/>
  <c r="K395" i="2"/>
  <c r="K399" i="2"/>
  <c r="V399" i="2" s="1"/>
  <c r="K403" i="2"/>
  <c r="V403" i="2" s="1"/>
  <c r="K406" i="2"/>
  <c r="J411" i="2"/>
  <c r="K415" i="2"/>
  <c r="K418" i="2"/>
  <c r="K420" i="2"/>
  <c r="K421" i="2"/>
  <c r="K426" i="2"/>
  <c r="K428" i="2"/>
  <c r="J430" i="2"/>
  <c r="J433" i="2"/>
  <c r="K435" i="2"/>
  <c r="K441" i="2"/>
  <c r="K443" i="2"/>
  <c r="K451" i="2"/>
  <c r="V451" i="2" s="1"/>
  <c r="K454" i="2"/>
  <c r="V454" i="2" s="1"/>
  <c r="K462" i="2"/>
  <c r="V462" i="2" s="1"/>
  <c r="J2" i="2"/>
  <c r="K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6" i="2"/>
  <c r="I27" i="2"/>
  <c r="I28" i="2"/>
  <c r="I29" i="2"/>
  <c r="I30" i="2"/>
  <c r="I31" i="2"/>
  <c r="I32" i="2"/>
  <c r="I33" i="2"/>
  <c r="I34" i="2"/>
  <c r="I35" i="2"/>
  <c r="I38" i="2"/>
  <c r="I42" i="2"/>
  <c r="I43" i="2"/>
  <c r="I44" i="2"/>
  <c r="I54" i="2"/>
  <c r="I71" i="2"/>
  <c r="I73" i="2"/>
  <c r="I75" i="2"/>
  <c r="I80" i="2"/>
  <c r="I81" i="2"/>
  <c r="I84" i="2"/>
  <c r="I87" i="2"/>
  <c r="I94" i="2"/>
  <c r="I95" i="2"/>
  <c r="I98" i="2"/>
  <c r="I101" i="2"/>
  <c r="I102" i="2"/>
  <c r="I108" i="2"/>
  <c r="I109" i="2"/>
  <c r="I114" i="2"/>
  <c r="I118" i="2"/>
  <c r="I119" i="2"/>
  <c r="I127" i="2"/>
  <c r="I129" i="2"/>
  <c r="I130" i="2"/>
  <c r="I131" i="2"/>
  <c r="I132" i="2"/>
  <c r="I133" i="2"/>
  <c r="I137" i="2"/>
  <c r="I138" i="2"/>
  <c r="I145" i="2"/>
  <c r="I151" i="2"/>
  <c r="I155" i="2"/>
  <c r="I156" i="2"/>
  <c r="I159" i="2"/>
  <c r="I161" i="2"/>
  <c r="I166" i="2"/>
  <c r="I170" i="2"/>
  <c r="I189" i="2"/>
  <c r="I195" i="2"/>
  <c r="I198" i="2"/>
  <c r="I201" i="2"/>
  <c r="I211" i="2"/>
  <c r="I213" i="2"/>
  <c r="I223" i="2"/>
  <c r="I225" i="2"/>
  <c r="I227" i="2"/>
  <c r="I267" i="2"/>
  <c r="I272" i="2"/>
  <c r="I279" i="2"/>
  <c r="I333" i="2"/>
  <c r="I341" i="2"/>
  <c r="I373" i="2"/>
  <c r="I377" i="2"/>
  <c r="I392" i="2"/>
  <c r="I398" i="2"/>
  <c r="I122" i="2"/>
  <c r="I149" i="2"/>
  <c r="I154" i="2"/>
  <c r="I157" i="2"/>
  <c r="I163" i="2"/>
  <c r="I169" i="2"/>
  <c r="I187" i="2"/>
  <c r="I199" i="2"/>
  <c r="I203" i="2"/>
  <c r="I208" i="2"/>
  <c r="I218" i="2"/>
  <c r="I220" i="2"/>
  <c r="I226" i="2"/>
  <c r="I271" i="2"/>
  <c r="I274" i="2"/>
  <c r="I283" i="2"/>
  <c r="I331" i="2"/>
  <c r="I335" i="2"/>
  <c r="I379" i="2"/>
  <c r="I387" i="2"/>
  <c r="I393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93" i="2"/>
  <c r="I196" i="2"/>
  <c r="I206" i="2"/>
  <c r="I214" i="2"/>
  <c r="I219" i="2"/>
  <c r="I268" i="2"/>
  <c r="I273" i="2"/>
  <c r="I334" i="2"/>
  <c r="I336" i="2"/>
  <c r="I378" i="2"/>
  <c r="I380" i="2"/>
  <c r="I381" i="2"/>
  <c r="I38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75" i="2"/>
  <c r="I278" i="2"/>
  <c r="I280" i="2"/>
  <c r="I330" i="2"/>
  <c r="I338" i="2"/>
  <c r="I382" i="2"/>
  <c r="I386" i="2"/>
  <c r="I390" i="2"/>
  <c r="I394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7" i="2"/>
  <c r="I339" i="2"/>
  <c r="I342" i="2"/>
  <c r="I372" i="2"/>
  <c r="I376" i="2"/>
  <c r="I384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4" i="2"/>
  <c r="I383" i="2"/>
  <c r="I396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51" i="2"/>
  <c r="I66" i="2"/>
  <c r="I72" i="2"/>
  <c r="I74" i="2"/>
  <c r="I76" i="2"/>
  <c r="I78" i="2"/>
  <c r="I83" i="2"/>
  <c r="I86" i="2"/>
  <c r="I89" i="2"/>
  <c r="I93" i="2"/>
  <c r="I97" i="2"/>
  <c r="I103" i="2"/>
  <c r="I104" i="2"/>
  <c r="I107" i="2"/>
  <c r="I112" i="2"/>
  <c r="I115" i="2"/>
  <c r="I117" i="2"/>
  <c r="I121" i="2"/>
  <c r="I124" i="2"/>
  <c r="I126" i="2"/>
  <c r="I128" i="2"/>
  <c r="I134" i="2"/>
  <c r="I136" i="2"/>
  <c r="I139" i="2"/>
  <c r="I142" i="2"/>
  <c r="I144" i="2"/>
  <c r="I146" i="2"/>
  <c r="I148" i="2"/>
  <c r="I152" i="2"/>
  <c r="I158" i="2"/>
  <c r="I164" i="2"/>
  <c r="I167" i="2"/>
  <c r="I172" i="2"/>
  <c r="I190" i="2"/>
  <c r="I192" i="2"/>
  <c r="I200" i="2"/>
  <c r="I205" i="2"/>
  <c r="I209" i="2"/>
  <c r="I216" i="2"/>
  <c r="I222" i="2"/>
  <c r="I224" i="2"/>
  <c r="I228" i="2"/>
  <c r="I270" i="2"/>
  <c r="I277" i="2"/>
  <c r="I281" i="2"/>
  <c r="I285" i="2"/>
  <c r="I375" i="2"/>
  <c r="I391" i="2"/>
  <c r="I397" i="2"/>
  <c r="I25" i="2"/>
  <c r="I36" i="2"/>
  <c r="I37" i="2"/>
  <c r="I39" i="2"/>
  <c r="I40" i="2"/>
  <c r="I41" i="2"/>
  <c r="I45" i="2"/>
  <c r="I46" i="2"/>
  <c r="I47" i="2"/>
  <c r="I48" i="2"/>
  <c r="I49" i="2"/>
  <c r="I50" i="2"/>
  <c r="I52" i="2"/>
  <c r="I53" i="2"/>
  <c r="I55" i="2"/>
  <c r="I56" i="2"/>
  <c r="I57" i="2"/>
  <c r="I58" i="2"/>
  <c r="I59" i="2"/>
  <c r="I60" i="2"/>
  <c r="I61" i="2"/>
  <c r="I62" i="2"/>
  <c r="I63" i="2"/>
  <c r="I64" i="2"/>
  <c r="I65" i="2"/>
  <c r="I67" i="2"/>
  <c r="I68" i="2"/>
  <c r="I69" i="2"/>
  <c r="I70" i="2"/>
  <c r="I77" i="2"/>
  <c r="I79" i="2"/>
  <c r="I82" i="2"/>
  <c r="I85" i="2"/>
  <c r="I88" i="2"/>
  <c r="I90" i="2"/>
  <c r="I91" i="2"/>
  <c r="I92" i="2"/>
  <c r="I96" i="2"/>
  <c r="I99" i="2"/>
  <c r="I100" i="2"/>
  <c r="I105" i="2"/>
  <c r="I106" i="2"/>
  <c r="I110" i="2"/>
  <c r="I111" i="2"/>
  <c r="I113" i="2"/>
  <c r="I116" i="2"/>
  <c r="I120" i="2"/>
  <c r="I123" i="2"/>
  <c r="I125" i="2"/>
  <c r="I135" i="2"/>
  <c r="I140" i="2"/>
  <c r="I141" i="2"/>
  <c r="I143" i="2"/>
  <c r="I147" i="2"/>
  <c r="I150" i="2"/>
  <c r="I153" i="2"/>
  <c r="I160" i="2"/>
  <c r="I162" i="2"/>
  <c r="I165" i="2"/>
  <c r="I168" i="2"/>
  <c r="I171" i="2"/>
  <c r="I188" i="2"/>
  <c r="I191" i="2"/>
  <c r="I194" i="2"/>
  <c r="I197" i="2"/>
  <c r="I202" i="2"/>
  <c r="I204" i="2"/>
  <c r="I207" i="2"/>
  <c r="I210" i="2"/>
  <c r="I212" i="2"/>
  <c r="I215" i="2"/>
  <c r="I217" i="2"/>
  <c r="I221" i="2"/>
  <c r="I269" i="2"/>
  <c r="I276" i="2"/>
  <c r="I282" i="2"/>
  <c r="I284" i="2"/>
  <c r="I332" i="2"/>
  <c r="I340" i="2"/>
  <c r="I371" i="2"/>
  <c r="I385" i="2"/>
  <c r="I389" i="2"/>
  <c r="I395" i="2"/>
  <c r="I2" i="2"/>
  <c r="H3" i="2"/>
  <c r="H15" i="2"/>
  <c r="H22" i="2"/>
  <c r="H27" i="2"/>
  <c r="H32" i="2"/>
  <c r="H37" i="2"/>
  <c r="H44" i="2"/>
  <c r="H49" i="2"/>
  <c r="H53" i="2"/>
  <c r="H56" i="2"/>
  <c r="H59" i="2"/>
  <c r="H68" i="2"/>
  <c r="H79" i="2"/>
  <c r="H86" i="2"/>
  <c r="H93" i="2"/>
  <c r="H361" i="2"/>
  <c r="H375" i="2"/>
  <c r="H391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60" i="2"/>
  <c r="H363" i="2"/>
  <c r="H366" i="2"/>
  <c r="H369" i="2"/>
  <c r="H372" i="2"/>
  <c r="H376" i="2"/>
  <c r="H380" i="2"/>
  <c r="H383" i="2"/>
  <c r="H385" i="2"/>
  <c r="H388" i="2"/>
  <c r="H392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8" i="2"/>
  <c r="H11" i="2"/>
  <c r="H13" i="2"/>
  <c r="H17" i="2"/>
  <c r="H19" i="2"/>
  <c r="H21" i="2"/>
  <c r="H24" i="2"/>
  <c r="H25" i="2"/>
  <c r="H28" i="2"/>
  <c r="H30" i="2"/>
  <c r="H34" i="2"/>
  <c r="H36" i="2"/>
  <c r="H39" i="2"/>
  <c r="H41" i="2"/>
  <c r="H43" i="2"/>
  <c r="H45" i="2"/>
  <c r="H48" i="2"/>
  <c r="H50" i="2"/>
  <c r="H64" i="2"/>
  <c r="H67" i="2"/>
  <c r="H69" i="2"/>
  <c r="H71" i="2"/>
  <c r="H73" i="2"/>
  <c r="H75" i="2"/>
  <c r="H77" i="2"/>
  <c r="H81" i="2"/>
  <c r="H83" i="2"/>
  <c r="H85" i="2"/>
  <c r="H88" i="2"/>
  <c r="H90" i="2"/>
  <c r="H92" i="2"/>
  <c r="H95" i="2"/>
  <c r="H97" i="2"/>
  <c r="H99" i="2"/>
  <c r="H358" i="2"/>
  <c r="H362" i="2"/>
  <c r="H365" i="2"/>
  <c r="H367" i="2"/>
  <c r="H370" i="2"/>
  <c r="H374" i="2"/>
  <c r="H378" i="2"/>
  <c r="H381" i="2"/>
  <c r="H384" i="2"/>
  <c r="H387" i="2"/>
  <c r="H390" i="2"/>
  <c r="H393" i="2"/>
  <c r="H396" i="2"/>
  <c r="H4" i="2"/>
  <c r="H5" i="2"/>
  <c r="H6" i="2"/>
  <c r="H7" i="2"/>
  <c r="H9" i="2"/>
  <c r="H10" i="2"/>
  <c r="H12" i="2"/>
  <c r="H14" i="2"/>
  <c r="H16" i="2"/>
  <c r="H18" i="2"/>
  <c r="H20" i="2"/>
  <c r="H23" i="2"/>
  <c r="H26" i="2"/>
  <c r="H29" i="2"/>
  <c r="H31" i="2"/>
  <c r="H33" i="2"/>
  <c r="H35" i="2"/>
  <c r="H38" i="2"/>
  <c r="H40" i="2"/>
  <c r="H42" i="2"/>
  <c r="H46" i="2"/>
  <c r="H47" i="2"/>
  <c r="H51" i="2"/>
  <c r="H52" i="2"/>
  <c r="H54" i="2"/>
  <c r="H55" i="2"/>
  <c r="H57" i="2"/>
  <c r="H58" i="2"/>
  <c r="H60" i="2"/>
  <c r="H61" i="2"/>
  <c r="H62" i="2"/>
  <c r="H63" i="2"/>
  <c r="H65" i="2"/>
  <c r="H66" i="2"/>
  <c r="H70" i="2"/>
  <c r="H72" i="2"/>
  <c r="H74" i="2"/>
  <c r="H76" i="2"/>
  <c r="H78" i="2"/>
  <c r="H80" i="2"/>
  <c r="H82" i="2"/>
  <c r="H84" i="2"/>
  <c r="H87" i="2"/>
  <c r="H89" i="2"/>
  <c r="H91" i="2"/>
  <c r="H94" i="2"/>
  <c r="H96" i="2"/>
  <c r="H98" i="2"/>
  <c r="H100" i="2"/>
  <c r="H359" i="2"/>
  <c r="H364" i="2"/>
  <c r="H368" i="2"/>
  <c r="H371" i="2"/>
  <c r="H373" i="2"/>
  <c r="H377" i="2"/>
  <c r="H379" i="2"/>
  <c r="H382" i="2"/>
  <c r="H386" i="2"/>
  <c r="H389" i="2"/>
  <c r="H394" i="2"/>
  <c r="H395" i="2"/>
  <c r="H2" i="2"/>
  <c r="AI4" i="4" l="1"/>
  <c r="AA4" i="4"/>
  <c r="Y4" i="4"/>
  <c r="E4" i="4"/>
  <c r="S463" i="2"/>
  <c r="Y463" i="2"/>
  <c r="G4" i="4"/>
  <c r="S453" i="2"/>
  <c r="S454" i="2"/>
  <c r="S455" i="2"/>
  <c r="S456" i="2"/>
  <c r="S457" i="2"/>
  <c r="S458" i="2"/>
  <c r="S459" i="2"/>
  <c r="S460" i="2"/>
  <c r="S461" i="2"/>
  <c r="S462" i="2"/>
  <c r="S397" i="2"/>
  <c r="S25" i="2"/>
  <c r="S36" i="2"/>
  <c r="S39" i="2"/>
  <c r="S40" i="2"/>
  <c r="S41" i="2"/>
  <c r="S45" i="2"/>
  <c r="S46" i="2"/>
  <c r="S47" i="2"/>
  <c r="S48" i="2"/>
  <c r="S50" i="2"/>
  <c r="S52" i="2"/>
  <c r="S55" i="2"/>
  <c r="S57" i="2"/>
  <c r="S58" i="2"/>
  <c r="S60" i="2"/>
  <c r="S61" i="2"/>
  <c r="S62" i="2"/>
  <c r="S63" i="2"/>
  <c r="S64" i="2"/>
  <c r="S65" i="2"/>
  <c r="S67" i="2"/>
  <c r="S69" i="2"/>
  <c r="S385" i="2"/>
  <c r="S372" i="2"/>
  <c r="S363" i="2"/>
  <c r="S366" i="2"/>
  <c r="S376" i="2"/>
  <c r="S358" i="2"/>
  <c r="S384" i="2"/>
  <c r="S362" i="2"/>
  <c r="S330" i="2"/>
  <c r="S338" i="2"/>
  <c r="S329" i="2"/>
  <c r="S337" i="2"/>
  <c r="S339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60" i="2"/>
  <c r="S333" i="2"/>
  <c r="S331" i="2"/>
  <c r="S335" i="2"/>
  <c r="Z463" i="2"/>
  <c r="S269" i="2"/>
  <c r="S276" i="2"/>
  <c r="S282" i="2"/>
  <c r="S284" i="2"/>
  <c r="S332" i="2"/>
  <c r="S340" i="2"/>
  <c r="S95" i="2"/>
  <c r="S267" i="2"/>
  <c r="S272" i="2"/>
  <c r="S279" i="2"/>
  <c r="S341" i="2"/>
  <c r="S373" i="2"/>
  <c r="S377" i="2"/>
  <c r="S392" i="2"/>
  <c r="S398" i="2"/>
  <c r="S271" i="2"/>
  <c r="S283" i="2"/>
  <c r="S379" i="2"/>
  <c r="S393" i="2"/>
  <c r="S268" i="2"/>
  <c r="S254" i="2"/>
  <c r="S257" i="2"/>
  <c r="S259" i="2"/>
  <c r="S260" i="2"/>
  <c r="S262" i="2"/>
  <c r="S264" i="2"/>
  <c r="S265" i="2"/>
  <c r="S275" i="2"/>
  <c r="S278" i="2"/>
  <c r="S280" i="2"/>
  <c r="S287" i="2"/>
  <c r="S289" i="2"/>
  <c r="S291" i="2"/>
  <c r="S293" i="2"/>
  <c r="S295" i="2"/>
  <c r="S297" i="2"/>
  <c r="S299" i="2"/>
  <c r="S302" i="2"/>
  <c r="S304" i="2"/>
  <c r="S306" i="2"/>
  <c r="S308" i="2"/>
  <c r="S310" i="2"/>
  <c r="S313" i="2"/>
  <c r="S314" i="2"/>
  <c r="S317" i="2"/>
  <c r="S320" i="2"/>
  <c r="S322" i="2"/>
  <c r="S325" i="2"/>
  <c r="S326" i="2"/>
  <c r="S274" i="2"/>
  <c r="S387" i="2"/>
  <c r="S273" i="2"/>
  <c r="S255" i="2"/>
  <c r="S258" i="2"/>
  <c r="S261" i="2"/>
  <c r="S263" i="2"/>
  <c r="S266" i="2"/>
  <c r="S390" i="2"/>
  <c r="S288" i="2"/>
  <c r="S292" i="2"/>
  <c r="S296" i="2"/>
  <c r="S301" i="2"/>
  <c r="S305" i="2"/>
  <c r="S307" i="2"/>
  <c r="S311" i="2"/>
  <c r="S316" i="2"/>
  <c r="S319" i="2"/>
  <c r="S324" i="2"/>
  <c r="S328" i="2"/>
  <c r="S359" i="2"/>
  <c r="S364" i="2"/>
  <c r="S256" i="2"/>
  <c r="S286" i="2"/>
  <c r="S290" i="2"/>
  <c r="S294" i="2"/>
  <c r="S298" i="2"/>
  <c r="S300" i="2"/>
  <c r="S303" i="2"/>
  <c r="S309" i="2"/>
  <c r="S312" i="2"/>
  <c r="S315" i="2"/>
  <c r="S318" i="2"/>
  <c r="S321" i="2"/>
  <c r="S323" i="2"/>
  <c r="S327" i="2"/>
  <c r="S365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83" i="2"/>
  <c r="S97" i="2"/>
  <c r="S270" i="2"/>
  <c r="S277" i="2"/>
  <c r="S281" i="2"/>
  <c r="S285" i="2"/>
  <c r="S371" i="2"/>
  <c r="S389" i="2"/>
  <c r="S395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6" i="2"/>
  <c r="S27" i="2"/>
  <c r="S28" i="2"/>
  <c r="S29" i="2"/>
  <c r="S30" i="2"/>
  <c r="S31" i="2"/>
  <c r="S32" i="2"/>
  <c r="S33" i="2"/>
  <c r="S34" i="2"/>
  <c r="S35" i="2"/>
  <c r="S38" i="2"/>
  <c r="S42" i="2"/>
  <c r="S43" i="2"/>
  <c r="S44" i="2"/>
  <c r="S54" i="2"/>
  <c r="S71" i="2"/>
  <c r="S73" i="2"/>
  <c r="S75" i="2"/>
  <c r="S80" i="2"/>
  <c r="S81" i="2"/>
  <c r="S84" i="2"/>
  <c r="S87" i="2"/>
  <c r="S94" i="2"/>
  <c r="S98" i="2"/>
  <c r="S101" i="2"/>
  <c r="S102" i="2"/>
  <c r="S108" i="2"/>
  <c r="S109" i="2"/>
  <c r="S114" i="2"/>
  <c r="S118" i="2"/>
  <c r="S119" i="2"/>
  <c r="S127" i="2"/>
  <c r="S129" i="2"/>
  <c r="S130" i="2"/>
  <c r="S131" i="2"/>
  <c r="S132" i="2"/>
  <c r="S133" i="2"/>
  <c r="S137" i="2"/>
  <c r="S138" i="2"/>
  <c r="S145" i="2"/>
  <c r="S151" i="2"/>
  <c r="S155" i="2"/>
  <c r="S156" i="2"/>
  <c r="S159" i="2"/>
  <c r="S161" i="2"/>
  <c r="S166" i="2"/>
  <c r="S170" i="2"/>
  <c r="S189" i="2"/>
  <c r="S195" i="2"/>
  <c r="S198" i="2"/>
  <c r="S201" i="2"/>
  <c r="S211" i="2"/>
  <c r="S213" i="2"/>
  <c r="S223" i="2"/>
  <c r="S225" i="2"/>
  <c r="S227" i="2"/>
  <c r="S122" i="2"/>
  <c r="S149" i="2"/>
  <c r="S154" i="2"/>
  <c r="S157" i="2"/>
  <c r="S163" i="2"/>
  <c r="S169" i="2"/>
  <c r="S187" i="2"/>
  <c r="S199" i="2"/>
  <c r="S203" i="2"/>
  <c r="S208" i="2"/>
  <c r="S218" i="2"/>
  <c r="S220" i="2"/>
  <c r="S226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93" i="2"/>
  <c r="S196" i="2"/>
  <c r="S206" i="2"/>
  <c r="S214" i="2"/>
  <c r="S219" i="2"/>
  <c r="S334" i="2"/>
  <c r="S336" i="2"/>
  <c r="S378" i="2"/>
  <c r="S380" i="2"/>
  <c r="S381" i="2"/>
  <c r="S38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382" i="2"/>
  <c r="S386" i="2"/>
  <c r="S394" i="2"/>
  <c r="S361" i="2"/>
  <c r="S53" i="2"/>
  <c r="S56" i="2"/>
  <c r="S59" i="2"/>
  <c r="S367" i="2"/>
  <c r="S368" i="2"/>
  <c r="S369" i="2"/>
  <c r="S370" i="2"/>
  <c r="S374" i="2"/>
  <c r="S383" i="2"/>
  <c r="S396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51" i="2"/>
  <c r="S66" i="2"/>
  <c r="S72" i="2"/>
  <c r="S74" i="2"/>
  <c r="S76" i="2"/>
  <c r="S78" i="2"/>
  <c r="S86" i="2"/>
  <c r="S89" i="2"/>
  <c r="S93" i="2"/>
  <c r="S103" i="2"/>
  <c r="S104" i="2"/>
  <c r="S107" i="2"/>
  <c r="S112" i="2"/>
  <c r="S115" i="2"/>
  <c r="S117" i="2"/>
  <c r="S121" i="2"/>
  <c r="S124" i="2"/>
  <c r="S126" i="2"/>
  <c r="S128" i="2"/>
  <c r="S134" i="2"/>
  <c r="S136" i="2"/>
  <c r="S139" i="2"/>
  <c r="S142" i="2"/>
  <c r="S144" i="2"/>
  <c r="S146" i="2"/>
  <c r="S148" i="2"/>
  <c r="S152" i="2"/>
  <c r="S158" i="2"/>
  <c r="S164" i="2"/>
  <c r="S167" i="2"/>
  <c r="S172" i="2"/>
  <c r="S190" i="2"/>
  <c r="S192" i="2"/>
  <c r="S200" i="2"/>
  <c r="S205" i="2"/>
  <c r="S209" i="2"/>
  <c r="S216" i="2"/>
  <c r="S222" i="2"/>
  <c r="S224" i="2"/>
  <c r="S228" i="2"/>
  <c r="S375" i="2"/>
  <c r="S391" i="2"/>
  <c r="S37" i="2"/>
  <c r="S49" i="2"/>
  <c r="S68" i="2"/>
  <c r="S70" i="2"/>
  <c r="S77" i="2"/>
  <c r="S79" i="2"/>
  <c r="S82" i="2"/>
  <c r="S85" i="2"/>
  <c r="S88" i="2"/>
  <c r="S90" i="2"/>
  <c r="S91" i="2"/>
  <c r="S92" i="2"/>
  <c r="S96" i="2"/>
  <c r="S99" i="2"/>
  <c r="S100" i="2"/>
  <c r="S105" i="2"/>
  <c r="S106" i="2"/>
  <c r="S110" i="2"/>
  <c r="S111" i="2"/>
  <c r="S113" i="2"/>
  <c r="S116" i="2"/>
  <c r="S120" i="2"/>
  <c r="S123" i="2"/>
  <c r="S125" i="2"/>
  <c r="S135" i="2"/>
  <c r="S140" i="2"/>
  <c r="S141" i="2"/>
  <c r="S143" i="2"/>
  <c r="S147" i="2"/>
  <c r="S150" i="2"/>
  <c r="S153" i="2"/>
  <c r="S160" i="2"/>
  <c r="S162" i="2"/>
  <c r="S165" i="2"/>
  <c r="S168" i="2"/>
  <c r="S171" i="2"/>
  <c r="S188" i="2"/>
  <c r="S191" i="2"/>
  <c r="S194" i="2"/>
  <c r="S197" i="2"/>
  <c r="S202" i="2"/>
  <c r="S204" i="2"/>
  <c r="S207" i="2"/>
  <c r="S210" i="2"/>
  <c r="S212" i="2"/>
  <c r="S215" i="2"/>
  <c r="S217" i="2"/>
  <c r="S221" i="2"/>
  <c r="S2" i="2"/>
  <c r="Z236" i="2"/>
  <c r="Z239" i="2"/>
  <c r="Z227" i="2"/>
  <c r="Z235" i="2"/>
  <c r="Z237" i="2"/>
  <c r="Z262" i="2"/>
  <c r="Z228" i="2"/>
  <c r="Z265" i="2"/>
  <c r="Z231" i="2"/>
  <c r="Z219" i="2"/>
  <c r="Z221" i="2"/>
  <c r="Z233" i="2"/>
  <c r="Z243" i="2"/>
  <c r="Z246" i="2"/>
  <c r="Z260" i="2"/>
  <c r="Z206" i="2"/>
  <c r="Z207" i="2"/>
  <c r="Z208" i="2"/>
  <c r="Z209" i="2"/>
  <c r="Z210" i="2"/>
  <c r="Z211" i="2"/>
  <c r="Z212" i="2"/>
  <c r="Z213" i="2"/>
  <c r="Z216" i="2"/>
  <c r="Z217" i="2"/>
  <c r="Z218" i="2"/>
  <c r="Z80" i="2"/>
  <c r="Z82" i="2"/>
  <c r="Z84" i="2"/>
  <c r="Z85" i="2"/>
  <c r="Z275" i="2"/>
  <c r="Z81" i="2"/>
  <c r="Z83" i="2"/>
  <c r="Z271" i="2"/>
  <c r="Z242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14" i="2"/>
  <c r="Z220" i="2"/>
  <c r="Z222" i="2"/>
  <c r="Z223" i="2"/>
  <c r="Z224" i="2"/>
  <c r="Z225" i="2"/>
  <c r="Z226" i="2"/>
  <c r="Z230" i="2"/>
  <c r="Z232" i="2"/>
  <c r="Z215" i="2"/>
  <c r="Z229" i="2"/>
  <c r="Z234" i="2"/>
  <c r="Z238" i="2"/>
  <c r="Z240" i="2"/>
  <c r="Z247" i="2"/>
  <c r="Z248" i="2"/>
  <c r="Z249" i="2"/>
  <c r="Z250" i="2"/>
  <c r="Z261" i="2"/>
  <c r="Z264" i="2"/>
  <c r="Z272" i="2"/>
  <c r="Z273" i="2"/>
  <c r="Z398" i="2"/>
  <c r="Z263" i="2"/>
  <c r="Z266" i="2"/>
  <c r="Z267" i="2"/>
  <c r="Z270" i="2"/>
  <c r="Z277" i="2"/>
  <c r="Z278" i="2"/>
  <c r="Z268" i="2"/>
  <c r="Z269" i="2"/>
  <c r="Z274" i="2"/>
  <c r="Z276" i="2"/>
  <c r="Z245" i="2"/>
  <c r="Z279" i="2"/>
  <c r="Z244" i="2"/>
  <c r="V3" i="2"/>
  <c r="U3" i="2"/>
  <c r="V4" i="2"/>
  <c r="U4" i="2"/>
  <c r="V5" i="2"/>
  <c r="U5" i="2"/>
  <c r="V6" i="2"/>
  <c r="U6" i="2"/>
  <c r="V7" i="2"/>
  <c r="U7" i="2"/>
  <c r="V8" i="2"/>
  <c r="U8" i="2"/>
  <c r="V9" i="2"/>
  <c r="U9" i="2"/>
  <c r="V10" i="2"/>
  <c r="U10" i="2"/>
  <c r="V11" i="2"/>
  <c r="U11" i="2"/>
  <c r="V12" i="2"/>
  <c r="U12" i="2"/>
  <c r="V13" i="2"/>
  <c r="U13" i="2"/>
  <c r="V14" i="2"/>
  <c r="U14" i="2"/>
  <c r="V15" i="2"/>
  <c r="U15" i="2"/>
  <c r="V16" i="2"/>
  <c r="U16" i="2"/>
  <c r="V17" i="2"/>
  <c r="U17" i="2"/>
  <c r="V18" i="2"/>
  <c r="U18" i="2"/>
  <c r="V19" i="2"/>
  <c r="U19" i="2"/>
  <c r="V20" i="2"/>
  <c r="U20" i="2"/>
  <c r="V21" i="2"/>
  <c r="U21" i="2"/>
  <c r="V22" i="2"/>
  <c r="U22" i="2"/>
  <c r="V23" i="2"/>
  <c r="U23" i="2"/>
  <c r="V24" i="2"/>
  <c r="U24" i="2"/>
  <c r="V25" i="2"/>
  <c r="U25" i="2"/>
  <c r="V26" i="2"/>
  <c r="U26" i="2"/>
  <c r="V27" i="2"/>
  <c r="U27" i="2"/>
  <c r="V28" i="2"/>
  <c r="U28" i="2"/>
  <c r="V29" i="2"/>
  <c r="U29" i="2"/>
  <c r="V30" i="2"/>
  <c r="U30" i="2"/>
  <c r="V31" i="2"/>
  <c r="U31" i="2"/>
  <c r="V32" i="2"/>
  <c r="U32" i="2"/>
  <c r="V33" i="2"/>
  <c r="U33" i="2"/>
  <c r="V34" i="2"/>
  <c r="U34" i="2"/>
  <c r="V35" i="2"/>
  <c r="U35" i="2"/>
  <c r="V36" i="2"/>
  <c r="U36" i="2"/>
  <c r="V37" i="2"/>
  <c r="U37" i="2"/>
  <c r="V38" i="2"/>
  <c r="U38" i="2"/>
  <c r="V39" i="2"/>
  <c r="U39" i="2"/>
  <c r="V40" i="2"/>
  <c r="U40" i="2"/>
  <c r="V41" i="2"/>
  <c r="U41" i="2"/>
  <c r="V42" i="2"/>
  <c r="U42" i="2"/>
  <c r="V43" i="2"/>
  <c r="U43" i="2"/>
  <c r="V44" i="2"/>
  <c r="U44" i="2"/>
  <c r="V45" i="2"/>
  <c r="U45" i="2"/>
  <c r="V46" i="2"/>
  <c r="U46" i="2"/>
  <c r="V47" i="2"/>
  <c r="U47" i="2"/>
  <c r="V48" i="2"/>
  <c r="U48" i="2"/>
  <c r="V49" i="2"/>
  <c r="U49" i="2"/>
  <c r="V50" i="2"/>
  <c r="U50" i="2"/>
  <c r="V51" i="2"/>
  <c r="U51" i="2"/>
  <c r="V52" i="2"/>
  <c r="U52" i="2"/>
  <c r="V53" i="2"/>
  <c r="U53" i="2"/>
  <c r="V54" i="2"/>
  <c r="U54" i="2"/>
  <c r="V55" i="2"/>
  <c r="U55" i="2"/>
  <c r="V56" i="2"/>
  <c r="U56" i="2"/>
  <c r="V57" i="2"/>
  <c r="U57" i="2"/>
  <c r="V58" i="2"/>
  <c r="U58" i="2"/>
  <c r="V59" i="2"/>
  <c r="U59" i="2"/>
  <c r="U73" i="2"/>
  <c r="Z73" i="2" s="1"/>
  <c r="U75" i="2"/>
  <c r="Z75" i="2" s="1"/>
  <c r="U76" i="2"/>
  <c r="Z76" i="2" s="1"/>
  <c r="U77" i="2"/>
  <c r="Z77" i="2" s="1"/>
  <c r="U78" i="2"/>
  <c r="Z78" i="2" s="1"/>
  <c r="V92" i="2"/>
  <c r="U92" i="2"/>
  <c r="V94" i="2"/>
  <c r="U94" i="2"/>
  <c r="V95" i="2"/>
  <c r="U95" i="2"/>
  <c r="V102" i="2"/>
  <c r="U102" i="2"/>
  <c r="V109" i="2"/>
  <c r="U109" i="2"/>
  <c r="V113" i="2"/>
  <c r="U113" i="2"/>
  <c r="V117" i="2"/>
  <c r="U117" i="2"/>
  <c r="V121" i="2"/>
  <c r="U121" i="2"/>
  <c r="U125" i="2"/>
  <c r="V125" i="2"/>
  <c r="U128" i="2"/>
  <c r="V128" i="2"/>
  <c r="V129" i="2"/>
  <c r="U129" i="2"/>
  <c r="V130" i="2"/>
  <c r="U130" i="2"/>
  <c r="U135" i="2"/>
  <c r="V135" i="2"/>
  <c r="U138" i="2"/>
  <c r="V138" i="2"/>
  <c r="U140" i="2"/>
  <c r="Z140" i="2" s="1"/>
  <c r="U143" i="2"/>
  <c r="Z143" i="2" s="1"/>
  <c r="U145" i="2"/>
  <c r="Z145" i="2" s="1"/>
  <c r="U147" i="2"/>
  <c r="Z147" i="2" s="1"/>
  <c r="U150" i="2"/>
  <c r="Z150" i="2" s="1"/>
  <c r="U156" i="2"/>
  <c r="V156" i="2"/>
  <c r="U157" i="2"/>
  <c r="V157" i="2"/>
  <c r="V163" i="2"/>
  <c r="U163" i="2"/>
  <c r="U167" i="2"/>
  <c r="V167" i="2"/>
  <c r="V259" i="2"/>
  <c r="U259" i="2"/>
  <c r="V280" i="2"/>
  <c r="U280" i="2"/>
  <c r="U294" i="2"/>
  <c r="V294" i="2"/>
  <c r="V308" i="2"/>
  <c r="U308" i="2"/>
  <c r="V316" i="2"/>
  <c r="U316" i="2"/>
  <c r="V334" i="2"/>
  <c r="U334" i="2"/>
  <c r="U423" i="2"/>
  <c r="V423" i="2"/>
  <c r="U429" i="2"/>
  <c r="V429" i="2"/>
  <c r="V435" i="2"/>
  <c r="U435" i="2"/>
  <c r="V436" i="2"/>
  <c r="U436" i="2"/>
  <c r="V437" i="2"/>
  <c r="U437" i="2"/>
  <c r="V449" i="2"/>
  <c r="U449" i="2"/>
  <c r="U462" i="2"/>
  <c r="Z462" i="2" s="1"/>
  <c r="U79" i="2"/>
  <c r="Z79" i="2" s="1"/>
  <c r="V86" i="2"/>
  <c r="U86" i="2"/>
  <c r="V87" i="2"/>
  <c r="U87" i="2"/>
  <c r="V88" i="2"/>
  <c r="U88" i="2"/>
  <c r="V91" i="2"/>
  <c r="U91" i="2"/>
  <c r="V96" i="2"/>
  <c r="U96" i="2"/>
  <c r="V104" i="2"/>
  <c r="U104" i="2"/>
  <c r="U126" i="2"/>
  <c r="V126" i="2"/>
  <c r="U127" i="2"/>
  <c r="V127" i="2"/>
  <c r="V136" i="2"/>
  <c r="U136" i="2"/>
  <c r="V164" i="2"/>
  <c r="U164" i="2"/>
  <c r="U303" i="2"/>
  <c r="V303" i="2"/>
  <c r="U323" i="2"/>
  <c r="V323" i="2"/>
  <c r="V328" i="2"/>
  <c r="U328" i="2"/>
  <c r="V329" i="2"/>
  <c r="U329" i="2"/>
  <c r="V330" i="2"/>
  <c r="U330" i="2"/>
  <c r="U335" i="2"/>
  <c r="V335" i="2"/>
  <c r="U346" i="2"/>
  <c r="V346" i="2"/>
  <c r="U355" i="2"/>
  <c r="Z355" i="2" s="1"/>
  <c r="U357" i="2"/>
  <c r="Z357" i="2" s="1"/>
  <c r="U362" i="2"/>
  <c r="Z362" i="2" s="1"/>
  <c r="U365" i="2"/>
  <c r="Z365" i="2" s="1"/>
  <c r="U427" i="2"/>
  <c r="V427" i="2"/>
  <c r="V438" i="2"/>
  <c r="U438" i="2"/>
  <c r="V441" i="2"/>
  <c r="U441" i="2"/>
  <c r="U452" i="2"/>
  <c r="V60" i="2"/>
  <c r="U60" i="2"/>
  <c r="U61" i="2"/>
  <c r="Z61" i="2" s="1"/>
  <c r="U62" i="2"/>
  <c r="Z62" i="2" s="1"/>
  <c r="U63" i="2"/>
  <c r="Z63" i="2" s="1"/>
  <c r="U64" i="2"/>
  <c r="Z64" i="2" s="1"/>
  <c r="U65" i="2"/>
  <c r="Z65" i="2" s="1"/>
  <c r="U66" i="2"/>
  <c r="Z66" i="2" s="1"/>
  <c r="U67" i="2"/>
  <c r="Z67" i="2" s="1"/>
  <c r="U68" i="2"/>
  <c r="Z68" i="2" s="1"/>
  <c r="U69" i="2"/>
  <c r="Z69" i="2" s="1"/>
  <c r="U70" i="2"/>
  <c r="Z70" i="2" s="1"/>
  <c r="U71" i="2"/>
  <c r="Z71" i="2" s="1"/>
  <c r="U72" i="2"/>
  <c r="Z72" i="2" s="1"/>
  <c r="U74" i="2"/>
  <c r="Z74" i="2" s="1"/>
  <c r="V89" i="2"/>
  <c r="U89" i="2"/>
  <c r="V93" i="2"/>
  <c r="U93" i="2"/>
  <c r="V106" i="2"/>
  <c r="U106" i="2"/>
  <c r="V107" i="2"/>
  <c r="U107" i="2"/>
  <c r="V110" i="2"/>
  <c r="U110" i="2"/>
  <c r="U115" i="2"/>
  <c r="V115" i="2"/>
  <c r="V122" i="2"/>
  <c r="U122" i="2"/>
  <c r="U134" i="2"/>
  <c r="V134" i="2"/>
  <c r="V139" i="2"/>
  <c r="U139" i="2"/>
  <c r="U146" i="2"/>
  <c r="Z146" i="2" s="1"/>
  <c r="U152" i="2"/>
  <c r="Z152" i="2" s="1"/>
  <c r="U153" i="2"/>
  <c r="V153" i="2"/>
  <c r="U160" i="2"/>
  <c r="V160" i="2"/>
  <c r="V161" i="2"/>
  <c r="U161" i="2"/>
  <c r="U288" i="2"/>
  <c r="V288" i="2"/>
  <c r="V304" i="2"/>
  <c r="U304" i="2"/>
  <c r="V310" i="2"/>
  <c r="U310" i="2"/>
  <c r="V318" i="2"/>
  <c r="U318" i="2"/>
  <c r="V321" i="2"/>
  <c r="U321" i="2"/>
  <c r="U326" i="2"/>
  <c r="V326" i="2"/>
  <c r="U336" i="2"/>
  <c r="V336" i="2"/>
  <c r="U341" i="2"/>
  <c r="V341" i="2"/>
  <c r="V345" i="2"/>
  <c r="U345" i="2"/>
  <c r="U352" i="2"/>
  <c r="V352" i="2"/>
  <c r="U356" i="2"/>
  <c r="Z356" i="2" s="1"/>
  <c r="U358" i="2"/>
  <c r="Z358" i="2" s="1"/>
  <c r="V446" i="2"/>
  <c r="U446" i="2"/>
  <c r="V448" i="2"/>
  <c r="U448" i="2"/>
  <c r="V255" i="2"/>
  <c r="U255" i="2"/>
  <c r="V256" i="2"/>
  <c r="U256" i="2"/>
  <c r="V257" i="2"/>
  <c r="U257" i="2"/>
  <c r="U284" i="2"/>
  <c r="V284" i="2"/>
  <c r="V299" i="2"/>
  <c r="U299" i="2"/>
  <c r="U301" i="2"/>
  <c r="V301" i="2"/>
  <c r="U302" i="2"/>
  <c r="V302" i="2"/>
  <c r="V309" i="2"/>
  <c r="U309" i="2"/>
  <c r="V312" i="2"/>
  <c r="U312" i="2"/>
  <c r="V320" i="2"/>
  <c r="U320" i="2"/>
  <c r="V325" i="2"/>
  <c r="U325" i="2"/>
  <c r="U332" i="2"/>
  <c r="V332" i="2"/>
  <c r="U343" i="2"/>
  <c r="V343" i="2"/>
  <c r="U354" i="2"/>
  <c r="V354" i="2"/>
  <c r="U367" i="2"/>
  <c r="Z367" i="2" s="1"/>
  <c r="U370" i="2"/>
  <c r="V370" i="2"/>
  <c r="U413" i="2"/>
  <c r="V413" i="2"/>
  <c r="V414" i="2"/>
  <c r="U414" i="2"/>
  <c r="V426" i="2"/>
  <c r="U426" i="2"/>
  <c r="U455" i="2"/>
  <c r="Z455" i="2" s="1"/>
  <c r="U461" i="2"/>
  <c r="Z461" i="2" s="1"/>
  <c r="U251" i="2"/>
  <c r="V251" i="2"/>
  <c r="V252" i="2"/>
  <c r="U252" i="2"/>
  <c r="V253" i="2"/>
  <c r="U253" i="2"/>
  <c r="U254" i="2"/>
  <c r="V254" i="2"/>
  <c r="U258" i="2"/>
  <c r="V258" i="2"/>
  <c r="V287" i="2"/>
  <c r="U287" i="2"/>
  <c r="V290" i="2"/>
  <c r="U290" i="2"/>
  <c r="U295" i="2"/>
  <c r="V295" i="2"/>
  <c r="V311" i="2"/>
  <c r="U311" i="2"/>
  <c r="V327" i="2"/>
  <c r="U327" i="2"/>
  <c r="U338" i="2"/>
  <c r="V338" i="2"/>
  <c r="U412" i="2"/>
  <c r="V412" i="2"/>
  <c r="U422" i="2"/>
  <c r="V422" i="2"/>
  <c r="V434" i="2"/>
  <c r="U434" i="2"/>
  <c r="U453" i="2"/>
  <c r="V371" i="2"/>
  <c r="U371" i="2"/>
  <c r="V372" i="2"/>
  <c r="U372" i="2"/>
  <c r="V373" i="2"/>
  <c r="U373" i="2"/>
  <c r="V374" i="2"/>
  <c r="U374" i="2"/>
  <c r="V375" i="2"/>
  <c r="U375" i="2"/>
  <c r="U376" i="2"/>
  <c r="V376" i="2"/>
  <c r="V377" i="2"/>
  <c r="U377" i="2"/>
  <c r="U378" i="2"/>
  <c r="V378" i="2"/>
  <c r="U379" i="2"/>
  <c r="V379" i="2"/>
  <c r="V380" i="2"/>
  <c r="U380" i="2"/>
  <c r="U381" i="2"/>
  <c r="V381" i="2"/>
  <c r="V382" i="2"/>
  <c r="U382" i="2"/>
  <c r="U383" i="2"/>
  <c r="V383" i="2"/>
  <c r="U384" i="2"/>
  <c r="V384" i="2"/>
  <c r="U385" i="2"/>
  <c r="V385" i="2"/>
  <c r="V386" i="2"/>
  <c r="U386" i="2"/>
  <c r="U387" i="2"/>
  <c r="V387" i="2"/>
  <c r="Z387" i="2" s="1"/>
  <c r="U388" i="2"/>
  <c r="V388" i="2"/>
  <c r="V389" i="2"/>
  <c r="U389" i="2"/>
  <c r="V390" i="2"/>
  <c r="U390" i="2"/>
  <c r="V391" i="2"/>
  <c r="U391" i="2"/>
  <c r="V392" i="2"/>
  <c r="U392" i="2"/>
  <c r="V393" i="2"/>
  <c r="U393" i="2"/>
  <c r="V394" i="2"/>
  <c r="U394" i="2"/>
  <c r="V395" i="2"/>
  <c r="U395" i="2"/>
  <c r="V396" i="2"/>
  <c r="U396" i="2"/>
  <c r="U397" i="2"/>
  <c r="V397" i="2"/>
  <c r="U399" i="2"/>
  <c r="Z399" i="2" s="1"/>
  <c r="U400" i="2"/>
  <c r="Z400" i="2" s="1"/>
  <c r="U401" i="2"/>
  <c r="Z401" i="2" s="1"/>
  <c r="U402" i="2"/>
  <c r="Z402" i="2" s="1"/>
  <c r="U403" i="2"/>
  <c r="Z403" i="2" s="1"/>
  <c r="U404" i="2"/>
  <c r="Z404" i="2" s="1"/>
  <c r="U405" i="2"/>
  <c r="V405" i="2"/>
  <c r="V406" i="2"/>
  <c r="U406" i="2"/>
  <c r="V407" i="2"/>
  <c r="U407" i="2"/>
  <c r="V408" i="2"/>
  <c r="U408" i="2"/>
  <c r="V409" i="2"/>
  <c r="U409" i="2"/>
  <c r="U410" i="2"/>
  <c r="V410" i="2"/>
  <c r="V411" i="2"/>
  <c r="U411" i="2"/>
  <c r="V415" i="2"/>
  <c r="U415" i="2"/>
  <c r="V416" i="2"/>
  <c r="U416" i="2"/>
  <c r="V433" i="2"/>
  <c r="U433" i="2"/>
  <c r="V444" i="2"/>
  <c r="U444" i="2"/>
  <c r="U451" i="2"/>
  <c r="U459" i="2"/>
  <c r="Z459" i="2" s="1"/>
  <c r="U460" i="2"/>
  <c r="Z460" i="2" s="1"/>
  <c r="V90" i="2"/>
  <c r="U90" i="2"/>
  <c r="V97" i="2"/>
  <c r="U97" i="2"/>
  <c r="V98" i="2"/>
  <c r="U98" i="2"/>
  <c r="V100" i="2"/>
  <c r="U100" i="2"/>
  <c r="V105" i="2"/>
  <c r="U105" i="2"/>
  <c r="V111" i="2"/>
  <c r="U111" i="2"/>
  <c r="V114" i="2"/>
  <c r="U114" i="2"/>
  <c r="V116" i="2"/>
  <c r="U116" i="2"/>
  <c r="V118" i="2"/>
  <c r="U118" i="2"/>
  <c r="V119" i="2"/>
  <c r="U119" i="2"/>
  <c r="U120" i="2"/>
  <c r="V120" i="2"/>
  <c r="V123" i="2"/>
  <c r="U123" i="2"/>
  <c r="V131" i="2"/>
  <c r="U131" i="2"/>
  <c r="U137" i="2"/>
  <c r="V137" i="2"/>
  <c r="U142" i="2"/>
  <c r="Z142" i="2" s="1"/>
  <c r="U144" i="2"/>
  <c r="Z144" i="2" s="1"/>
  <c r="U151" i="2"/>
  <c r="U165" i="2"/>
  <c r="V165" i="2"/>
  <c r="U166" i="2"/>
  <c r="V166" i="2"/>
  <c r="U168" i="2"/>
  <c r="V168" i="2"/>
  <c r="V285" i="2"/>
  <c r="U285" i="2"/>
  <c r="V307" i="2"/>
  <c r="U307" i="2"/>
  <c r="V315" i="2"/>
  <c r="U315" i="2"/>
  <c r="U319" i="2"/>
  <c r="V319" i="2"/>
  <c r="V337" i="2"/>
  <c r="U337" i="2"/>
  <c r="U340" i="2"/>
  <c r="V340" i="2"/>
  <c r="V344" i="2"/>
  <c r="U344" i="2"/>
  <c r="V347" i="2"/>
  <c r="U347" i="2"/>
  <c r="U366" i="2"/>
  <c r="Z366" i="2" s="1"/>
  <c r="V369" i="2"/>
  <c r="U369" i="2"/>
  <c r="U417" i="2"/>
  <c r="V417" i="2"/>
  <c r="U419" i="2"/>
  <c r="V419" i="2"/>
  <c r="U425" i="2"/>
  <c r="V425" i="2"/>
  <c r="V428" i="2"/>
  <c r="U428" i="2"/>
  <c r="V439" i="2"/>
  <c r="U439" i="2"/>
  <c r="V440" i="2"/>
  <c r="U440" i="2"/>
  <c r="U454" i="2"/>
  <c r="U458" i="2"/>
  <c r="Z458" i="2" s="1"/>
  <c r="V99" i="2"/>
  <c r="U99" i="2"/>
  <c r="V101" i="2"/>
  <c r="U101" i="2"/>
  <c r="V103" i="2"/>
  <c r="U103" i="2"/>
  <c r="V108" i="2"/>
  <c r="U108" i="2"/>
  <c r="V112" i="2"/>
  <c r="U112" i="2"/>
  <c r="V124" i="2"/>
  <c r="U124" i="2"/>
  <c r="U132" i="2"/>
  <c r="V132" i="2"/>
  <c r="V133" i="2"/>
  <c r="U133" i="2"/>
  <c r="U141" i="2"/>
  <c r="Z141" i="2" s="1"/>
  <c r="U149" i="2"/>
  <c r="Z149" i="2" s="1"/>
  <c r="U154" i="2"/>
  <c r="V154" i="2"/>
  <c r="U155" i="2"/>
  <c r="V155" i="2"/>
  <c r="V158" i="2"/>
  <c r="U158" i="2"/>
  <c r="U289" i="2"/>
  <c r="V289" i="2"/>
  <c r="V292" i="2"/>
  <c r="U292" i="2"/>
  <c r="V296" i="2"/>
  <c r="U296" i="2"/>
  <c r="U297" i="2"/>
  <c r="V297" i="2"/>
  <c r="U298" i="2"/>
  <c r="V298" i="2"/>
  <c r="V300" i="2"/>
  <c r="U300" i="2"/>
  <c r="V305" i="2"/>
  <c r="U305" i="2"/>
  <c r="U306" i="2"/>
  <c r="V306" i="2"/>
  <c r="U317" i="2"/>
  <c r="V317" i="2"/>
  <c r="U324" i="2"/>
  <c r="V324" i="2"/>
  <c r="Z324" i="2" s="1"/>
  <c r="U331" i="2"/>
  <c r="V331" i="2"/>
  <c r="U333" i="2"/>
  <c r="V333" i="2"/>
  <c r="U339" i="2"/>
  <c r="V339" i="2"/>
  <c r="Z339" i="2" s="1"/>
  <c r="V350" i="2"/>
  <c r="U350" i="2"/>
  <c r="U359" i="2"/>
  <c r="Z359" i="2" s="1"/>
  <c r="U360" i="2"/>
  <c r="Z360" i="2" s="1"/>
  <c r="U361" i="2"/>
  <c r="Z361" i="2" s="1"/>
  <c r="U420" i="2"/>
  <c r="V420" i="2"/>
  <c r="U421" i="2"/>
  <c r="V421" i="2"/>
  <c r="V424" i="2"/>
  <c r="U424" i="2"/>
  <c r="U430" i="2"/>
  <c r="V430" i="2"/>
  <c r="V431" i="2"/>
  <c r="U431" i="2"/>
  <c r="V447" i="2"/>
  <c r="U447" i="2"/>
  <c r="U450" i="2"/>
  <c r="U457" i="2"/>
  <c r="Z457" i="2" s="1"/>
  <c r="U148" i="2"/>
  <c r="Z148" i="2" s="1"/>
  <c r="U159" i="2"/>
  <c r="V159" i="2"/>
  <c r="U162" i="2"/>
  <c r="V162" i="2"/>
  <c r="V281" i="2"/>
  <c r="U281" i="2"/>
  <c r="U282" i="2"/>
  <c r="V282" i="2"/>
  <c r="V283" i="2"/>
  <c r="U283" i="2"/>
  <c r="V286" i="2"/>
  <c r="U286" i="2"/>
  <c r="V291" i="2"/>
  <c r="U291" i="2"/>
  <c r="V293" i="2"/>
  <c r="U293" i="2"/>
  <c r="V313" i="2"/>
  <c r="U313" i="2"/>
  <c r="V314" i="2"/>
  <c r="U314" i="2"/>
  <c r="V322" i="2"/>
  <c r="U322" i="2"/>
  <c r="U342" i="2"/>
  <c r="V342" i="2"/>
  <c r="U348" i="2"/>
  <c r="V348" i="2"/>
  <c r="V349" i="2"/>
  <c r="U349" i="2"/>
  <c r="V351" i="2"/>
  <c r="U351" i="2"/>
  <c r="V353" i="2"/>
  <c r="U353" i="2"/>
  <c r="U363" i="2"/>
  <c r="Z363" i="2" s="1"/>
  <c r="U364" i="2"/>
  <c r="Z364" i="2" s="1"/>
  <c r="U368" i="2"/>
  <c r="Z368" i="2" s="1"/>
  <c r="V432" i="2"/>
  <c r="U432" i="2"/>
  <c r="V443" i="2"/>
  <c r="U443" i="2"/>
  <c r="V418" i="2"/>
  <c r="U418" i="2"/>
  <c r="V442" i="2"/>
  <c r="U442" i="2"/>
  <c r="V445" i="2"/>
  <c r="U445" i="2"/>
  <c r="U456" i="2"/>
  <c r="Z456" i="2" s="1"/>
  <c r="R190" i="2"/>
  <c r="U2" i="2"/>
  <c r="V2" i="2"/>
  <c r="Z2" i="2" s="1"/>
  <c r="R199" i="2"/>
  <c r="R206" i="2"/>
  <c r="R207" i="2"/>
  <c r="R198" i="2"/>
  <c r="R196" i="2"/>
  <c r="R195" i="2"/>
  <c r="R192" i="2"/>
  <c r="R191" i="2"/>
  <c r="R197" i="2"/>
  <c r="R194" i="2"/>
  <c r="R193" i="2"/>
  <c r="R208" i="2"/>
  <c r="R202" i="2"/>
  <c r="R209" i="2"/>
  <c r="R204" i="2"/>
  <c r="R203" i="2"/>
  <c r="R210" i="2"/>
  <c r="R201" i="2"/>
  <c r="R200" i="2"/>
  <c r="R205" i="2"/>
  <c r="Y249" i="2"/>
  <c r="Y212" i="2"/>
  <c r="Y205" i="2"/>
  <c r="Y216" i="2"/>
  <c r="Y231" i="2"/>
  <c r="Y228" i="2"/>
  <c r="Y220" i="2"/>
  <c r="Y218" i="2"/>
  <c r="Y208" i="2"/>
  <c r="Y203" i="2"/>
  <c r="Y201" i="2"/>
  <c r="Y198" i="2"/>
  <c r="Y197" i="2"/>
  <c r="Y195" i="2"/>
  <c r="Y194" i="2"/>
  <c r="Y245" i="2"/>
  <c r="Y209" i="2"/>
  <c r="Y200" i="2"/>
  <c r="Y244" i="2"/>
  <c r="Y240" i="2"/>
  <c r="Y232" i="2"/>
  <c r="Y207" i="2"/>
  <c r="Y238" i="2"/>
  <c r="Y214" i="2"/>
  <c r="Y219" i="2"/>
  <c r="Y217" i="2"/>
  <c r="Y226" i="2"/>
  <c r="Y215" i="2"/>
  <c r="Y196" i="2"/>
  <c r="Y193" i="2"/>
  <c r="Y224" i="2"/>
  <c r="Y279" i="2"/>
  <c r="Y191" i="2"/>
  <c r="Y190" i="2"/>
  <c r="Y189" i="2"/>
  <c r="Y188" i="2"/>
  <c r="Y187" i="2"/>
  <c r="W187" i="2" s="1"/>
  <c r="Z187" i="2" s="1"/>
  <c r="Y186" i="2"/>
  <c r="W186" i="2" s="1"/>
  <c r="Z186" i="2" s="1"/>
  <c r="Y185" i="2"/>
  <c r="W185" i="2" s="1"/>
  <c r="Z185" i="2" s="1"/>
  <c r="Y184" i="2"/>
  <c r="W184" i="2" s="1"/>
  <c r="Z184" i="2" s="1"/>
  <c r="Z167" i="2" l="1"/>
  <c r="Z348" i="2"/>
  <c r="Z157" i="2"/>
  <c r="Z376" i="2"/>
  <c r="Z251" i="2"/>
  <c r="Z301" i="2"/>
  <c r="Z128" i="2"/>
  <c r="Z126" i="2"/>
  <c r="Z343" i="2"/>
  <c r="Z413" i="2"/>
  <c r="Z331" i="2"/>
  <c r="Z115" i="2"/>
  <c r="Z125" i="2"/>
  <c r="Z284" i="2"/>
  <c r="Z341" i="2"/>
  <c r="Z383" i="2"/>
  <c r="Z381" i="2"/>
  <c r="Z138" i="2"/>
  <c r="Z388" i="2"/>
  <c r="Z384" i="2"/>
  <c r="Z282" i="2"/>
  <c r="Z153" i="2"/>
  <c r="Z298" i="2"/>
  <c r="Z346" i="2"/>
  <c r="Z303" i="2"/>
  <c r="Z335" i="2"/>
  <c r="Z317" i="2"/>
  <c r="Z370" i="2"/>
  <c r="Z156" i="2"/>
  <c r="Z168" i="2"/>
  <c r="Z412" i="2"/>
  <c r="Z165" i="2"/>
  <c r="Z342" i="2"/>
  <c r="Z166" i="2"/>
  <c r="Z405" i="2"/>
  <c r="Z354" i="2"/>
  <c r="Z155" i="2"/>
  <c r="Z332" i="2"/>
  <c r="Z333" i="2"/>
  <c r="Z302" i="2"/>
  <c r="Z132" i="2"/>
  <c r="Z352" i="2"/>
  <c r="Z385" i="2"/>
  <c r="Z326" i="2"/>
  <c r="Z135" i="2"/>
  <c r="Z379" i="2"/>
  <c r="Z306" i="2"/>
  <c r="Z159" i="2"/>
  <c r="Z323" i="2"/>
  <c r="Z338" i="2"/>
  <c r="Z154" i="2"/>
  <c r="Z378" i="2"/>
  <c r="Z397" i="2"/>
  <c r="Z137" i="2"/>
  <c r="Z340" i="2"/>
  <c r="Z319" i="2"/>
  <c r="Z120" i="2"/>
  <c r="Z134" i="2"/>
  <c r="Z160" i="2"/>
  <c r="Z295" i="2"/>
  <c r="Z294" i="2"/>
  <c r="Z127" i="2"/>
  <c r="Z297" i="2"/>
  <c r="Z104" i="2"/>
  <c r="Z328" i="2"/>
  <c r="Z162" i="2"/>
  <c r="Z336" i="2"/>
  <c r="Z108" i="2"/>
  <c r="Z330" i="2"/>
  <c r="Z60" i="2"/>
  <c r="Z89" i="2"/>
  <c r="Z93" i="2"/>
  <c r="Z107" i="2"/>
  <c r="Z110" i="2"/>
  <c r="Z122" i="2"/>
  <c r="Z292" i="2"/>
  <c r="Z305" i="2"/>
  <c r="Z350" i="2"/>
  <c r="Z281" i="2"/>
  <c r="Z293" i="2"/>
  <c r="Z313" i="2"/>
  <c r="Z322" i="2"/>
  <c r="Z353" i="2"/>
  <c r="Z34" i="2"/>
  <c r="Z36" i="2"/>
  <c r="Z37" i="2"/>
  <c r="Z38" i="2"/>
  <c r="Z39" i="2"/>
  <c r="Z40" i="2"/>
  <c r="Z43" i="2"/>
  <c r="Z44" i="2"/>
  <c r="Z45" i="2"/>
  <c r="Z46" i="2"/>
  <c r="Z47" i="2"/>
  <c r="Z48" i="2"/>
  <c r="Z50" i="2"/>
  <c r="Z51" i="2"/>
  <c r="Z52" i="2"/>
  <c r="Z53" i="2"/>
  <c r="Z54" i="2"/>
  <c r="Z55" i="2"/>
  <c r="Z56" i="2"/>
  <c r="Z57" i="2"/>
  <c r="Z58" i="2"/>
  <c r="Z59" i="2"/>
  <c r="Z92" i="2"/>
  <c r="Z94" i="2"/>
  <c r="Z95" i="2"/>
  <c r="Z102" i="2"/>
  <c r="Z109" i="2"/>
  <c r="Z129" i="2"/>
  <c r="Z130" i="2"/>
  <c r="Z259" i="2"/>
  <c r="Z316" i="2"/>
  <c r="Z334" i="2"/>
  <c r="Z86" i="2"/>
  <c r="Z96" i="2"/>
  <c r="Z136" i="2"/>
  <c r="Z164" i="2"/>
  <c r="Z410" i="2"/>
  <c r="Z112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35" i="2"/>
  <c r="Z163" i="2"/>
  <c r="Z280" i="2"/>
  <c r="Z308" i="2"/>
  <c r="Z88" i="2"/>
  <c r="Z91" i="2"/>
  <c r="Z106" i="2"/>
  <c r="Z139" i="2"/>
  <c r="Z161" i="2"/>
  <c r="Z304" i="2"/>
  <c r="Z310" i="2"/>
  <c r="Z318" i="2"/>
  <c r="Z321" i="2"/>
  <c r="Z345" i="2"/>
  <c r="Z299" i="2"/>
  <c r="Z309" i="2"/>
  <c r="Z312" i="2"/>
  <c r="Z320" i="2"/>
  <c r="Z325" i="2"/>
  <c r="Z414" i="2"/>
  <c r="Z252" i="2"/>
  <c r="Z311" i="2"/>
  <c r="Z327" i="2"/>
  <c r="Z371" i="2"/>
  <c r="Z372" i="2"/>
  <c r="Z373" i="2"/>
  <c r="Z374" i="2"/>
  <c r="Z375" i="2"/>
  <c r="Z377" i="2"/>
  <c r="Z380" i="2"/>
  <c r="Z382" i="2"/>
  <c r="Z386" i="2"/>
  <c r="Z389" i="2"/>
  <c r="Z390" i="2"/>
  <c r="Z391" i="2"/>
  <c r="Z392" i="2"/>
  <c r="Z393" i="2"/>
  <c r="Z394" i="2"/>
  <c r="Z395" i="2"/>
  <c r="Z396" i="2"/>
  <c r="Z406" i="2"/>
  <c r="Z407" i="2"/>
  <c r="Z408" i="2"/>
  <c r="Z409" i="2"/>
  <c r="Z411" i="2"/>
  <c r="Z415" i="2"/>
  <c r="Z416" i="2"/>
  <c r="Z124" i="2"/>
  <c r="Z296" i="2"/>
  <c r="Z349" i="2"/>
  <c r="Z351" i="2"/>
  <c r="Z90" i="2"/>
  <c r="Z97" i="2"/>
  <c r="Z98" i="2"/>
  <c r="Z100" i="2"/>
  <c r="Z105" i="2"/>
  <c r="Z111" i="2"/>
  <c r="Z114" i="2"/>
  <c r="Z116" i="2"/>
  <c r="Z118" i="2"/>
  <c r="Z119" i="2"/>
  <c r="Z123" i="2"/>
  <c r="Z131" i="2"/>
  <c r="Z307" i="2"/>
  <c r="Z315" i="2"/>
  <c r="Z337" i="2"/>
  <c r="Z344" i="2"/>
  <c r="Z347" i="2"/>
  <c r="Z369" i="2"/>
  <c r="Z99" i="2"/>
  <c r="Z101" i="2"/>
  <c r="Z103" i="2"/>
  <c r="Z133" i="2"/>
  <c r="Z158" i="2"/>
  <c r="Z300" i="2"/>
  <c r="Z283" i="2"/>
  <c r="Z314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41" i="2"/>
  <c r="Z42" i="2"/>
  <c r="Z117" i="2"/>
  <c r="Z87" i="2"/>
  <c r="Z329" i="2"/>
  <c r="Z49" i="2"/>
  <c r="Z113" i="2"/>
  <c r="Z121" i="2"/>
  <c r="Y42" i="2"/>
  <c r="Y33" i="2"/>
  <c r="W33" i="2" s="1"/>
  <c r="Z33" i="2" s="1"/>
  <c r="Y423" i="2"/>
  <c r="W423" i="2" s="1"/>
  <c r="Z423" i="2" s="1"/>
  <c r="Y50" i="2"/>
  <c r="Y10" i="2"/>
  <c r="Y329" i="2"/>
  <c r="Y43" i="2"/>
  <c r="Y330" i="2"/>
  <c r="Y39" i="2"/>
  <c r="Y316" i="2"/>
  <c r="Y40" i="2"/>
  <c r="Y44" i="2"/>
  <c r="Y38" i="2"/>
  <c r="Y37" i="2"/>
  <c r="Y36" i="2"/>
  <c r="Y30" i="2"/>
  <c r="W30" i="2" s="1"/>
  <c r="Z30" i="2" s="1"/>
  <c r="Y167" i="2"/>
  <c r="Y46" i="2"/>
  <c r="Y17" i="2"/>
  <c r="Y14" i="2"/>
  <c r="Y8" i="2"/>
  <c r="Y104" i="2"/>
  <c r="Y247" i="2"/>
  <c r="Y239" i="2"/>
  <c r="Y233" i="2"/>
  <c r="Y248" i="2"/>
  <c r="Y266" i="2"/>
  <c r="Y20" i="2"/>
  <c r="Y206" i="2"/>
  <c r="Y49" i="2"/>
  <c r="Y242" i="2"/>
  <c r="Y221" i="2"/>
  <c r="Y213" i="2"/>
  <c r="Y211" i="2"/>
  <c r="Y41" i="2"/>
  <c r="Y236" i="2"/>
  <c r="Y32" i="2"/>
  <c r="W32" i="2" s="1"/>
  <c r="Z32" i="2" s="1"/>
  <c r="Y9" i="2"/>
  <c r="Y47" i="2"/>
  <c r="Y27" i="2"/>
  <c r="Y243" i="2"/>
  <c r="Y237" i="2"/>
  <c r="Y234" i="2"/>
  <c r="Y222" i="2"/>
  <c r="Y202" i="2"/>
  <c r="Y199" i="2"/>
  <c r="Y227" i="2"/>
  <c r="Y225" i="2"/>
  <c r="Y223" i="2"/>
  <c r="Y246" i="2"/>
  <c r="Y241" i="2"/>
  <c r="W241" i="2" s="1"/>
  <c r="Z241" i="2" s="1"/>
  <c r="Y230" i="2"/>
  <c r="Y235" i="2"/>
  <c r="Y210" i="2"/>
  <c r="Y229" i="2"/>
  <c r="Y204" i="2"/>
  <c r="Y2" i="2"/>
  <c r="Y416" i="2"/>
  <c r="Y401" i="2"/>
  <c r="Y276" i="2"/>
  <c r="Y265" i="2"/>
  <c r="Y183" i="2"/>
  <c r="W183" i="2" s="1"/>
  <c r="Z183" i="2" s="1"/>
  <c r="Y182" i="2"/>
  <c r="W182" i="2" s="1"/>
  <c r="Z182" i="2" s="1"/>
  <c r="Y170" i="2"/>
  <c r="W170" i="2" s="1"/>
  <c r="Z170" i="2" s="1"/>
  <c r="Y169" i="2"/>
  <c r="W169" i="2" s="1"/>
  <c r="Z169" i="2" s="1"/>
  <c r="Y152" i="2"/>
  <c r="Y150" i="2"/>
  <c r="Y147" i="2"/>
  <c r="Y146" i="2"/>
  <c r="Y145" i="2"/>
  <c r="Y140" i="2"/>
  <c r="Y85" i="2"/>
  <c r="Y84" i="2"/>
  <c r="Y83" i="2"/>
  <c r="Y81" i="2"/>
  <c r="Y80" i="2"/>
  <c r="Y78" i="2"/>
  <c r="Y77" i="2"/>
  <c r="Y76" i="2"/>
  <c r="Y75" i="2"/>
  <c r="Y74" i="2"/>
  <c r="Y73" i="2"/>
  <c r="Y72" i="2"/>
  <c r="Y71" i="2"/>
  <c r="Y70" i="2"/>
  <c r="Y69" i="2"/>
  <c r="Y68" i="2"/>
  <c r="Y67" i="2"/>
  <c r="Y66" i="2"/>
  <c r="Y65" i="2"/>
  <c r="Y64" i="2"/>
  <c r="Y63" i="2"/>
  <c r="Y62" i="2"/>
  <c r="Y61" i="2"/>
  <c r="Y45" i="2"/>
  <c r="Y450" i="2"/>
  <c r="W450" i="2" s="1"/>
  <c r="Z450" i="2" s="1"/>
  <c r="Y395" i="2"/>
  <c r="Y293" i="2"/>
  <c r="Y354" i="2"/>
  <c r="Y253" i="2"/>
  <c r="W253" i="2" s="1"/>
  <c r="Z253" i="2" s="1"/>
  <c r="Y338" i="2"/>
  <c r="Y332" i="2"/>
  <c r="Y301" i="2"/>
  <c r="Y413" i="2"/>
  <c r="Y399" i="2"/>
  <c r="Y461" i="2"/>
  <c r="Y460" i="2"/>
  <c r="Y459" i="2"/>
  <c r="Y458" i="2"/>
  <c r="Y457" i="2"/>
  <c r="Y456" i="2"/>
  <c r="Y455" i="2"/>
  <c r="Y454" i="2"/>
  <c r="W454" i="2" s="1"/>
  <c r="Z454" i="2" s="1"/>
  <c r="Y453" i="2"/>
  <c r="W453" i="2" s="1"/>
  <c r="Z453" i="2" s="1"/>
  <c r="Y452" i="2"/>
  <c r="W452" i="2" s="1"/>
  <c r="Z452" i="2" s="1"/>
  <c r="Y324" i="2"/>
  <c r="Y428" i="2"/>
  <c r="W428" i="2" s="1"/>
  <c r="Z428" i="2" s="1"/>
  <c r="Y282" i="2"/>
  <c r="Y273" i="2"/>
  <c r="Y270" i="2"/>
  <c r="Y172" i="2"/>
  <c r="W172" i="2" s="1"/>
  <c r="Z172" i="2" s="1"/>
  <c r="Y171" i="2"/>
  <c r="W171" i="2" s="1"/>
  <c r="Z171" i="2" s="1"/>
  <c r="Y149" i="2"/>
  <c r="Y155" i="2"/>
  <c r="Y15" i="2"/>
  <c r="Y357" i="2"/>
  <c r="Y309" i="2"/>
  <c r="Y29" i="2"/>
  <c r="W29" i="2" s="1"/>
  <c r="Z29" i="2" s="1"/>
  <c r="Y283" i="2"/>
  <c r="Y280" i="2"/>
  <c r="Y340" i="2"/>
  <c r="Y24" i="2"/>
  <c r="Y267" i="2"/>
  <c r="Y254" i="2"/>
  <c r="W254" i="2" s="1"/>
  <c r="Z254" i="2" s="1"/>
  <c r="Y181" i="2"/>
  <c r="W181" i="2" s="1"/>
  <c r="Z181" i="2" s="1"/>
  <c r="Y255" i="2"/>
  <c r="W255" i="2" s="1"/>
  <c r="Z255" i="2" s="1"/>
  <c r="Y310" i="2"/>
  <c r="Y180" i="2"/>
  <c r="W180" i="2" s="1"/>
  <c r="Z180" i="2" s="1"/>
  <c r="Y174" i="2"/>
  <c r="W174" i="2" s="1"/>
  <c r="Z174" i="2" s="1"/>
  <c r="Y173" i="2"/>
  <c r="W173" i="2" s="1"/>
  <c r="Z173" i="2" s="1"/>
  <c r="Y151" i="2"/>
  <c r="W151" i="2" s="1"/>
  <c r="Z151" i="2" s="1"/>
  <c r="Y144" i="2"/>
  <c r="Y142" i="2"/>
  <c r="Y96" i="2"/>
  <c r="Y91" i="2"/>
  <c r="Y90" i="2"/>
  <c r="Y88" i="2"/>
  <c r="Y98" i="2"/>
  <c r="Y82" i="2"/>
  <c r="Y79" i="2"/>
  <c r="Y179" i="2"/>
  <c r="W179" i="2" s="1"/>
  <c r="Z179" i="2" s="1"/>
  <c r="Y178" i="2"/>
  <c r="W178" i="2" s="1"/>
  <c r="Z178" i="2" s="1"/>
  <c r="Y177" i="2"/>
  <c r="W177" i="2" s="1"/>
  <c r="Z177" i="2" s="1"/>
  <c r="Y176" i="2"/>
  <c r="W176" i="2" s="1"/>
  <c r="Z176" i="2" s="1"/>
  <c r="Y175" i="2"/>
  <c r="W175" i="2" s="1"/>
  <c r="Z175" i="2" s="1"/>
  <c r="Y326" i="2"/>
  <c r="Y250" i="2"/>
  <c r="Y192" i="2"/>
  <c r="Y252" i="2"/>
  <c r="Y34" i="2"/>
  <c r="Y403" i="2"/>
  <c r="Y400" i="2"/>
  <c r="Y274" i="2"/>
  <c r="Y271" i="2"/>
  <c r="Y268" i="2"/>
  <c r="Y412" i="2"/>
  <c r="Y411" i="2"/>
  <c r="Y410" i="2"/>
  <c r="Y404" i="2"/>
  <c r="Y402" i="2"/>
  <c r="Y393" i="2"/>
  <c r="Y335" i="2"/>
  <c r="Y311" i="2"/>
  <c r="Y308" i="2"/>
  <c r="Y260" i="2"/>
  <c r="Y333" i="2"/>
  <c r="Y323" i="2"/>
  <c r="Y277" i="2"/>
  <c r="Y264" i="2"/>
  <c r="Y288" i="2"/>
  <c r="W288" i="2" s="1"/>
  <c r="Z288" i="2" s="1"/>
  <c r="Y275" i="2"/>
  <c r="Y21" i="2"/>
  <c r="Y18" i="2"/>
  <c r="Y141" i="2"/>
  <c r="Y4" i="2"/>
  <c r="Y148" i="2"/>
  <c r="Y143" i="2"/>
  <c r="Y28" i="2"/>
  <c r="Y5" i="2"/>
  <c r="Y462" i="2"/>
  <c r="Y369" i="2"/>
  <c r="Y334" i="2"/>
  <c r="Y299" i="2"/>
  <c r="Y284" i="2"/>
  <c r="Y256" i="2"/>
  <c r="W256" i="2" s="1"/>
  <c r="Z256" i="2" s="1"/>
  <c r="Y348" i="2"/>
  <c r="Y409" i="2"/>
  <c r="Y391" i="2"/>
  <c r="Y356" i="2"/>
  <c r="Y317" i="2"/>
  <c r="Y313" i="2"/>
  <c r="Y304" i="2"/>
  <c r="Y302" i="2"/>
  <c r="Y297" i="2"/>
  <c r="Y272" i="2"/>
  <c r="Y263" i="2"/>
  <c r="Y261" i="2"/>
  <c r="Y398" i="2"/>
  <c r="Y394" i="2"/>
  <c r="Y390" i="2"/>
  <c r="Y355" i="2"/>
  <c r="Y337" i="2"/>
  <c r="Y315" i="2"/>
  <c r="Y312" i="2"/>
  <c r="Y305" i="2"/>
  <c r="Y294" i="2"/>
  <c r="Y278" i="2"/>
  <c r="Y22" i="2"/>
  <c r="Y367" i="2"/>
  <c r="Y366" i="2"/>
  <c r="Y365" i="2"/>
  <c r="Y364" i="2"/>
  <c r="Y363" i="2"/>
  <c r="Y362" i="2"/>
  <c r="Y361" i="2"/>
  <c r="Y360" i="2"/>
  <c r="Y359" i="2"/>
  <c r="Y358" i="2"/>
  <c r="Y352" i="2"/>
  <c r="Y351" i="2"/>
  <c r="Y269" i="2"/>
  <c r="Y262" i="2"/>
  <c r="Y259" i="2"/>
  <c r="Y35" i="2"/>
  <c r="Y23" i="2"/>
  <c r="Y16" i="2"/>
  <c r="Y368" i="2"/>
  <c r="Y451" i="2"/>
  <c r="W451" i="2" s="1"/>
  <c r="Z451" i="2" s="1"/>
  <c r="Y97" i="2" l="1"/>
  <c r="Y86" i="2"/>
  <c r="Y257" i="2"/>
  <c r="W257" i="2" s="1"/>
  <c r="Z257" i="2" s="1"/>
  <c r="Y287" i="2"/>
  <c r="W287" i="2" s="1"/>
  <c r="Z287" i="2" s="1"/>
  <c r="Y161" i="2"/>
  <c r="Y160" i="2"/>
  <c r="Y120" i="2"/>
  <c r="Y114" i="2"/>
  <c r="Y446" i="2"/>
  <c r="W446" i="2" s="1"/>
  <c r="Z446" i="2" s="1"/>
  <c r="Y445" i="2"/>
  <c r="W445" i="2" s="1"/>
  <c r="Z445" i="2" s="1"/>
  <c r="Y444" i="2"/>
  <c r="W444" i="2" s="1"/>
  <c r="Z444" i="2" s="1"/>
  <c r="Y443" i="2"/>
  <c r="W443" i="2" s="1"/>
  <c r="Z443" i="2" s="1"/>
  <c r="Y442" i="2"/>
  <c r="W442" i="2" s="1"/>
  <c r="Z442" i="2" s="1"/>
  <c r="Y441" i="2"/>
  <c r="W441" i="2" s="1"/>
  <c r="Z441" i="2" s="1"/>
  <c r="Y440" i="2"/>
  <c r="W440" i="2" s="1"/>
  <c r="Z440" i="2" s="1"/>
  <c r="Y439" i="2"/>
  <c r="W439" i="2" s="1"/>
  <c r="Z439" i="2" s="1"/>
  <c r="Y438" i="2"/>
  <c r="W438" i="2" s="1"/>
  <c r="Z438" i="2" s="1"/>
  <c r="Y437" i="2"/>
  <c r="W437" i="2" s="1"/>
  <c r="Z437" i="2" s="1"/>
  <c r="Y436" i="2"/>
  <c r="W436" i="2" s="1"/>
  <c r="Z436" i="2" s="1"/>
  <c r="Y435" i="2"/>
  <c r="W435" i="2" s="1"/>
  <c r="Z435" i="2" s="1"/>
  <c r="Y434" i="2"/>
  <c r="W434" i="2" s="1"/>
  <c r="Z434" i="2" s="1"/>
  <c r="Y433" i="2"/>
  <c r="W433" i="2" s="1"/>
  <c r="Z433" i="2" s="1"/>
  <c r="Y432" i="2"/>
  <c r="W432" i="2" s="1"/>
  <c r="Z432" i="2" s="1"/>
  <c r="Y431" i="2"/>
  <c r="W431" i="2" s="1"/>
  <c r="Z431" i="2" s="1"/>
  <c r="Y430" i="2"/>
  <c r="W430" i="2" s="1"/>
  <c r="Z430" i="2" s="1"/>
  <c r="Y429" i="2"/>
  <c r="W429" i="2" s="1"/>
  <c r="Z429" i="2" s="1"/>
  <c r="Y427" i="2"/>
  <c r="W427" i="2" s="1"/>
  <c r="Z427" i="2" s="1"/>
  <c r="Y408" i="2"/>
  <c r="Y405" i="2"/>
  <c r="Y318" i="2"/>
  <c r="Y314" i="2"/>
  <c r="Y31" i="2"/>
  <c r="W31" i="2" s="1"/>
  <c r="Z31" i="2" s="1"/>
  <c r="Y26" i="2"/>
  <c r="Y19" i="2"/>
  <c r="Y426" i="2"/>
  <c r="W426" i="2" s="1"/>
  <c r="Z426" i="2" s="1"/>
  <c r="Y422" i="2"/>
  <c r="W422" i="2" s="1"/>
  <c r="Z422" i="2" s="1"/>
  <c r="Y421" i="2"/>
  <c r="W421" i="2" s="1"/>
  <c r="Z421" i="2" s="1"/>
  <c r="Y346" i="2"/>
  <c r="Y345" i="2"/>
  <c r="Y344" i="2"/>
  <c r="Y343" i="2"/>
  <c r="Y321" i="2"/>
  <c r="Y306" i="2"/>
  <c r="Y291" i="2"/>
  <c r="W291" i="2" s="1"/>
  <c r="Z291" i="2" s="1"/>
  <c r="Y290" i="2"/>
  <c r="W290" i="2" s="1"/>
  <c r="Z290" i="2" s="1"/>
  <c r="Y25" i="2"/>
  <c r="Y300" i="2"/>
  <c r="Y258" i="2"/>
  <c r="W258" i="2" s="1"/>
  <c r="Z258" i="2" s="1"/>
  <c r="Y298" i="2"/>
  <c r="Y12" i="2"/>
  <c r="Y11" i="2"/>
  <c r="Y137" i="2"/>
  <c r="Y113" i="2"/>
  <c r="Y342" i="2"/>
  <c r="Y319" i="2"/>
  <c r="Y420" i="2"/>
  <c r="W420" i="2" s="1"/>
  <c r="Z420" i="2" s="1"/>
  <c r="Y419" i="2"/>
  <c r="W419" i="2" s="1"/>
  <c r="Z419" i="2" s="1"/>
  <c r="Y418" i="2"/>
  <c r="W418" i="2" s="1"/>
  <c r="Z418" i="2" s="1"/>
  <c r="Y417" i="2"/>
  <c r="W417" i="2" s="1"/>
  <c r="Z417" i="2" s="1"/>
  <c r="Y415" i="2"/>
  <c r="Y414" i="2"/>
  <c r="Y397" i="2"/>
  <c r="Y331" i="2"/>
  <c r="Y322" i="2"/>
  <c r="Y292" i="2"/>
  <c r="Y407" i="2"/>
  <c r="Y406" i="2"/>
  <c r="Y392" i="2"/>
  <c r="Y353" i="2"/>
  <c r="Y281" i="2"/>
  <c r="Y388" i="2"/>
  <c r="Y387" i="2"/>
  <c r="Y386" i="2"/>
  <c r="Y385" i="2"/>
  <c r="Y384" i="2"/>
  <c r="Y383" i="2"/>
  <c r="Y382" i="2"/>
  <c r="Y381" i="2"/>
  <c r="Y380" i="2"/>
  <c r="Y379" i="2"/>
  <c r="Y378" i="2"/>
  <c r="Y377" i="2"/>
  <c r="Y376" i="2"/>
  <c r="Y375" i="2"/>
  <c r="Y374" i="2"/>
  <c r="Y373" i="2"/>
  <c r="Y372" i="2"/>
  <c r="Y341" i="2"/>
  <c r="Y328" i="2"/>
  <c r="Y320" i="2"/>
  <c r="Y251" i="2"/>
  <c r="Y13" i="2"/>
  <c r="Y296" i="2"/>
  <c r="Y350" i="2"/>
  <c r="Y349" i="2"/>
  <c r="Y347" i="2"/>
  <c r="Y307" i="2"/>
  <c r="Y371" i="2"/>
  <c r="Y168" i="2"/>
  <c r="Y166" i="2"/>
  <c r="Y165" i="2"/>
  <c r="Y164" i="2"/>
  <c r="Y163" i="2"/>
  <c r="Y157" i="2"/>
  <c r="Y156" i="2"/>
  <c r="Y153" i="2"/>
  <c r="Y139" i="2"/>
  <c r="Y138" i="2"/>
  <c r="Y136" i="2"/>
  <c r="Y135" i="2"/>
  <c r="Y134" i="2"/>
  <c r="Y130" i="2"/>
  <c r="Y129" i="2"/>
  <c r="Y128" i="2"/>
  <c r="Y127" i="2"/>
  <c r="Y126" i="2"/>
  <c r="Y125" i="2"/>
  <c r="Y122" i="2"/>
  <c r="Y121" i="2"/>
  <c r="Y117" i="2"/>
  <c r="Y115" i="2"/>
  <c r="Y110" i="2"/>
  <c r="Y109" i="2"/>
  <c r="Y107" i="2"/>
  <c r="Y106" i="2"/>
  <c r="Y102" i="2"/>
  <c r="Y95" i="2"/>
  <c r="Y94" i="2"/>
  <c r="Y93" i="2"/>
  <c r="Y92" i="2"/>
  <c r="Y89" i="2"/>
  <c r="Y60" i="2"/>
  <c r="Y59" i="2"/>
  <c r="Y58" i="2"/>
  <c r="Y57" i="2"/>
  <c r="Y56" i="2"/>
  <c r="Y55" i="2"/>
  <c r="Y54" i="2"/>
  <c r="Y53" i="2"/>
  <c r="Y52" i="2"/>
  <c r="Y51" i="2"/>
  <c r="Y48" i="2"/>
  <c r="Y449" i="2"/>
  <c r="W449" i="2" s="1"/>
  <c r="Z449" i="2" s="1"/>
  <c r="Y448" i="2"/>
  <c r="W448" i="2" s="1"/>
  <c r="Z448" i="2" s="1"/>
  <c r="Y447" i="2"/>
  <c r="W447" i="2" s="1"/>
  <c r="Z447" i="2" s="1"/>
  <c r="Y396" i="2"/>
  <c r="Y389" i="2"/>
  <c r="Y325" i="2"/>
  <c r="Y303" i="2"/>
  <c r="Y295" i="2"/>
  <c r="Y286" i="2"/>
  <c r="W286" i="2" s="1"/>
  <c r="Z286" i="2" s="1"/>
  <c r="Y425" i="2"/>
  <c r="W425" i="2" s="1"/>
  <c r="Z425" i="2" s="1"/>
  <c r="Y424" i="2"/>
  <c r="W424" i="2" s="1"/>
  <c r="Z424" i="2" s="1"/>
  <c r="Y285" i="2"/>
  <c r="W285" i="2" s="1"/>
  <c r="Z285" i="2" s="1"/>
  <c r="Y339" i="2"/>
  <c r="Y289" i="2"/>
  <c r="W289" i="2" s="1"/>
  <c r="Z289" i="2" s="1"/>
  <c r="Y154" i="2"/>
  <c r="Y162" i="2"/>
  <c r="Y159" i="2"/>
  <c r="Y158" i="2"/>
  <c r="Y7" i="2"/>
  <c r="Y6" i="2"/>
  <c r="Y3" i="2"/>
  <c r="Y336" i="2"/>
  <c r="Y327" i="2"/>
  <c r="Y370" i="2"/>
  <c r="Y133" i="2"/>
  <c r="Y132" i="2"/>
  <c r="Y131" i="2"/>
  <c r="Y124" i="2"/>
  <c r="Y123" i="2"/>
  <c r="Y119" i="2"/>
  <c r="Y118" i="2"/>
  <c r="Y116" i="2"/>
  <c r="Y112" i="2"/>
  <c r="Y111" i="2"/>
  <c r="Y87" i="2"/>
  <c r="Y108" i="2"/>
  <c r="Y105" i="2"/>
  <c r="Y103" i="2"/>
  <c r="Y101" i="2"/>
  <c r="Y100" i="2"/>
  <c r="Y99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<sst xmlns="http://schemas.openxmlformats.org/spreadsheetml/2006/main" count="3249" uniqueCount="133">
  <si>
    <t>GDDUEAFE Index</t>
  </si>
  <si>
    <t>M2EF Index</t>
  </si>
  <si>
    <t>GDUEACWF Index</t>
  </si>
  <si>
    <t>LBUSTRUU Index</t>
  </si>
  <si>
    <t>GDUGEAFE Index</t>
  </si>
  <si>
    <t>GDUVEAFE Index</t>
  </si>
  <si>
    <t>M2WD000$ Index</t>
  </si>
  <si>
    <t>M2EAMM Index</t>
  </si>
  <si>
    <t>M2EFMMT Index</t>
  </si>
  <si>
    <t>M2WDMVOL Index</t>
  </si>
  <si>
    <t>M2EAMVOL Index</t>
  </si>
  <si>
    <t>M2EFMVOL Index</t>
  </si>
  <si>
    <t>M2WDQU Index</t>
  </si>
  <si>
    <t>M2EAQU Index</t>
  </si>
  <si>
    <t>M2EFQU Index</t>
  </si>
  <si>
    <t>M2USQU Index</t>
  </si>
  <si>
    <t>M2US000$ Index</t>
  </si>
  <si>
    <t>M2USMVOL Index</t>
  </si>
  <si>
    <t>SPX Index</t>
  </si>
  <si>
    <t>RU10INTR Index</t>
  </si>
  <si>
    <t>RU10GRTR Index</t>
  </si>
  <si>
    <t>RU10VATR Index</t>
  </si>
  <si>
    <t>VUG US Equity</t>
  </si>
  <si>
    <t>VTV US Equity</t>
  </si>
  <si>
    <t>MTUM US Equity</t>
  </si>
  <si>
    <t>USMV US Equity</t>
  </si>
  <si>
    <t>OMFL US Equity</t>
  </si>
  <si>
    <t>IEFA US Equity</t>
  </si>
  <si>
    <t>IEMG US Equity</t>
  </si>
  <si>
    <t>GLDM US Equity</t>
  </si>
  <si>
    <t>AGG US Equity</t>
  </si>
  <si>
    <t>PIMIX US Equity</t>
  </si>
  <si>
    <t>EM</t>
  </si>
  <si>
    <t>EAFE</t>
  </si>
  <si>
    <t>Gold</t>
  </si>
  <si>
    <t>AGG</t>
  </si>
  <si>
    <t>ACWI</t>
  </si>
  <si>
    <t>Growth</t>
  </si>
  <si>
    <t>Value</t>
  </si>
  <si>
    <t>MTM</t>
  </si>
  <si>
    <t>MVL</t>
  </si>
  <si>
    <t>R1</t>
  </si>
  <si>
    <t>OMFL</t>
  </si>
  <si>
    <t>T2</t>
  </si>
  <si>
    <t>Market Risk</t>
  </si>
  <si>
    <t>OW</t>
  </si>
  <si>
    <t>R1G</t>
  </si>
  <si>
    <t>R1V</t>
  </si>
  <si>
    <t>UW</t>
  </si>
  <si>
    <t>NW</t>
  </si>
  <si>
    <t>MSCI EAFE</t>
  </si>
  <si>
    <t>MSCI EM</t>
  </si>
  <si>
    <t>MSCI ACWI</t>
  </si>
  <si>
    <t>Bloomberg U.S. Aggregate</t>
  </si>
  <si>
    <t>MSCI EAFE Growth</t>
  </si>
  <si>
    <t>MSCI EAFE Value</t>
  </si>
  <si>
    <t>MSCI ACWI Momentum</t>
  </si>
  <si>
    <t>MSCI EAFE Momentum</t>
  </si>
  <si>
    <t>MSCI EM Momentum</t>
  </si>
  <si>
    <t>MSCI ACWI Min Vol</t>
  </si>
  <si>
    <t>MSCI EAFE Min Vol</t>
  </si>
  <si>
    <t>MSCI EM Min Vol</t>
  </si>
  <si>
    <t>MSCI ACWI Quality</t>
  </si>
  <si>
    <t>MSCI EAFE Quality</t>
  </si>
  <si>
    <t>MSCI EM Quality</t>
  </si>
  <si>
    <t>MSCI USA Quality</t>
  </si>
  <si>
    <t>MSCI USA Momentum</t>
  </si>
  <si>
    <t>MSCI USA Min Vol</t>
  </si>
  <si>
    <t>S&amp;P 500</t>
  </si>
  <si>
    <t>Russell 1000</t>
  </si>
  <si>
    <t>Russell 1000 Growth</t>
  </si>
  <si>
    <t>Russell 1000 Value</t>
  </si>
  <si>
    <t>VUG</t>
  </si>
  <si>
    <t>VTV</t>
  </si>
  <si>
    <t>MTUM</t>
  </si>
  <si>
    <t>USMV</t>
  </si>
  <si>
    <t>IEFA</t>
  </si>
  <si>
    <t>IEMG</t>
  </si>
  <si>
    <t>GLDM</t>
  </si>
  <si>
    <t>PIMIX</t>
  </si>
  <si>
    <t>GC1 Comdty</t>
  </si>
  <si>
    <t>GV Model</t>
  </si>
  <si>
    <t>EAFE Model</t>
  </si>
  <si>
    <t>EM Model</t>
  </si>
  <si>
    <t>T1F Model</t>
  </si>
  <si>
    <t>OMFL Model</t>
  </si>
  <si>
    <t>Tier II</t>
  </si>
  <si>
    <t>Tier I Signal</t>
  </si>
  <si>
    <t>EM Signal</t>
  </si>
  <si>
    <t>EAFE Signal</t>
  </si>
  <si>
    <t>T1F Signal</t>
  </si>
  <si>
    <t>Momentum</t>
  </si>
  <si>
    <t>Min Vol</t>
  </si>
  <si>
    <t>Composite</t>
  </si>
  <si>
    <t>Period</t>
  </si>
  <si>
    <t>GTAA PM Aggressive</t>
  </si>
  <si>
    <t>GTAA PM Balanced</t>
  </si>
  <si>
    <t>GTAA PM Conservative</t>
  </si>
  <si>
    <t>GTAA PM Growth</t>
  </si>
  <si>
    <t>GV Signal</t>
  </si>
  <si>
    <t>Tier I Model</t>
  </si>
  <si>
    <t>.PMA Index</t>
  </si>
  <si>
    <t>.PMG Index</t>
  </si>
  <si>
    <t>.PMBTE Index</t>
  </si>
  <si>
    <t>.PMC Index</t>
  </si>
  <si>
    <t>.PMAT Index</t>
  </si>
  <si>
    <t>.PMGT Index</t>
  </si>
  <si>
    <t>PM Aggressive</t>
  </si>
  <si>
    <t>PM Growth</t>
  </si>
  <si>
    <t>PM Balanced</t>
  </si>
  <si>
    <t>PM Conservative</t>
  </si>
  <si>
    <t>PM Aggressive SGA</t>
  </si>
  <si>
    <t>.PMBT Index</t>
  </si>
  <si>
    <t>.PMCT Index</t>
  </si>
  <si>
    <t>PM Conservative SGA</t>
  </si>
  <si>
    <t>PM Growth SGA</t>
  </si>
  <si>
    <t>PM Balanced SGA</t>
  </si>
  <si>
    <t>.GAPP Index</t>
  </si>
  <si>
    <t>.GROIN Index</t>
  </si>
  <si>
    <t>.GCPR Index</t>
  </si>
  <si>
    <t>Appreciation</t>
  </si>
  <si>
    <t>Growth and Income</t>
  </si>
  <si>
    <t>Capital Preservation</t>
  </si>
  <si>
    <t>.HNWA Index</t>
  </si>
  <si>
    <t>.HNWG Index</t>
  </si>
  <si>
    <t>.HNWB Index</t>
  </si>
  <si>
    <t>.HNWC Index</t>
  </si>
  <si>
    <t>HNW Aggressive</t>
  </si>
  <si>
    <t>HNW Growth</t>
  </si>
  <si>
    <t>HNW Balanced</t>
  </si>
  <si>
    <t>HNW Conservative</t>
  </si>
  <si>
    <t>Benchmark</t>
  </si>
  <si>
    <t>Model Returns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</si>
</sst>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[Red]\(0.00\)"/>
    <numFmt numFmtId="165" formatCode="m/d/yy;@"/>
    <numFmt numFmtId="166" formatCode="mm/dd/yyyy"/>
  </numFmts>
  <fonts count="1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name val="Frutiger 57Cn"/>
      <family val="2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B0B6BD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B0B6BD"/>
      </left>
      <right/>
      <top/>
      <bottom/>
      <diagonal/>
    </border>
    <border>
      <left style="thin">
        <color rgb="FF000000"/>
      </left>
      <right/>
      <top/>
      <bottom style="thin">
        <color rgb="FFB0B6BD"/>
      </bottom>
      <diagonal/>
    </border>
    <border>
      <left/>
      <right/>
      <top/>
      <bottom style="thin">
        <color rgb="FFB0B6BD"/>
      </bottom>
      <diagonal/>
    </border>
    <border>
      <left style="thin">
        <color rgb="FFB0B6BD"/>
      </left>
      <right/>
      <top/>
      <bottom style="thin">
        <color rgb="FFB0B6BD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0" fontId="4" fillId="0" borderId="0"/>
    <xf numFmtId="0" fontId="6" fillId="0" borderId="0"/>
    <xf numFmtId="0" fontId="5" fillId="0" borderId="0"/>
    <xf numFmtId="9" fontId="6" fillId="0" borderId="0" applyFont="0" applyFill="0" applyBorder="0" applyAlignment="0" applyProtection="0"/>
    <xf numFmtId="0" fontId="5" fillId="0" borderId="0"/>
    <xf numFmtId="0" fontId="5" fillId="0" borderId="0"/>
  </cellStyleXfs>
  <cellXfs count="30">
    <xf numFmtId="0" fontId="0" fillId="0" borderId="0" xfId="0"/>
    <xf numFmtId="0" fontId="2" fillId="0" borderId="0" xfId="0" applyFont="1"/>
    <xf numFmtId="10" fontId="2" fillId="0" borderId="0" xfId="1" applyNumberFormat="1" applyFont="1"/>
    <xf numFmtId="0" fontId="2" fillId="0" borderId="0" xfId="0" applyFont="1" applyAlignment="1">
      <alignment horizontal="center" wrapText="1"/>
    </xf>
    <xf numFmtId="10" fontId="2" fillId="0" borderId="0" xfId="0" applyNumberFormat="1" applyFont="1"/>
    <xf numFmtId="14" fontId="2" fillId="0" borderId="0" xfId="0" applyNumberFormat="1" applyFont="1"/>
    <xf numFmtId="0" fontId="9" fillId="0" borderId="2" xfId="0" applyFont="1" applyBorder="1" applyAlignment="1">
      <alignment horizontal="center"/>
    </xf>
    <xf numFmtId="166" fontId="9" fillId="0" borderId="3" xfId="0" applyNumberFormat="1" applyFont="1" applyBorder="1" applyAlignment="1">
      <alignment horizontal="center"/>
    </xf>
    <xf numFmtId="10" fontId="9" fillId="0" borderId="3" xfId="0" applyNumberFormat="1" applyFont="1" applyBorder="1" applyAlignment="1">
      <alignment horizontal="center"/>
    </xf>
    <xf numFmtId="10" fontId="9" fillId="0" borderId="4" xfId="0" applyNumberFormat="1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166" fontId="9" fillId="0" borderId="0" xfId="0" applyNumberFormat="1" applyFont="1" applyAlignment="1">
      <alignment horizontal="center"/>
    </xf>
    <xf numFmtId="10" fontId="9" fillId="0" borderId="0" xfId="0" applyNumberFormat="1" applyFont="1" applyAlignment="1">
      <alignment horizontal="center"/>
    </xf>
    <xf numFmtId="10" fontId="9" fillId="0" borderId="6" xfId="0" applyNumberFormat="1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166" fontId="9" fillId="0" borderId="8" xfId="0" applyNumberFormat="1" applyFont="1" applyBorder="1" applyAlignment="1">
      <alignment horizontal="center"/>
    </xf>
    <xf numFmtId="10" fontId="9" fillId="0" borderId="8" xfId="0" applyNumberFormat="1" applyFont="1" applyBorder="1" applyAlignment="1">
      <alignment horizontal="center"/>
    </xf>
    <xf numFmtId="10" fontId="9" fillId="0" borderId="9" xfId="0" applyNumberFormat="1" applyFont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164" fontId="7" fillId="0" borderId="0" xfId="2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2" applyFont="1" applyAlignment="1">
      <alignment horizontal="center"/>
    </xf>
    <xf numFmtId="165" fontId="10" fillId="0" borderId="0" xfId="2" applyNumberFormat="1" applyFont="1"/>
    <xf numFmtId="10" fontId="2" fillId="0" borderId="0" xfId="1" applyNumberFormat="1" applyFont="1" applyBorder="1" applyAlignment="1">
      <alignment horizontal="center"/>
    </xf>
    <xf numFmtId="2" fontId="2" fillId="0" borderId="0" xfId="1" applyNumberFormat="1" applyFont="1" applyBorder="1" applyAlignment="1">
      <alignment horizontal="center"/>
    </xf>
    <xf numFmtId="10" fontId="10" fillId="0" borderId="1" xfId="0" applyNumberFormat="1" applyFont="1" applyBorder="1" applyAlignment="1">
      <alignment horizontal="center"/>
    </xf>
    <xf numFmtId="10" fontId="10" fillId="0" borderId="0" xfId="1" applyNumberFormat="1" applyFont="1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1" fillId="0" borderId="0" xfId="1" applyNumberFormat="1" applyFont="1" applyAlignment="1">
      <alignment horizontal="center" vertical="center"/>
    </xf>
  </cellXfs>
  <cellStyles count="8">
    <cellStyle name="Normal" xfId="0" builtinId="0"/>
    <cellStyle name="Normal 12" xfId="3" xr:uid="{DEC88841-C5A9-4975-8E2B-190A0054175B}"/>
    <cellStyle name="Normal 20" xfId="4" xr:uid="{0BF975B0-E50D-4E5B-8D25-7EB42467EFA0}"/>
    <cellStyle name="Normal 20 7" xfId="7" xr:uid="{F38844E7-8B4D-4D2C-8ABF-49E428DF96C8}"/>
    <cellStyle name="Normal 3 2" xfId="2" xr:uid="{0C9908C1-2B7C-41BB-9CAE-7DD1F6E624C1}"/>
    <cellStyle name="Normal 5 2" xfId="6" xr:uid="{9BC6C002-493D-43F6-8A35-7B240154988F}"/>
    <cellStyle name="Percent" xfId="1" builtinId="5"/>
    <cellStyle name="Percent 3" xfId="5" xr:uid="{C4E875F9-3B6C-4BA3-B616-29607E9CF35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BDH|15297039063008160514</stp>
        <tr r="A3" s="4"/>
      </tp>
      <tp t="e">
        <v>#N/A</v>
        <stp/>
        <stp>BDH|12660753330203866996</stp>
        <tr r="N3" s="4"/>
      </tp>
    </main>
    <main first="bofaddin.rtdserver">
      <tp t="e">
        <v>#N/A</v>
        <stp/>
        <stp>BDH|12794801793676174440</stp>
        <tr r="F3" s="4"/>
      </tp>
      <tp t="e">
        <v>#N/A</v>
        <stp/>
        <stp>BDH|15173861562888754247</stp>
        <tr r="P3" s="4"/>
      </tp>
      <tp t="e">
        <v>#N/A</v>
        <stp/>
        <stp>BDH|16500089182938268144</stp>
        <tr r="R3" s="4"/>
      </tp>
    </main>
    <main first="bofaddin.rtdserver">
      <tp t="e">
        <v>#N/A</v>
        <stp/>
        <stp>BQL.DATE|12809094361894887611</stp>
        <tr r="A3" s="1"/>
      </tp>
      <tp t="e">
        <v>#N/A</v>
        <stp/>
        <stp>BDH|1523432602599134020</stp>
        <tr r="AH3" s="4"/>
      </tp>
      <tp t="e">
        <v>#N/A</v>
        <stp/>
        <stp>BDH|1031895513677938291</stp>
        <tr r="AJ3" s="4"/>
      </tp>
      <tp t="e">
        <v>#N/A</v>
        <stp/>
        <stp>BQL.DATE|2293690745396684983</stp>
        <tr r="A3" s="1"/>
      </tp>
      <tp t="s">
        <v>#N/A Requesting Data...4283005619</v>
        <stp/>
        <stp>BQL|4043204844475026914</stp>
        <tr r="A3" s="1"/>
      </tp>
      <tp t="e">
        <v>#N/A</v>
        <stp/>
        <stp>BDH|2898369977347357908</stp>
        <tr r="X3" s="4"/>
      </tp>
      <tp t="e">
        <v>#N/A</v>
        <stp/>
        <stp>BDH|4231121711833416139</stp>
        <tr r="H3" s="4"/>
      </tp>
      <tp t="e">
        <v>#N/A</v>
        <stp/>
        <stp>BDH|1809590631406427623</stp>
        <tr r="U3" s="4"/>
      </tp>
      <tp t="e">
        <v>#N/A</v>
        <stp/>
        <stp>BDH|6050983397653727569</stp>
        <tr r="D3" s="4"/>
      </tp>
      <tp t="e">
        <v>#N/A</v>
        <stp/>
        <stp>BDH|1017022120123645178</stp>
        <tr r="K3" s="4"/>
      </tp>
      <tp t="e">
        <v>#N/A</v>
        <stp/>
        <stp>BDH|5573615474616907397</stp>
        <tr r="AC3" s="4"/>
      </tp>
      <tp t="e">
        <v>#N/A</v>
        <stp/>
        <stp>BDH|6293377814935321391</stp>
        <tr r="AF3" s="4"/>
      </tp>
      <tp t="e">
        <v>#N/A</v>
        <stp/>
        <stp>BDH|519027552871817275</stp>
        <tr r="Z3" s="4"/>
      </tp>
      <tp t="e">
        <v>#N/A</v>
        <stp/>
        <stp>BDH|934675878898374555</stp>
        <tr r="AH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C7BEB-7B92-483F-9A24-BA4C4D481BF1}">
  <dimension ref="A1:AH573"/>
  <sheetViews>
    <sheetView tabSelected="1" workbookViewId="0">
      <pane xSplit="1" ySplit="110" topLeftCell="B111" activePane="bottomRight" state="frozen"/>
      <selection pane="topRight" activeCell="B1" sqref="B1"/>
      <selection pane="bottomLeft" activeCell="A111" sqref="A111"/>
      <selection pane="bottomRight" activeCell="B133" sqref="B133"/>
    </sheetView>
  </sheetViews>
  <sheetFormatPr defaultRowHeight="15" outlineLevelRow="1"/>
  <cols>
    <col min="1" max="1" width="10.7109375" style="1" bestFit="1" customWidth="1"/>
    <col min="2" max="32" width="15.7109375" style="1" customWidth="1"/>
    <col min="33" max="34" width="14.28515625" style="1" customWidth="1"/>
    <col min="35" max="16384" width="9.140625" style="1"/>
  </cols>
  <sheetData>
    <row r="1" spans="1:34" ht="25.5">
      <c r="A1" s="5">
        <f ca="1">DATE(YEAR(TODAY()),MONTH(TODAY())+1,1)-1</f>
        <v>46203</v>
      </c>
      <c r="B1" s="18" t="s">
        <v>0</v>
      </c>
      <c r="C1" s="19" t="s">
        <v>1</v>
      </c>
      <c r="D1" s="19" t="s">
        <v>2</v>
      </c>
      <c r="E1" s="19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 t="s">
        <v>8</v>
      </c>
      <c r="K1" s="19" t="s">
        <v>9</v>
      </c>
      <c r="L1" s="19" t="s">
        <v>10</v>
      </c>
      <c r="M1" s="19" t="s">
        <v>11</v>
      </c>
      <c r="N1" s="19" t="s">
        <v>12</v>
      </c>
      <c r="O1" s="19" t="s">
        <v>13</v>
      </c>
      <c r="P1" s="19" t="s">
        <v>14</v>
      </c>
      <c r="Q1" s="19" t="s">
        <v>15</v>
      </c>
      <c r="R1" s="19" t="s">
        <v>16</v>
      </c>
      <c r="S1" s="19" t="s">
        <v>17</v>
      </c>
      <c r="T1" s="18" t="s">
        <v>18</v>
      </c>
      <c r="U1" s="18" t="s">
        <v>19</v>
      </c>
      <c r="V1" s="18" t="s">
        <v>20</v>
      </c>
      <c r="W1" s="18" t="s">
        <v>21</v>
      </c>
      <c r="X1" s="19" t="s">
        <v>22</v>
      </c>
      <c r="Y1" s="19" t="s">
        <v>23</v>
      </c>
      <c r="Z1" s="19" t="s">
        <v>24</v>
      </c>
      <c r="AA1" s="19" t="s">
        <v>25</v>
      </c>
      <c r="AB1" s="19" t="s">
        <v>26</v>
      </c>
      <c r="AC1" s="19" t="s">
        <v>27</v>
      </c>
      <c r="AD1" s="19" t="s">
        <v>28</v>
      </c>
      <c r="AE1" s="19" t="s">
        <v>29</v>
      </c>
      <c r="AF1" s="19" t="s">
        <v>30</v>
      </c>
      <c r="AG1" s="19" t="s">
        <v>31</v>
      </c>
      <c r="AH1" s="19" t="s">
        <v>80</v>
      </c>
    </row>
    <row r="2" spans="1:34" ht="30">
      <c r="B2" s="20" t="s">
        <v>50</v>
      </c>
      <c r="C2" s="20" t="s">
        <v>51</v>
      </c>
      <c r="D2" s="20" t="s">
        <v>52</v>
      </c>
      <c r="E2" s="20" t="s">
        <v>53</v>
      </c>
      <c r="F2" s="20" t="s">
        <v>54</v>
      </c>
      <c r="G2" s="20" t="s">
        <v>55</v>
      </c>
      <c r="H2" s="20" t="s">
        <v>56</v>
      </c>
      <c r="I2" s="20" t="s">
        <v>57</v>
      </c>
      <c r="J2" s="20" t="s">
        <v>58</v>
      </c>
      <c r="K2" s="20" t="s">
        <v>59</v>
      </c>
      <c r="L2" s="20" t="s">
        <v>60</v>
      </c>
      <c r="M2" s="20" t="s">
        <v>61</v>
      </c>
      <c r="N2" s="20" t="s">
        <v>62</v>
      </c>
      <c r="O2" s="20" t="s">
        <v>63</v>
      </c>
      <c r="P2" s="20" t="s">
        <v>64</v>
      </c>
      <c r="Q2" s="20" t="s">
        <v>65</v>
      </c>
      <c r="R2" s="20" t="s">
        <v>66</v>
      </c>
      <c r="S2" s="20" t="s">
        <v>67</v>
      </c>
      <c r="T2" s="20" t="s">
        <v>68</v>
      </c>
      <c r="U2" s="20" t="s">
        <v>69</v>
      </c>
      <c r="V2" s="20" t="s">
        <v>70</v>
      </c>
      <c r="W2" s="20" t="s">
        <v>71</v>
      </c>
      <c r="X2" s="20" t="s">
        <v>72</v>
      </c>
      <c r="Y2" s="20" t="s">
        <v>73</v>
      </c>
      <c r="Z2" s="20" t="s">
        <v>74</v>
      </c>
      <c r="AA2" s="20" t="s">
        <v>75</v>
      </c>
      <c r="AB2" s="20" t="s">
        <v>42</v>
      </c>
      <c r="AC2" s="20" t="s">
        <v>76</v>
      </c>
      <c r="AD2" s="20" t="s">
        <v>77</v>
      </c>
      <c r="AE2" s="20" t="s">
        <v>78</v>
      </c>
      <c r="AF2" s="20" t="s">
        <v>35</v>
      </c>
      <c r="AG2" s="20" t="s">
        <v>79</v>
      </c>
      <c r="AH2" s="20" t="s">
        <v>34</v>
      </c>
    </row>
    <row r="3" spans="1:34" hidden="1" outlineLevel="1">
      <c r="A3" s="5" cm="1">
        <f t="array" aca="1" ref="A3:AG573" ca="1">_xll.BQL(B$1:AG$1,"DROPNA(RETURN_SERIES(CALC_INTERVAL=range(#start-40d,#end,frq=m),PER=m, currency=USD))","#start",_xll.BQL.DATE(DATE(1979,1,31)),"#end",_xll.BQL.DATE($A$1),"excelfill=b","showdates=t","showheaders=f","showids=f")</f>
        <v>28886</v>
      </c>
      <c r="B3" s="2">
        <f ca="1"/>
        <v>6.3464864908762322E-3</v>
      </c>
      <c r="C3" s="2" t="str">
        <f ca="1"/>
        <v/>
      </c>
      <c r="D3" s="2" t="str">
        <f ca="1"/>
        <v/>
      </c>
      <c r="E3" s="2">
        <f ca="1"/>
        <v>1.8713256603461167E-2</v>
      </c>
      <c r="F3" s="2">
        <f ca="1"/>
        <v>-1.7415517521288993E-3</v>
      </c>
      <c r="G3" s="2">
        <f ca="1"/>
        <v>1.3281123849507477E-2</v>
      </c>
      <c r="H3" s="2" t="str">
        <f ca="1"/>
        <v/>
      </c>
      <c r="I3" s="2" t="str">
        <f ca="1"/>
        <v/>
      </c>
      <c r="J3" s="2" t="str">
        <f ca="1"/>
        <v/>
      </c>
      <c r="K3" s="2" t="str">
        <f ca="1"/>
        <v/>
      </c>
      <c r="L3" s="2" t="str">
        <f ca="1"/>
        <v/>
      </c>
      <c r="M3" s="2" t="str">
        <f ca="1"/>
        <v/>
      </c>
      <c r="N3" s="2" t="str">
        <f ca="1"/>
        <v/>
      </c>
      <c r="O3" s="2" t="str">
        <f ca="1"/>
        <v/>
      </c>
      <c r="P3" s="2" t="str">
        <f ca="1"/>
        <v/>
      </c>
      <c r="Q3" s="2">
        <f ca="1"/>
        <v>3.7527593818984531E-2</v>
      </c>
      <c r="R3" s="2">
        <f ca="1"/>
        <v>3.4602076124567505E-2</v>
      </c>
      <c r="S3" s="2" t="str">
        <f ca="1"/>
        <v/>
      </c>
      <c r="T3" s="2">
        <f ca="1"/>
        <v>4.432421184059944E-2</v>
      </c>
      <c r="U3" s="2">
        <f ca="1"/>
        <v>4.4800000000000041E-2</v>
      </c>
      <c r="V3" s="2">
        <f ca="1"/>
        <v>3.4619955562445001E-2</v>
      </c>
      <c r="W3" s="2">
        <f ca="1"/>
        <v>5.5028353199861157E-2</v>
      </c>
      <c r="X3" s="2" t="str">
        <f ca="1"/>
        <v/>
      </c>
      <c r="Y3" s="2" t="str">
        <f ca="1"/>
        <v/>
      </c>
      <c r="Z3" s="2" t="str">
        <f ca="1"/>
        <v/>
      </c>
      <c r="AA3" s="2" t="str">
        <f ca="1"/>
        <v/>
      </c>
      <c r="AB3" s="2" t="str">
        <f ca="1"/>
        <v/>
      </c>
      <c r="AC3" s="2" t="str">
        <f ca="1"/>
        <v/>
      </c>
      <c r="AD3" s="2" t="str">
        <f ca="1"/>
        <v/>
      </c>
      <c r="AE3" s="2" t="str">
        <f ca="1"/>
        <v/>
      </c>
      <c r="AF3" s="2" t="str">
        <f ca="1"/>
        <v/>
      </c>
      <c r="AG3" s="2" t="str">
        <f ca="1"/>
        <v/>
      </c>
      <c r="AH3" s="2" cm="1">
        <f t="array" aca="1" ref="AH3:AH572" ca="1">_xll.BDH(AH1,"CHG_PCT_1D","1/1/79",$A$1, "Dates=h","Per=M")/100</f>
        <v>1.5300000000000001E-2</v>
      </c>
    </row>
    <row r="4" spans="1:34" hidden="1" outlineLevel="1">
      <c r="A4" s="5">
        <f ca="1"/>
        <v>28914</v>
      </c>
      <c r="B4" s="2">
        <f ca="1"/>
        <v>-4.9911031669497572E-3</v>
      </c>
      <c r="C4" s="2" t="str">
        <f ca="1"/>
        <v/>
      </c>
      <c r="D4" s="2" t="str">
        <f ca="1"/>
        <v/>
      </c>
      <c r="E4" s="2">
        <f ca="1"/>
        <v>-4.2266113955945379E-3</v>
      </c>
      <c r="F4" s="2">
        <f ca="1"/>
        <v>-7.3036227348666641E-3</v>
      </c>
      <c r="G4" s="2">
        <f ca="1"/>
        <v>-2.2708258635113867E-3</v>
      </c>
      <c r="H4" s="2" t="str">
        <f ca="1"/>
        <v/>
      </c>
      <c r="I4" s="2" t="str">
        <f ca="1"/>
        <v/>
      </c>
      <c r="J4" s="2" t="str">
        <f ca="1"/>
        <v/>
      </c>
      <c r="K4" s="2" t="str">
        <f ca="1"/>
        <v/>
      </c>
      <c r="L4" s="2" t="str">
        <f ca="1"/>
        <v/>
      </c>
      <c r="M4" s="2" t="str">
        <f ca="1"/>
        <v/>
      </c>
      <c r="N4" s="2" t="str">
        <f ca="1"/>
        <v/>
      </c>
      <c r="O4" s="2" t="str">
        <f ca="1"/>
        <v/>
      </c>
      <c r="P4" s="2" t="str">
        <f ca="1"/>
        <v/>
      </c>
      <c r="Q4" s="2">
        <f ca="1"/>
        <v>-4.2553191489361736E-2</v>
      </c>
      <c r="R4" s="2">
        <f ca="1"/>
        <v>-4.5986622073578655E-2</v>
      </c>
      <c r="S4" s="2" t="str">
        <f ca="1"/>
        <v/>
      </c>
      <c r="T4" s="2">
        <f ca="1"/>
        <v>-3.2122485740018095E-2</v>
      </c>
      <c r="U4" s="2">
        <f ca="1"/>
        <v>-2.7565084226646341E-2</v>
      </c>
      <c r="V4" s="2">
        <f ca="1"/>
        <v>-3.3960944913349632E-2</v>
      </c>
      <c r="W4" s="2">
        <f ca="1"/>
        <v>-2.1389787747490844E-2</v>
      </c>
      <c r="X4" s="2" t="str">
        <f ca="1"/>
        <v/>
      </c>
      <c r="Y4" s="2" t="str">
        <f ca="1"/>
        <v/>
      </c>
      <c r="Z4" s="2" t="str">
        <f ca="1"/>
        <v/>
      </c>
      <c r="AA4" s="2" t="str">
        <f ca="1"/>
        <v/>
      </c>
      <c r="AB4" s="2" t="str">
        <f ca="1"/>
        <v/>
      </c>
      <c r="AC4" s="2" t="str">
        <f ca="1"/>
        <v/>
      </c>
      <c r="AD4" s="2" t="str">
        <f ca="1"/>
        <v/>
      </c>
      <c r="AE4" s="2" t="str">
        <f ca="1"/>
        <v/>
      </c>
      <c r="AF4" s="2" t="str">
        <f ca="1"/>
        <v/>
      </c>
      <c r="AG4" s="2" t="str">
        <f ca="1"/>
        <v/>
      </c>
      <c r="AH4" s="2">
        <f ca="1"/>
        <v>8.77E-2</v>
      </c>
    </row>
    <row r="5" spans="1:34" hidden="1" outlineLevel="1">
      <c r="A5" s="5">
        <f ca="1"/>
        <v>28944</v>
      </c>
      <c r="B5" s="2">
        <f ca="1"/>
        <v>2.3385670954242412E-2</v>
      </c>
      <c r="C5" s="2" t="str">
        <f ca="1"/>
        <v/>
      </c>
      <c r="D5" s="2" t="str">
        <f ca="1"/>
        <v/>
      </c>
      <c r="E5" s="2">
        <f ca="1"/>
        <v>1.0284874704105714E-2</v>
      </c>
      <c r="F5" s="2">
        <f ca="1"/>
        <v>2.6083373462873097E-2</v>
      </c>
      <c r="G5" s="2">
        <f ca="1"/>
        <v>1.5732311132406956E-2</v>
      </c>
      <c r="H5" s="2" t="str">
        <f ca="1"/>
        <v/>
      </c>
      <c r="I5" s="2" t="str">
        <f ca="1"/>
        <v/>
      </c>
      <c r="J5" s="2" t="str">
        <f ca="1"/>
        <v/>
      </c>
      <c r="K5" s="2" t="str">
        <f ca="1"/>
        <v/>
      </c>
      <c r="L5" s="2" t="str">
        <f ca="1"/>
        <v/>
      </c>
      <c r="M5" s="2" t="str">
        <f ca="1"/>
        <v/>
      </c>
      <c r="N5" s="2" t="str">
        <f ca="1"/>
        <v/>
      </c>
      <c r="O5" s="2" t="str">
        <f ca="1"/>
        <v/>
      </c>
      <c r="P5" s="2" t="str">
        <f ca="1"/>
        <v/>
      </c>
      <c r="Q5" s="2">
        <f ca="1"/>
        <v>6.0555555555555557E-2</v>
      </c>
      <c r="R5" s="2">
        <f ca="1"/>
        <v>6.3978965819456654E-2</v>
      </c>
      <c r="S5" s="2" t="str">
        <f ca="1"/>
        <v/>
      </c>
      <c r="T5" s="2">
        <f ca="1"/>
        <v>5.9617781470710493E-2</v>
      </c>
      <c r="U5" s="2">
        <f ca="1"/>
        <v>6.2500000000000083E-2</v>
      </c>
      <c r="V5" s="2">
        <f ca="1"/>
        <v>6.5243240448741177E-2</v>
      </c>
      <c r="W5" s="2">
        <f ca="1"/>
        <v>5.9631227932522561E-2</v>
      </c>
      <c r="X5" s="2" t="str">
        <f ca="1"/>
        <v/>
      </c>
      <c r="Y5" s="2" t="str">
        <f ca="1"/>
        <v/>
      </c>
      <c r="Z5" s="2" t="str">
        <f ca="1"/>
        <v/>
      </c>
      <c r="AA5" s="2" t="str">
        <f ca="1"/>
        <v/>
      </c>
      <c r="AB5" s="2" t="str">
        <f ca="1"/>
        <v/>
      </c>
      <c r="AC5" s="2" t="str">
        <f ca="1"/>
        <v/>
      </c>
      <c r="AD5" s="2" t="str">
        <f ca="1"/>
        <v/>
      </c>
      <c r="AE5" s="2" t="str">
        <f ca="1"/>
        <v/>
      </c>
      <c r="AF5" s="2" t="str">
        <f ca="1"/>
        <v/>
      </c>
      <c r="AG5" s="2" t="str">
        <f ca="1"/>
        <v/>
      </c>
      <c r="AH5" s="2">
        <f ca="1"/>
        <v>-5.2999999999999999E-2</v>
      </c>
    </row>
    <row r="6" spans="1:34" hidden="1" outlineLevel="1">
      <c r="A6" s="5">
        <f ca="1"/>
        <v>28975</v>
      </c>
      <c r="B6" s="2">
        <f ca="1"/>
        <v>-3.6969382377532328E-3</v>
      </c>
      <c r="C6" s="2" t="str">
        <f ca="1"/>
        <v/>
      </c>
      <c r="D6" s="2" t="str">
        <f ca="1"/>
        <v/>
      </c>
      <c r="E6" s="2">
        <f ca="1"/>
        <v>-1.6159004605316545E-3</v>
      </c>
      <c r="F6" s="2">
        <f ca="1"/>
        <v>-9.9813726201707347E-3</v>
      </c>
      <c r="G6" s="2">
        <f ca="1"/>
        <v>-9.8278166522525363E-4</v>
      </c>
      <c r="H6" s="2" t="str">
        <f ca="1"/>
        <v/>
      </c>
      <c r="I6" s="2" t="str">
        <f ca="1"/>
        <v/>
      </c>
      <c r="J6" s="2" t="str">
        <f ca="1"/>
        <v/>
      </c>
      <c r="K6" s="2" t="str">
        <f ca="1"/>
        <v/>
      </c>
      <c r="L6" s="2" t="str">
        <f ca="1"/>
        <v/>
      </c>
      <c r="M6" s="2" t="str">
        <f ca="1"/>
        <v/>
      </c>
      <c r="N6" s="2" t="str">
        <f ca="1"/>
        <v/>
      </c>
      <c r="O6" s="2" t="str">
        <f ca="1"/>
        <v/>
      </c>
      <c r="P6" s="2" t="str">
        <f ca="1"/>
        <v/>
      </c>
      <c r="Q6" s="2">
        <f ca="1"/>
        <v>1.0476689366160071E-3</v>
      </c>
      <c r="R6" s="2">
        <f ca="1"/>
        <v>5.7660626029654265E-3</v>
      </c>
      <c r="S6" s="2" t="str">
        <f ca="1"/>
        <v/>
      </c>
      <c r="T6" s="2">
        <f ca="1"/>
        <v>6.2998326606949189E-3</v>
      </c>
      <c r="U6" s="2">
        <f ca="1"/>
        <v>5.4654932839277763E-3</v>
      </c>
      <c r="V6" s="2">
        <f ca="1"/>
        <v>6.4062120844454208E-3</v>
      </c>
      <c r="W6" s="2">
        <f ca="1"/>
        <v>4.7072512825936759E-3</v>
      </c>
      <c r="X6" s="2" t="str">
        <f ca="1"/>
        <v/>
      </c>
      <c r="Y6" s="2" t="str">
        <f ca="1"/>
        <v/>
      </c>
      <c r="Z6" s="2" t="str">
        <f ca="1"/>
        <v/>
      </c>
      <c r="AA6" s="2" t="str">
        <f ca="1"/>
        <v/>
      </c>
      <c r="AB6" s="2" t="str">
        <f ca="1"/>
        <v/>
      </c>
      <c r="AC6" s="2" t="str">
        <f ca="1"/>
        <v/>
      </c>
      <c r="AD6" s="2" t="str">
        <f ca="1"/>
        <v/>
      </c>
      <c r="AE6" s="2" t="str">
        <f ca="1"/>
        <v/>
      </c>
      <c r="AF6" s="2" t="str">
        <f ca="1"/>
        <v/>
      </c>
      <c r="AG6" s="2" t="str">
        <f ca="1"/>
        <v/>
      </c>
      <c r="AH6" s="2">
        <f ca="1"/>
        <v>4.0500000000000001E-2</v>
      </c>
    </row>
    <row r="7" spans="1:34" hidden="1" outlineLevel="1">
      <c r="A7" s="5">
        <f ca="1"/>
        <v>29006</v>
      </c>
      <c r="B7" s="2">
        <f ca="1"/>
        <v>-2.0565706058750039E-2</v>
      </c>
      <c r="C7" s="2" t="str">
        <f ca="1"/>
        <v/>
      </c>
      <c r="D7" s="2" t="str">
        <f ca="1"/>
        <v/>
      </c>
      <c r="E7" s="2">
        <f ca="1"/>
        <v>1.8693857732459355E-2</v>
      </c>
      <c r="F7" s="2">
        <f ca="1"/>
        <v>-2.0359492136720513E-2</v>
      </c>
      <c r="G7" s="2">
        <f ca="1"/>
        <v>-2.010781883288075E-2</v>
      </c>
      <c r="H7" s="2" t="str">
        <f ca="1"/>
        <v/>
      </c>
      <c r="I7" s="2" t="str">
        <f ca="1"/>
        <v/>
      </c>
      <c r="J7" s="2" t="str">
        <f ca="1"/>
        <v/>
      </c>
      <c r="K7" s="2" t="str">
        <f ca="1"/>
        <v/>
      </c>
      <c r="L7" s="2" t="str">
        <f ca="1"/>
        <v/>
      </c>
      <c r="M7" s="2" t="str">
        <f ca="1"/>
        <v/>
      </c>
      <c r="N7" s="2" t="str">
        <f ca="1"/>
        <v/>
      </c>
      <c r="O7" s="2" t="str">
        <f ca="1"/>
        <v/>
      </c>
      <c r="P7" s="2" t="str">
        <f ca="1"/>
        <v/>
      </c>
      <c r="Q7" s="2">
        <f ca="1"/>
        <v>-1.6221873364730442E-2</v>
      </c>
      <c r="R7" s="2">
        <f ca="1"/>
        <v>-2.5389025389025429E-2</v>
      </c>
      <c r="S7" s="2" t="str">
        <f ca="1"/>
        <v/>
      </c>
      <c r="T7" s="2">
        <f ca="1"/>
        <v>-2.1717767295597542E-2</v>
      </c>
      <c r="U7" s="2">
        <f ca="1"/>
        <v>-1.3635526073337054E-2</v>
      </c>
      <c r="V7" s="2">
        <f ca="1"/>
        <v>-1.6106476346626784E-2</v>
      </c>
      <c r="W7" s="2">
        <f ca="1"/>
        <v>-1.1318172246788792E-2</v>
      </c>
      <c r="X7" s="2" t="str">
        <f ca="1"/>
        <v/>
      </c>
      <c r="Y7" s="2" t="str">
        <f ca="1"/>
        <v/>
      </c>
      <c r="Z7" s="2" t="str">
        <f ca="1"/>
        <v/>
      </c>
      <c r="AA7" s="2" t="str">
        <f ca="1"/>
        <v/>
      </c>
      <c r="AB7" s="2" t="str">
        <f ca="1"/>
        <v/>
      </c>
      <c r="AC7" s="2" t="str">
        <f ca="1"/>
        <v/>
      </c>
      <c r="AD7" s="2" t="str">
        <f ca="1"/>
        <v/>
      </c>
      <c r="AE7" s="2" t="str">
        <f ca="1"/>
        <v/>
      </c>
      <c r="AF7" s="2" t="str">
        <f ca="1"/>
        <v/>
      </c>
      <c r="AG7" s="2" t="str">
        <f ca="1"/>
        <v/>
      </c>
      <c r="AH7" s="2">
        <f ca="1"/>
        <v>0.1108</v>
      </c>
    </row>
    <row r="8" spans="1:34" hidden="1" outlineLevel="1">
      <c r="A8" s="5">
        <f ca="1"/>
        <v>29035</v>
      </c>
      <c r="B8" s="2">
        <f ca="1"/>
        <v>1.8086061063804764E-2</v>
      </c>
      <c r="C8" s="2" t="str">
        <f ca="1"/>
        <v/>
      </c>
      <c r="D8" s="2" t="str">
        <f ca="1"/>
        <v/>
      </c>
      <c r="E8" s="2">
        <f ca="1"/>
        <v>2.176676199555139E-2</v>
      </c>
      <c r="F8" s="2">
        <f ca="1"/>
        <v>1.4018038871373283E-2</v>
      </c>
      <c r="G8" s="2">
        <f ca="1"/>
        <v>1.9958236286242062E-2</v>
      </c>
      <c r="H8" s="2" t="str">
        <f ca="1"/>
        <v/>
      </c>
      <c r="I8" s="2" t="str">
        <f ca="1"/>
        <v/>
      </c>
      <c r="J8" s="2" t="str">
        <f ca="1"/>
        <v/>
      </c>
      <c r="K8" s="2" t="str">
        <f ca="1"/>
        <v/>
      </c>
      <c r="L8" s="2" t="str">
        <f ca="1"/>
        <v/>
      </c>
      <c r="M8" s="2" t="str">
        <f ca="1"/>
        <v/>
      </c>
      <c r="N8" s="2" t="str">
        <f ca="1"/>
        <v/>
      </c>
      <c r="O8" s="2" t="str">
        <f ca="1"/>
        <v/>
      </c>
      <c r="P8" s="2" t="str">
        <f ca="1"/>
        <v/>
      </c>
      <c r="Q8" s="2">
        <f ca="1"/>
        <v>3.5106382978723413E-2</v>
      </c>
      <c r="R8" s="2">
        <f ca="1"/>
        <v>6.2184873949579854E-2</v>
      </c>
      <c r="S8" s="2" t="str">
        <f ca="1"/>
        <v/>
      </c>
      <c r="T8" s="2">
        <f ca="1"/>
        <v>4.3500201857085301E-2</v>
      </c>
      <c r="U8" s="2">
        <f ca="1"/>
        <v>4.6048944517093154E-2</v>
      </c>
      <c r="V8" s="2">
        <f ca="1"/>
        <v>3.8621771308140977E-2</v>
      </c>
      <c r="W8" s="2">
        <f ca="1"/>
        <v>5.3458282306586516E-2</v>
      </c>
      <c r="X8" s="2" t="str">
        <f ca="1"/>
        <v/>
      </c>
      <c r="Y8" s="2" t="str">
        <f ca="1"/>
        <v/>
      </c>
      <c r="Z8" s="2" t="str">
        <f ca="1"/>
        <v/>
      </c>
      <c r="AA8" s="2" t="str">
        <f ca="1"/>
        <v/>
      </c>
      <c r="AB8" s="2" t="str">
        <f ca="1"/>
        <v/>
      </c>
      <c r="AC8" s="2" t="str">
        <f ca="1"/>
        <v/>
      </c>
      <c r="AD8" s="2" t="str">
        <f ca="1"/>
        <v/>
      </c>
      <c r="AE8" s="2" t="str">
        <f ca="1"/>
        <v/>
      </c>
      <c r="AF8" s="2" t="str">
        <f ca="1"/>
        <v/>
      </c>
      <c r="AG8" s="2" t="str">
        <f ca="1"/>
        <v/>
      </c>
      <c r="AH8" s="2">
        <f ca="1"/>
        <v>2.53E-2</v>
      </c>
    </row>
    <row r="9" spans="1:34" hidden="1" outlineLevel="1">
      <c r="A9" s="5">
        <f ca="1"/>
        <v>29067</v>
      </c>
      <c r="B9" s="2">
        <f ca="1"/>
        <v>1.1961503025275089E-2</v>
      </c>
      <c r="C9" s="2" t="str">
        <f ca="1"/>
        <v/>
      </c>
      <c r="D9" s="2" t="str">
        <f ca="1"/>
        <v/>
      </c>
      <c r="E9" s="2">
        <f ca="1"/>
        <v>4.6649043694606029E-4</v>
      </c>
      <c r="F9" s="2">
        <f ca="1"/>
        <v>1.4729467790973406E-2</v>
      </c>
      <c r="G9" s="2">
        <f ca="1"/>
        <v>8.5830150793338583E-3</v>
      </c>
      <c r="H9" s="2" t="str">
        <f ca="1"/>
        <v/>
      </c>
      <c r="I9" s="2" t="str">
        <f ca="1"/>
        <v/>
      </c>
      <c r="J9" s="2" t="str">
        <f ca="1"/>
        <v/>
      </c>
      <c r="K9" s="2" t="str">
        <f ca="1"/>
        <v/>
      </c>
      <c r="L9" s="2" t="str">
        <f ca="1"/>
        <v/>
      </c>
      <c r="M9" s="2" t="str">
        <f ca="1"/>
        <v/>
      </c>
      <c r="N9" s="2" t="str">
        <f ca="1"/>
        <v/>
      </c>
      <c r="O9" s="2" t="str">
        <f ca="1"/>
        <v/>
      </c>
      <c r="P9" s="2" t="str">
        <f ca="1"/>
        <v/>
      </c>
      <c r="Q9" s="2">
        <f ca="1"/>
        <v>1.3874614594039032E-2</v>
      </c>
      <c r="R9" s="2">
        <f ca="1"/>
        <v>2.1360759493670851E-2</v>
      </c>
      <c r="S9" s="2" t="str">
        <f ca="1"/>
        <v/>
      </c>
      <c r="T9" s="2">
        <f ca="1"/>
        <v>1.3409775532018321E-2</v>
      </c>
      <c r="U9" s="2">
        <f ca="1"/>
        <v>1.3215465666577409E-2</v>
      </c>
      <c r="V9" s="2">
        <f ca="1"/>
        <v>9.2492095701005861E-3</v>
      </c>
      <c r="W9" s="2">
        <f ca="1"/>
        <v>1.7033105888299205E-2</v>
      </c>
      <c r="X9" s="2" t="str">
        <f ca="1"/>
        <v/>
      </c>
      <c r="Y9" s="2" t="str">
        <f ca="1"/>
        <v/>
      </c>
      <c r="Z9" s="2" t="str">
        <f ca="1"/>
        <v/>
      </c>
      <c r="AA9" s="2" t="str">
        <f ca="1"/>
        <v/>
      </c>
      <c r="AB9" s="2" t="str">
        <f ca="1"/>
        <v/>
      </c>
      <c r="AC9" s="2" t="str">
        <f ca="1"/>
        <v/>
      </c>
      <c r="AD9" s="2" t="str">
        <f ca="1"/>
        <v/>
      </c>
      <c r="AE9" s="2" t="str">
        <f ca="1"/>
        <v/>
      </c>
      <c r="AF9" s="2" t="str">
        <f ca="1"/>
        <v/>
      </c>
      <c r="AG9" s="2" t="str">
        <f ca="1"/>
        <v/>
      </c>
      <c r="AH9" s="2">
        <f ca="1"/>
        <v>1.09E-2</v>
      </c>
    </row>
    <row r="10" spans="1:34" hidden="1" outlineLevel="1">
      <c r="A10" s="5">
        <f ca="1"/>
        <v>29098</v>
      </c>
      <c r="B10" s="2">
        <f ca="1"/>
        <v>2.4329970045719587E-2</v>
      </c>
      <c r="C10" s="2" t="str">
        <f ca="1"/>
        <v/>
      </c>
      <c r="D10" s="2" t="str">
        <f ca="1"/>
        <v/>
      </c>
      <c r="E10" s="2">
        <f ca="1"/>
        <v>-2.5645010879702559E-3</v>
      </c>
      <c r="F10" s="2">
        <f ca="1"/>
        <v>2.2379520992921623E-2</v>
      </c>
      <c r="G10" s="2">
        <f ca="1"/>
        <v>2.52957020728421E-2</v>
      </c>
      <c r="H10" s="2" t="str">
        <f ca="1"/>
        <v/>
      </c>
      <c r="I10" s="2" t="str">
        <f ca="1"/>
        <v/>
      </c>
      <c r="J10" s="2" t="str">
        <f ca="1"/>
        <v/>
      </c>
      <c r="K10" s="2" t="str">
        <f ca="1"/>
        <v/>
      </c>
      <c r="L10" s="2" t="str">
        <f ca="1"/>
        <v/>
      </c>
      <c r="M10" s="2" t="str">
        <f ca="1"/>
        <v/>
      </c>
      <c r="N10" s="2" t="str">
        <f ca="1"/>
        <v/>
      </c>
      <c r="O10" s="2" t="str">
        <f ca="1"/>
        <v/>
      </c>
      <c r="P10" s="2" t="str">
        <f ca="1"/>
        <v/>
      </c>
      <c r="Q10" s="2">
        <f ca="1"/>
        <v>6.234161175874306E-2</v>
      </c>
      <c r="R10" s="2">
        <f ca="1"/>
        <v>6.274206041828044E-2</v>
      </c>
      <c r="S10" s="2" t="str">
        <f ca="1"/>
        <v/>
      </c>
      <c r="T10" s="2">
        <f ca="1"/>
        <v>5.7701570176283433E-2</v>
      </c>
      <c r="U10" s="2">
        <f ca="1"/>
        <v>6.3893540142769017E-2</v>
      </c>
      <c r="V10" s="2">
        <f ca="1"/>
        <v>7.1772572123252443E-2</v>
      </c>
      <c r="W10" s="2">
        <f ca="1"/>
        <v>5.6306530165987433E-2</v>
      </c>
      <c r="X10" s="2" t="str">
        <f ca="1"/>
        <v/>
      </c>
      <c r="Y10" s="2" t="str">
        <f ca="1"/>
        <v/>
      </c>
      <c r="Z10" s="2" t="str">
        <f ca="1"/>
        <v/>
      </c>
      <c r="AA10" s="2" t="str">
        <f ca="1"/>
        <v/>
      </c>
      <c r="AB10" s="2" t="str">
        <f ca="1"/>
        <v/>
      </c>
      <c r="AC10" s="2" t="str">
        <f ca="1"/>
        <v/>
      </c>
      <c r="AD10" s="2" t="str">
        <f ca="1"/>
        <v/>
      </c>
      <c r="AE10" s="2" t="str">
        <f ca="1"/>
        <v/>
      </c>
      <c r="AF10" s="2" t="str">
        <f ca="1"/>
        <v/>
      </c>
      <c r="AG10" s="2" t="str">
        <f ca="1"/>
        <v/>
      </c>
      <c r="AH10" s="2">
        <f ca="1"/>
        <v>0.11609999999999999</v>
      </c>
    </row>
    <row r="11" spans="1:34" hidden="1" outlineLevel="1">
      <c r="A11" s="5">
        <f ca="1"/>
        <v>29126</v>
      </c>
      <c r="B11" s="2">
        <f ca="1"/>
        <v>4.4129699530191469E-2</v>
      </c>
      <c r="C11" s="2" t="str">
        <f ca="1"/>
        <v/>
      </c>
      <c r="D11" s="2" t="str">
        <f ca="1"/>
        <v/>
      </c>
      <c r="E11" s="2">
        <f ca="1"/>
        <v>-1.0440202571094579E-2</v>
      </c>
      <c r="F11" s="2">
        <f ca="1"/>
        <v>4.9332309034693343E-2</v>
      </c>
      <c r="G11" s="2">
        <f ca="1"/>
        <v>3.8834951456310857E-2</v>
      </c>
      <c r="H11" s="2" t="str">
        <f ca="1"/>
        <v/>
      </c>
      <c r="I11" s="2" t="str">
        <f ca="1"/>
        <v/>
      </c>
      <c r="J11" s="2" t="str">
        <f ca="1"/>
        <v/>
      </c>
      <c r="K11" s="2" t="str">
        <f ca="1"/>
        <v/>
      </c>
      <c r="L11" s="2" t="str">
        <f ca="1"/>
        <v/>
      </c>
      <c r="M11" s="2" t="str">
        <f ca="1"/>
        <v/>
      </c>
      <c r="N11" s="2" t="str">
        <f ca="1"/>
        <v/>
      </c>
      <c r="O11" s="2" t="str">
        <f ca="1"/>
        <v/>
      </c>
      <c r="P11" s="2" t="str">
        <f ca="1"/>
        <v/>
      </c>
      <c r="Q11" s="2">
        <f ca="1"/>
        <v>-5.2480916030534074E-3</v>
      </c>
      <c r="R11" s="2">
        <f ca="1"/>
        <v>2.1865889212827911E-2</v>
      </c>
      <c r="S11" s="2" t="str">
        <f ca="1"/>
        <v/>
      </c>
      <c r="T11" s="2">
        <f ca="1"/>
        <v>4.2993047932675657E-3</v>
      </c>
      <c r="U11" s="2">
        <f ca="1"/>
        <v>2.7335984095427294E-3</v>
      </c>
      <c r="V11" s="2">
        <f ca="1"/>
        <v>5.2351452752815873E-4</v>
      </c>
      <c r="W11" s="2">
        <f ca="1"/>
        <v>4.9400141143260612E-3</v>
      </c>
      <c r="X11" s="2" t="str">
        <f ca="1"/>
        <v/>
      </c>
      <c r="Y11" s="2" t="str">
        <f ca="1"/>
        <v/>
      </c>
      <c r="Z11" s="2" t="str">
        <f ca="1"/>
        <v/>
      </c>
      <c r="AA11" s="2" t="str">
        <f ca="1"/>
        <v/>
      </c>
      <c r="AB11" s="2" t="str">
        <f ca="1"/>
        <v/>
      </c>
      <c r="AC11" s="2" t="str">
        <f ca="1"/>
        <v/>
      </c>
      <c r="AD11" s="2" t="str">
        <f ca="1"/>
        <v/>
      </c>
      <c r="AE11" s="2" t="str">
        <f ca="1"/>
        <v/>
      </c>
      <c r="AF11" s="2" t="str">
        <f ca="1"/>
        <v/>
      </c>
      <c r="AG11" s="2" t="str">
        <f ca="1"/>
        <v/>
      </c>
      <c r="AH11" s="2">
        <f ca="1"/>
        <v>0.2336</v>
      </c>
    </row>
    <row r="12" spans="1:34" hidden="1" outlineLevel="1">
      <c r="A12" s="5">
        <f ca="1"/>
        <v>29159</v>
      </c>
      <c r="B12" s="2">
        <f ca="1"/>
        <v>-7.9605840169220565E-2</v>
      </c>
      <c r="C12" s="2" t="str">
        <f ca="1"/>
        <v/>
      </c>
      <c r="D12" s="2" t="str">
        <f ca="1"/>
        <v/>
      </c>
      <c r="E12" s="2">
        <f ca="1"/>
        <v>-6.0782615542083286E-2</v>
      </c>
      <c r="F12" s="2">
        <f ca="1"/>
        <v>-7.2727190560333291E-2</v>
      </c>
      <c r="G12" s="2">
        <f ca="1"/>
        <v>-8.9463074949606092E-2</v>
      </c>
      <c r="H12" s="2" t="str">
        <f ca="1"/>
        <v/>
      </c>
      <c r="I12" s="2" t="str">
        <f ca="1"/>
        <v/>
      </c>
      <c r="J12" s="2" t="str">
        <f ca="1"/>
        <v/>
      </c>
      <c r="K12" s="2" t="str">
        <f ca="1"/>
        <v/>
      </c>
      <c r="L12" s="2" t="str">
        <f ca="1"/>
        <v/>
      </c>
      <c r="M12" s="2" t="str">
        <f ca="1"/>
        <v/>
      </c>
      <c r="N12" s="2" t="str">
        <f ca="1"/>
        <v/>
      </c>
      <c r="O12" s="2" t="str">
        <f ca="1"/>
        <v/>
      </c>
      <c r="P12" s="2" t="str">
        <f ca="1"/>
        <v/>
      </c>
      <c r="Q12" s="2">
        <f ca="1"/>
        <v>-6.8585131894484397E-2</v>
      </c>
      <c r="R12" s="2">
        <f ca="1"/>
        <v>-5.7061340941512051E-2</v>
      </c>
      <c r="S12" s="2" t="str">
        <f ca="1"/>
        <v/>
      </c>
      <c r="T12" s="2">
        <f ca="1"/>
        <v>-6.4032199048664584E-2</v>
      </c>
      <c r="U12" s="2">
        <f ca="1"/>
        <v>-6.8318876497315134E-2</v>
      </c>
      <c r="V12" s="2">
        <f ca="1"/>
        <v>-5.9780238946542344E-2</v>
      </c>
      <c r="W12" s="2">
        <f ca="1"/>
        <v>-7.6779026217228499E-2</v>
      </c>
      <c r="X12" s="2" t="str">
        <f ca="1"/>
        <v/>
      </c>
      <c r="Y12" s="2" t="str">
        <f ca="1"/>
        <v/>
      </c>
      <c r="Z12" s="2" t="str">
        <f ca="1"/>
        <v/>
      </c>
      <c r="AA12" s="2" t="str">
        <f ca="1"/>
        <v/>
      </c>
      <c r="AB12" s="2" t="str">
        <f ca="1"/>
        <v/>
      </c>
      <c r="AC12" s="2" t="str">
        <f ca="1"/>
        <v/>
      </c>
      <c r="AD12" s="2" t="str">
        <f ca="1"/>
        <v/>
      </c>
      <c r="AE12" s="2" t="str">
        <f ca="1"/>
        <v/>
      </c>
      <c r="AF12" s="2" t="str">
        <f ca="1"/>
        <v/>
      </c>
      <c r="AG12" s="2" t="str">
        <f ca="1"/>
        <v/>
      </c>
      <c r="AH12" s="2">
        <f ca="1"/>
        <v>-2.35E-2</v>
      </c>
    </row>
    <row r="13" spans="1:34" hidden="1" outlineLevel="1">
      <c r="A13" s="5">
        <f ca="1"/>
        <v>29189</v>
      </c>
      <c r="B13" s="2">
        <f ca="1"/>
        <v>1.265614990390776E-2</v>
      </c>
      <c r="C13" s="2" t="str">
        <f ca="1"/>
        <v/>
      </c>
      <c r="D13" s="2" t="str">
        <f ca="1"/>
        <v/>
      </c>
      <c r="E13" s="2">
        <f ca="1"/>
        <v>2.9172604577080975E-2</v>
      </c>
      <c r="F13" s="2">
        <f ca="1"/>
        <v>1.3266012301034085E-2</v>
      </c>
      <c r="G13" s="2">
        <f ca="1"/>
        <v>7.9697311222025023E-3</v>
      </c>
      <c r="H13" s="2" t="str">
        <f ca="1"/>
        <v/>
      </c>
      <c r="I13" s="2" t="str">
        <f ca="1"/>
        <v/>
      </c>
      <c r="J13" s="2" t="str">
        <f ca="1"/>
        <v/>
      </c>
      <c r="K13" s="2" t="str">
        <f ca="1"/>
        <v/>
      </c>
      <c r="L13" s="2" t="str">
        <f ca="1"/>
        <v/>
      </c>
      <c r="M13" s="2" t="str">
        <f ca="1"/>
        <v/>
      </c>
      <c r="N13" s="2" t="str">
        <f ca="1"/>
        <v/>
      </c>
      <c r="O13" s="2" t="str">
        <f ca="1"/>
        <v/>
      </c>
      <c r="P13" s="2" t="str">
        <f ca="1"/>
        <v/>
      </c>
      <c r="Q13" s="2">
        <f ca="1"/>
        <v>4.222451081359406E-2</v>
      </c>
      <c r="R13" s="2">
        <f ca="1"/>
        <v>6.8078668683812293E-2</v>
      </c>
      <c r="S13" s="2" t="str">
        <f ca="1"/>
        <v/>
      </c>
      <c r="T13" s="2">
        <f ca="1"/>
        <v>4.7534865448831454E-2</v>
      </c>
      <c r="U13" s="2">
        <f ca="1"/>
        <v>5.9585032807235316E-2</v>
      </c>
      <c r="V13" s="2">
        <f ca="1"/>
        <v>7.5824328711218372E-2</v>
      </c>
      <c r="W13" s="2">
        <f ca="1"/>
        <v>4.2545638945233381E-2</v>
      </c>
      <c r="X13" s="2" t="str">
        <f ca="1"/>
        <v/>
      </c>
      <c r="Y13" s="2" t="str">
        <f ca="1"/>
        <v/>
      </c>
      <c r="Z13" s="2" t="str">
        <f ca="1"/>
        <v/>
      </c>
      <c r="AA13" s="2" t="str">
        <f ca="1"/>
        <v/>
      </c>
      <c r="AB13" s="2" t="str">
        <f ca="1"/>
        <v/>
      </c>
      <c r="AC13" s="2" t="str">
        <f ca="1"/>
        <v/>
      </c>
      <c r="AD13" s="2" t="str">
        <f ca="1"/>
        <v/>
      </c>
      <c r="AE13" s="2" t="str">
        <f ca="1"/>
        <v/>
      </c>
      <c r="AF13" s="2" t="str">
        <f ca="1"/>
        <v/>
      </c>
      <c r="AG13" s="2" t="str">
        <f ca="1"/>
        <v/>
      </c>
      <c r="AH13" s="2">
        <f ca="1"/>
        <v>8.6599999999999996E-2</v>
      </c>
    </row>
    <row r="14" spans="1:34" hidden="1" outlineLevel="1">
      <c r="A14" s="5">
        <f ca="1"/>
        <v>29220</v>
      </c>
      <c r="B14" s="2">
        <f ca="1"/>
        <v>3.3939451449266779E-2</v>
      </c>
      <c r="C14" s="2" t="str">
        <f ca="1"/>
        <v/>
      </c>
      <c r="D14" s="2" t="str">
        <f ca="1"/>
        <v/>
      </c>
      <c r="E14" s="2">
        <f ca="1"/>
        <v>2.6879530830007194E-3</v>
      </c>
      <c r="F14" s="2">
        <f ca="1"/>
        <v>2.9666968082036317E-2</v>
      </c>
      <c r="G14" s="2">
        <f ca="1"/>
        <v>4.0092644357479411E-2</v>
      </c>
      <c r="H14" s="2" t="str">
        <f ca="1"/>
        <v/>
      </c>
      <c r="I14" s="2" t="str">
        <f ca="1"/>
        <v/>
      </c>
      <c r="J14" s="2" t="str">
        <f ca="1"/>
        <v/>
      </c>
      <c r="K14" s="2" t="str">
        <f ca="1"/>
        <v/>
      </c>
      <c r="L14" s="2" t="str">
        <f ca="1"/>
        <v/>
      </c>
      <c r="M14" s="2" t="str">
        <f ca="1"/>
        <v/>
      </c>
      <c r="N14" s="2" t="str">
        <f ca="1"/>
        <v/>
      </c>
      <c r="O14" s="2" t="str">
        <f ca="1"/>
        <v/>
      </c>
      <c r="P14" s="2" t="str">
        <f ca="1"/>
        <v/>
      </c>
      <c r="Q14" s="2">
        <f ca="1"/>
        <v>2.4703557312252968E-2</v>
      </c>
      <c r="R14" s="2">
        <f ca="1"/>
        <v>1.9121813031161571E-2</v>
      </c>
      <c r="S14" s="2" t="str">
        <f ca="1"/>
        <v/>
      </c>
      <c r="T14" s="2">
        <f ca="1"/>
        <v>2.1382818387339901E-2</v>
      </c>
      <c r="U14" s="2">
        <f ca="1"/>
        <v>2.3682008368200821E-2</v>
      </c>
      <c r="V14" s="2">
        <f ca="1"/>
        <v>3.3666695404776223E-2</v>
      </c>
      <c r="W14" s="2">
        <f ca="1"/>
        <v>1.3327496473563761E-2</v>
      </c>
      <c r="X14" s="2" t="str">
        <f ca="1"/>
        <v/>
      </c>
      <c r="Y14" s="2" t="str">
        <f ca="1"/>
        <v/>
      </c>
      <c r="Z14" s="2" t="str">
        <f ca="1"/>
        <v/>
      </c>
      <c r="AA14" s="2" t="str">
        <f ca="1"/>
        <v/>
      </c>
      <c r="AB14" s="2" t="str">
        <f ca="1"/>
        <v/>
      </c>
      <c r="AC14" s="2" t="str">
        <f ca="1"/>
        <v/>
      </c>
      <c r="AD14" s="2" t="str">
        <f ca="1"/>
        <v/>
      </c>
      <c r="AE14" s="2" t="str">
        <f ca="1"/>
        <v/>
      </c>
      <c r="AF14" s="2" t="str">
        <f ca="1"/>
        <v/>
      </c>
      <c r="AG14" s="2" t="str">
        <f ca="1"/>
        <v/>
      </c>
      <c r="AH14" s="2">
        <f ca="1"/>
        <v>0.29089999999999999</v>
      </c>
    </row>
    <row r="15" spans="1:34" hidden="1" outlineLevel="1">
      <c r="A15" s="5">
        <f ca="1"/>
        <v>29251</v>
      </c>
      <c r="B15" s="2">
        <f ca="1"/>
        <v>4.8442668400221822E-2</v>
      </c>
      <c r="C15" s="2" t="str">
        <f ca="1"/>
        <v/>
      </c>
      <c r="D15" s="2" t="str">
        <f ca="1"/>
        <v/>
      </c>
      <c r="E15" s="2">
        <f ca="1"/>
        <v>-3.0463038180341188E-2</v>
      </c>
      <c r="F15" s="2">
        <f ca="1"/>
        <v>5.2084306507969171E-2</v>
      </c>
      <c r="G15" s="2">
        <f ca="1"/>
        <v>4.2002610765568604E-2</v>
      </c>
      <c r="H15" s="2" t="str">
        <f ca="1"/>
        <v/>
      </c>
      <c r="I15" s="2" t="str">
        <f ca="1"/>
        <v/>
      </c>
      <c r="J15" s="2" t="str">
        <f ca="1"/>
        <v/>
      </c>
      <c r="K15" s="2" t="str">
        <f ca="1"/>
        <v/>
      </c>
      <c r="L15" s="2" t="str">
        <f ca="1"/>
        <v/>
      </c>
      <c r="M15" s="2" t="str">
        <f ca="1"/>
        <v/>
      </c>
      <c r="N15" s="2" t="str">
        <f ca="1"/>
        <v/>
      </c>
      <c r="O15" s="2" t="str">
        <f ca="1"/>
        <v/>
      </c>
      <c r="P15" s="2" t="str">
        <f ca="1"/>
        <v/>
      </c>
      <c r="Q15" s="2">
        <f ca="1"/>
        <v>6.1716489874638437E-2</v>
      </c>
      <c r="R15" s="2">
        <f ca="1"/>
        <v>0.10979847116052815</v>
      </c>
      <c r="S15" s="2" t="str">
        <f ca="1"/>
        <v/>
      </c>
      <c r="T15" s="2">
        <f ca="1"/>
        <v>6.2164165277005794E-2</v>
      </c>
      <c r="U15" s="2">
        <f ca="1"/>
        <v>6.1391318564538583E-2</v>
      </c>
      <c r="V15" s="2">
        <f ca="1"/>
        <v>7.385629092122277E-2</v>
      </c>
      <c r="W15" s="2">
        <f ca="1"/>
        <v>4.9200787212595513E-2</v>
      </c>
      <c r="X15" s="2" t="str">
        <f ca="1"/>
        <v/>
      </c>
      <c r="Y15" s="2" t="str">
        <f ca="1"/>
        <v/>
      </c>
      <c r="Z15" s="2" t="str">
        <f ca="1"/>
        <v/>
      </c>
      <c r="AA15" s="2" t="str">
        <f ca="1"/>
        <v/>
      </c>
      <c r="AB15" s="2" t="str">
        <f ca="1"/>
        <v/>
      </c>
      <c r="AC15" s="2" t="str">
        <f ca="1"/>
        <v/>
      </c>
      <c r="AD15" s="2" t="str">
        <f ca="1"/>
        <v/>
      </c>
      <c r="AE15" s="2" t="str">
        <f ca="1"/>
        <v/>
      </c>
      <c r="AF15" s="2" t="str">
        <f ca="1"/>
        <v/>
      </c>
      <c r="AG15" s="2" t="str">
        <f ca="1"/>
        <v/>
      </c>
      <c r="AH15" s="2">
        <f ca="1"/>
        <v>0.25969999999999999</v>
      </c>
    </row>
    <row r="16" spans="1:34" hidden="1" outlineLevel="1">
      <c r="A16" s="5">
        <f ca="1"/>
        <v>29280</v>
      </c>
      <c r="B16" s="2">
        <f ca="1"/>
        <v>-4.0120653747816992E-3</v>
      </c>
      <c r="C16" s="2" t="str">
        <f ca="1"/>
        <v/>
      </c>
      <c r="D16" s="2" t="str">
        <f ca="1"/>
        <v/>
      </c>
      <c r="E16" s="2">
        <f ca="1"/>
        <v>-5.9153749476330023E-2</v>
      </c>
      <c r="F16" s="2">
        <f ca="1"/>
        <v>-1.1677159830570415E-3</v>
      </c>
      <c r="G16" s="2">
        <f ca="1"/>
        <v>-8.5482682387619507E-3</v>
      </c>
      <c r="H16" s="2" t="str">
        <f ca="1"/>
        <v/>
      </c>
      <c r="I16" s="2" t="str">
        <f ca="1"/>
        <v/>
      </c>
      <c r="J16" s="2" t="str">
        <f ca="1"/>
        <v/>
      </c>
      <c r="K16" s="2" t="str">
        <f ca="1"/>
        <v/>
      </c>
      <c r="L16" s="2" t="str">
        <f ca="1"/>
        <v/>
      </c>
      <c r="M16" s="2" t="str">
        <f ca="1"/>
        <v/>
      </c>
      <c r="N16" s="2" t="str">
        <f ca="1"/>
        <v/>
      </c>
      <c r="O16" s="2" t="str">
        <f ca="1"/>
        <v/>
      </c>
      <c r="P16" s="2" t="str">
        <f ca="1"/>
        <v/>
      </c>
      <c r="Q16" s="2">
        <f ca="1"/>
        <v>-1.2261580381471371E-2</v>
      </c>
      <c r="R16" s="2">
        <f ca="1"/>
        <v>4.4458359423919791E-2</v>
      </c>
      <c r="S16" s="2" t="str">
        <f ca="1"/>
        <v/>
      </c>
      <c r="T16" s="2">
        <f ca="1"/>
        <v>-8.7596355991530125E-5</v>
      </c>
      <c r="U16" s="2">
        <f ca="1"/>
        <v>1.9254467036352433E-3</v>
      </c>
      <c r="V16" s="2">
        <f ca="1"/>
        <v>3.6893203883494709E-3</v>
      </c>
      <c r="W16" s="2">
        <f ca="1"/>
        <v>2.74499039253373E-4</v>
      </c>
      <c r="X16" s="2" t="str">
        <f ca="1"/>
        <v/>
      </c>
      <c r="Y16" s="2" t="str">
        <f ca="1"/>
        <v/>
      </c>
      <c r="Z16" s="2" t="str">
        <f ca="1"/>
        <v/>
      </c>
      <c r="AA16" s="2" t="str">
        <f ca="1"/>
        <v/>
      </c>
      <c r="AB16" s="2" t="str">
        <f ca="1"/>
        <v/>
      </c>
      <c r="AC16" s="2" t="str">
        <f ca="1"/>
        <v/>
      </c>
      <c r="AD16" s="2" t="str">
        <f ca="1"/>
        <v/>
      </c>
      <c r="AE16" s="2" t="str">
        <f ca="1"/>
        <v/>
      </c>
      <c r="AF16" s="2" t="str">
        <f ca="1"/>
        <v/>
      </c>
      <c r="AG16" s="2" t="str">
        <f ca="1"/>
        <v/>
      </c>
      <c r="AH16" s="2">
        <f ca="1"/>
        <v>-6.0899999999999996E-2</v>
      </c>
    </row>
    <row r="17" spans="1:34" hidden="1" outlineLevel="1">
      <c r="A17" s="5">
        <f ca="1"/>
        <v>29311</v>
      </c>
      <c r="B17" s="2">
        <f ca="1"/>
        <v>-0.10616575055021912</v>
      </c>
      <c r="C17" s="2" t="str">
        <f ca="1"/>
        <v/>
      </c>
      <c r="D17" s="2" t="str">
        <f ca="1"/>
        <v/>
      </c>
      <c r="E17" s="2">
        <f ca="1"/>
        <v>8.0149612610196097E-4</v>
      </c>
      <c r="F17" s="2">
        <f ca="1"/>
        <v>-0.11630801509581573</v>
      </c>
      <c r="G17" s="2">
        <f ca="1"/>
        <v>-9.6960011892373923E-2</v>
      </c>
      <c r="H17" s="2" t="str">
        <f ca="1"/>
        <v/>
      </c>
      <c r="I17" s="2" t="str">
        <f ca="1"/>
        <v/>
      </c>
      <c r="J17" s="2" t="str">
        <f ca="1"/>
        <v/>
      </c>
      <c r="K17" s="2" t="str">
        <f ca="1"/>
        <v/>
      </c>
      <c r="L17" s="2" t="str">
        <f ca="1"/>
        <v/>
      </c>
      <c r="M17" s="2" t="str">
        <f ca="1"/>
        <v/>
      </c>
      <c r="N17" s="2" t="str">
        <f ca="1"/>
        <v/>
      </c>
      <c r="O17" s="2" t="str">
        <f ca="1"/>
        <v/>
      </c>
      <c r="P17" s="2" t="str">
        <f ca="1"/>
        <v/>
      </c>
      <c r="Q17" s="2">
        <f ca="1"/>
        <v>-8.9655172413793074E-2</v>
      </c>
      <c r="R17" s="2">
        <f ca="1"/>
        <v>-0.13369304556354919</v>
      </c>
      <c r="S17" s="2" t="str">
        <f ca="1"/>
        <v/>
      </c>
      <c r="T17" s="2">
        <f ca="1"/>
        <v>-9.7219778286116512E-2</v>
      </c>
      <c r="U17" s="2">
        <f ca="1"/>
        <v>-0.11284495349373516</v>
      </c>
      <c r="V17" s="2">
        <f ca="1"/>
        <v>-0.12110659702070031</v>
      </c>
      <c r="W17" s="2">
        <f ca="1"/>
        <v>-0.10450969630442737</v>
      </c>
      <c r="X17" s="2" t="str">
        <f ca="1"/>
        <v/>
      </c>
      <c r="Y17" s="2" t="str">
        <f ca="1"/>
        <v/>
      </c>
      <c r="Z17" s="2" t="str">
        <f ca="1"/>
        <v/>
      </c>
      <c r="AA17" s="2" t="str">
        <f ca="1"/>
        <v/>
      </c>
      <c r="AB17" s="2" t="str">
        <f ca="1"/>
        <v/>
      </c>
      <c r="AC17" s="2" t="str">
        <f ca="1"/>
        <v/>
      </c>
      <c r="AD17" s="2" t="str">
        <f ca="1"/>
        <v/>
      </c>
      <c r="AE17" s="2" t="str">
        <f ca="1"/>
        <v/>
      </c>
      <c r="AF17" s="2" t="str">
        <f ca="1"/>
        <v/>
      </c>
      <c r="AG17" s="2" t="str">
        <f ca="1"/>
        <v/>
      </c>
      <c r="AH17" s="2">
        <f ca="1"/>
        <v>-0.21640000000000001</v>
      </c>
    </row>
    <row r="18" spans="1:34" hidden="1" outlineLevel="1">
      <c r="A18" s="5">
        <f ca="1"/>
        <v>29341</v>
      </c>
      <c r="B18" s="2">
        <f ca="1"/>
        <v>9.4623937856949725E-2</v>
      </c>
      <c r="C18" s="2" t="str">
        <f ca="1"/>
        <v/>
      </c>
      <c r="D18" s="2" t="str">
        <f ca="1"/>
        <v/>
      </c>
      <c r="E18" s="2">
        <f ca="1"/>
        <v>0.11336536750311452</v>
      </c>
      <c r="F18" s="2">
        <f ca="1"/>
        <v>9.4608597672008729E-2</v>
      </c>
      <c r="G18" s="2">
        <f ca="1"/>
        <v>9.4077945594468956E-2</v>
      </c>
      <c r="H18" s="2" t="str">
        <f ca="1"/>
        <v/>
      </c>
      <c r="I18" s="2" t="str">
        <f ca="1"/>
        <v/>
      </c>
      <c r="J18" s="2" t="str">
        <f ca="1"/>
        <v/>
      </c>
      <c r="K18" s="2" t="str">
        <f ca="1"/>
        <v/>
      </c>
      <c r="L18" s="2" t="str">
        <f ca="1"/>
        <v/>
      </c>
      <c r="M18" s="2" t="str">
        <f ca="1"/>
        <v/>
      </c>
      <c r="N18" s="2" t="str">
        <f ca="1"/>
        <v/>
      </c>
      <c r="O18" s="2" t="str">
        <f ca="1"/>
        <v/>
      </c>
      <c r="P18" s="2" t="str">
        <f ca="1"/>
        <v/>
      </c>
      <c r="Q18" s="2">
        <f ca="1"/>
        <v>3.8888888888888869E-2</v>
      </c>
      <c r="R18" s="2">
        <f ca="1"/>
        <v>2.0761245674740535E-2</v>
      </c>
      <c r="S18" s="2" t="str">
        <f ca="1"/>
        <v/>
      </c>
      <c r="T18" s="2">
        <f ca="1"/>
        <v>4.6233715349201683E-2</v>
      </c>
      <c r="U18" s="2">
        <f ca="1"/>
        <v>4.8955896369465436E-2</v>
      </c>
      <c r="V18" s="2">
        <f ca="1"/>
        <v>4.3495487563284155E-2</v>
      </c>
      <c r="W18" s="2">
        <f ca="1"/>
        <v>5.429286480412681E-2</v>
      </c>
      <c r="X18" s="2" t="str">
        <f ca="1"/>
        <v/>
      </c>
      <c r="Y18" s="2" t="str">
        <f ca="1"/>
        <v/>
      </c>
      <c r="Z18" s="2" t="str">
        <f ca="1"/>
        <v/>
      </c>
      <c r="AA18" s="2" t="str">
        <f ca="1"/>
        <v/>
      </c>
      <c r="AB18" s="2" t="str">
        <f ca="1"/>
        <v/>
      </c>
      <c r="AC18" s="2" t="str">
        <f ca="1"/>
        <v/>
      </c>
      <c r="AD18" s="2" t="str">
        <f ca="1"/>
        <v/>
      </c>
      <c r="AE18" s="2" t="str">
        <f ca="1"/>
        <v/>
      </c>
      <c r="AF18" s="2" t="str">
        <f ca="1"/>
        <v/>
      </c>
      <c r="AG18" s="2" t="str">
        <f ca="1"/>
        <v/>
      </c>
      <c r="AH18" s="2">
        <f ca="1"/>
        <v>1.1000000000000001E-2</v>
      </c>
    </row>
    <row r="19" spans="1:34" hidden="1" outlineLevel="1">
      <c r="A19" s="5">
        <f ca="1"/>
        <v>29371</v>
      </c>
      <c r="B19" s="2">
        <f ca="1"/>
        <v>4.667674733698135E-2</v>
      </c>
      <c r="C19" s="2" t="str">
        <f ca="1"/>
        <v/>
      </c>
      <c r="D19" s="2" t="str">
        <f ca="1"/>
        <v/>
      </c>
      <c r="E19" s="2">
        <f ca="1"/>
        <v>4.7154731457800553E-2</v>
      </c>
      <c r="F19" s="2">
        <f ca="1"/>
        <v>5.0200821668520204E-2</v>
      </c>
      <c r="G19" s="2">
        <f ca="1"/>
        <v>4.1602407372578525E-2</v>
      </c>
      <c r="H19" s="2" t="str">
        <f ca="1"/>
        <v/>
      </c>
      <c r="I19" s="2" t="str">
        <f ca="1"/>
        <v/>
      </c>
      <c r="J19" s="2" t="str">
        <f ca="1"/>
        <v/>
      </c>
      <c r="K19" s="2" t="str">
        <f ca="1"/>
        <v/>
      </c>
      <c r="L19" s="2" t="str">
        <f ca="1"/>
        <v/>
      </c>
      <c r="M19" s="2" t="str">
        <f ca="1"/>
        <v/>
      </c>
      <c r="N19" s="2" t="str">
        <f ca="1"/>
        <v/>
      </c>
      <c r="O19" s="2" t="str">
        <f ca="1"/>
        <v/>
      </c>
      <c r="P19" s="2" t="str">
        <f ca="1"/>
        <v/>
      </c>
      <c r="Q19" s="2">
        <f ca="1"/>
        <v>5.2503646086533705E-2</v>
      </c>
      <c r="R19" s="2">
        <f ca="1"/>
        <v>4.3389830508474614E-2</v>
      </c>
      <c r="S19" s="2" t="str">
        <f ca="1"/>
        <v/>
      </c>
      <c r="T19" s="2">
        <f ca="1"/>
        <v>5.1462978643334233E-2</v>
      </c>
      <c r="U19" s="2">
        <f ca="1"/>
        <v>5.8896415000826007E-2</v>
      </c>
      <c r="V19" s="2">
        <f ca="1"/>
        <v>4.9276462894992171E-2</v>
      </c>
      <c r="W19" s="2">
        <f ca="1"/>
        <v>6.8210444724348479E-2</v>
      </c>
      <c r="X19" s="2" t="str">
        <f ca="1"/>
        <v/>
      </c>
      <c r="Y19" s="2" t="str">
        <f ca="1"/>
        <v/>
      </c>
      <c r="Z19" s="2" t="str">
        <f ca="1"/>
        <v/>
      </c>
      <c r="AA19" s="2" t="str">
        <f ca="1"/>
        <v/>
      </c>
      <c r="AB19" s="2" t="str">
        <f ca="1"/>
        <v/>
      </c>
      <c r="AC19" s="2" t="str">
        <f ca="1"/>
        <v/>
      </c>
      <c r="AD19" s="2" t="str">
        <f ca="1"/>
        <v/>
      </c>
      <c r="AE19" s="2" t="str">
        <f ca="1"/>
        <v/>
      </c>
      <c r="AF19" s="2" t="str">
        <f ca="1"/>
        <v/>
      </c>
      <c r="AG19" s="2" t="str">
        <f ca="1"/>
        <v/>
      </c>
      <c r="AH19" s="2">
        <f ca="1"/>
        <v>7.5300000000000006E-2</v>
      </c>
    </row>
    <row r="20" spans="1:34" hidden="1" outlineLevel="1">
      <c r="A20" s="5">
        <f ca="1"/>
        <v>29402</v>
      </c>
      <c r="B20" s="2">
        <f ca="1"/>
        <v>6.3865774596011476E-2</v>
      </c>
      <c r="C20" s="2" t="str">
        <f ca="1"/>
        <v/>
      </c>
      <c r="D20" s="2" t="str">
        <f ca="1"/>
        <v/>
      </c>
      <c r="E20" s="2">
        <f ca="1"/>
        <v>1.885208365135093E-2</v>
      </c>
      <c r="F20" s="2">
        <f ca="1"/>
        <v>6.0775390539535332E-2</v>
      </c>
      <c r="G20" s="2">
        <f ca="1"/>
        <v>6.7133725759271873E-2</v>
      </c>
      <c r="H20" s="2" t="str">
        <f ca="1"/>
        <v/>
      </c>
      <c r="I20" s="2" t="str">
        <f ca="1"/>
        <v/>
      </c>
      <c r="J20" s="2" t="str">
        <f ca="1"/>
        <v/>
      </c>
      <c r="K20" s="2" t="str">
        <f ca="1"/>
        <v/>
      </c>
      <c r="L20" s="2" t="str">
        <f ca="1"/>
        <v/>
      </c>
      <c r="M20" s="2" t="str">
        <f ca="1"/>
        <v/>
      </c>
      <c r="N20" s="2" t="str">
        <f ca="1"/>
        <v/>
      </c>
      <c r="O20" s="2" t="str">
        <f ca="1"/>
        <v/>
      </c>
      <c r="P20" s="2" t="str">
        <f ca="1"/>
        <v/>
      </c>
      <c r="Q20" s="2">
        <f ca="1"/>
        <v>3.5565819861432015E-2</v>
      </c>
      <c r="R20" s="2">
        <f ca="1"/>
        <v>3.3138401559454175E-2</v>
      </c>
      <c r="S20" s="2" t="str">
        <f ca="1"/>
        <v/>
      </c>
      <c r="T20" s="2">
        <f ca="1"/>
        <v>3.1643293779216014E-2</v>
      </c>
      <c r="U20" s="2">
        <f ca="1"/>
        <v>3.5026133083703948E-2</v>
      </c>
      <c r="V20" s="2">
        <f ca="1"/>
        <v>4.523340436653131E-2</v>
      </c>
      <c r="W20" s="2">
        <f ca="1"/>
        <v>2.5306122448979586E-2</v>
      </c>
      <c r="X20" s="2" t="str">
        <f ca="1"/>
        <v/>
      </c>
      <c r="Y20" s="2" t="str">
        <f ca="1"/>
        <v/>
      </c>
      <c r="Z20" s="2" t="str">
        <f ca="1"/>
        <v/>
      </c>
      <c r="AA20" s="2" t="str">
        <f ca="1"/>
        <v/>
      </c>
      <c r="AB20" s="2" t="str">
        <f ca="1"/>
        <v/>
      </c>
      <c r="AC20" s="2" t="str">
        <f ca="1"/>
        <v/>
      </c>
      <c r="AD20" s="2" t="str">
        <f ca="1"/>
        <v/>
      </c>
      <c r="AE20" s="2" t="str">
        <f ca="1"/>
        <v/>
      </c>
      <c r="AF20" s="2" t="str">
        <f ca="1"/>
        <v/>
      </c>
      <c r="AG20" s="2" t="str">
        <f ca="1"/>
        <v/>
      </c>
      <c r="AH20" s="2">
        <f ca="1"/>
        <v>0.1996</v>
      </c>
    </row>
    <row r="21" spans="1:34" hidden="1" outlineLevel="1">
      <c r="A21" s="5">
        <f ca="1"/>
        <v>29433</v>
      </c>
      <c r="B21" s="2">
        <f ca="1"/>
        <v>-4.9477494798477921E-3</v>
      </c>
      <c r="C21" s="2" t="str">
        <f ca="1"/>
        <v/>
      </c>
      <c r="D21" s="2" t="str">
        <f ca="1"/>
        <v/>
      </c>
      <c r="E21" s="2">
        <f ca="1"/>
        <v>-2.0675706045396806E-2</v>
      </c>
      <c r="F21" s="2">
        <f ca="1"/>
        <v>-5.0367339193710219E-3</v>
      </c>
      <c r="G21" s="2">
        <f ca="1"/>
        <v>-6.0575296108291736E-3</v>
      </c>
      <c r="H21" s="2" t="str">
        <f ca="1"/>
        <v/>
      </c>
      <c r="I21" s="2" t="str">
        <f ca="1"/>
        <v/>
      </c>
      <c r="J21" s="2" t="str">
        <f ca="1"/>
        <v/>
      </c>
      <c r="K21" s="2" t="str">
        <f ca="1"/>
        <v/>
      </c>
      <c r="L21" s="2" t="str">
        <f ca="1"/>
        <v/>
      </c>
      <c r="M21" s="2" t="str">
        <f ca="1"/>
        <v/>
      </c>
      <c r="N21" s="2" t="str">
        <f ca="1"/>
        <v/>
      </c>
      <c r="O21" s="2" t="str">
        <f ca="1"/>
        <v/>
      </c>
      <c r="P21" s="2" t="str">
        <f ca="1"/>
        <v/>
      </c>
      <c r="Q21" s="2">
        <f ca="1"/>
        <v>7.0026761819803593E-2</v>
      </c>
      <c r="R21" s="2">
        <f ca="1"/>
        <v>7.4842767295597454E-2</v>
      </c>
      <c r="S21" s="2" t="str">
        <f ca="1"/>
        <v/>
      </c>
      <c r="T21" s="2">
        <f ca="1"/>
        <v>6.9590336134453853E-2</v>
      </c>
      <c r="U21" s="2">
        <f ca="1"/>
        <v>6.6249623153451856E-2</v>
      </c>
      <c r="V21" s="2">
        <f ca="1"/>
        <v>8.3128173565163929E-2</v>
      </c>
      <c r="W21" s="2">
        <f ca="1"/>
        <v>4.9274593064402017E-2</v>
      </c>
      <c r="X21" s="2" t="str">
        <f ca="1"/>
        <v/>
      </c>
      <c r="Y21" s="2" t="str">
        <f ca="1"/>
        <v/>
      </c>
      <c r="Z21" s="2" t="str">
        <f ca="1"/>
        <v/>
      </c>
      <c r="AA21" s="2" t="str">
        <f ca="1"/>
        <v/>
      </c>
      <c r="AB21" s="2" t="str">
        <f ca="1"/>
        <v/>
      </c>
      <c r="AC21" s="2" t="str">
        <f ca="1"/>
        <v/>
      </c>
      <c r="AD21" s="2" t="str">
        <f ca="1"/>
        <v/>
      </c>
      <c r="AE21" s="2" t="str">
        <f ca="1"/>
        <v/>
      </c>
      <c r="AF21" s="2" t="str">
        <f ca="1"/>
        <v/>
      </c>
      <c r="AG21" s="2" t="str">
        <f ca="1"/>
        <v/>
      </c>
      <c r="AH21" s="2">
        <f ca="1"/>
        <v>-5.2400000000000002E-2</v>
      </c>
    </row>
    <row r="22" spans="1:34" hidden="1" outlineLevel="1">
      <c r="A22" s="5">
        <f ca="1"/>
        <v>29462</v>
      </c>
      <c r="B22" s="2">
        <f ca="1"/>
        <v>3.4735522924499357E-2</v>
      </c>
      <c r="C22" s="2" t="str">
        <f ca="1"/>
        <v/>
      </c>
      <c r="D22" s="2" t="str">
        <f ca="1"/>
        <v/>
      </c>
      <c r="E22" s="2">
        <f ca="1"/>
        <v>-3.579897498661358E-2</v>
      </c>
      <c r="F22" s="2">
        <f ca="1"/>
        <v>3.721009295267786E-2</v>
      </c>
      <c r="G22" s="2">
        <f ca="1"/>
        <v>3.2378877123693604E-2</v>
      </c>
      <c r="H22" s="2" t="str">
        <f ca="1"/>
        <v/>
      </c>
      <c r="I22" s="2" t="str">
        <f ca="1"/>
        <v/>
      </c>
      <c r="J22" s="2" t="str">
        <f ca="1"/>
        <v/>
      </c>
      <c r="K22" s="2" t="str">
        <f ca="1"/>
        <v/>
      </c>
      <c r="L22" s="2" t="str">
        <f ca="1"/>
        <v/>
      </c>
      <c r="M22" s="2" t="str">
        <f ca="1"/>
        <v/>
      </c>
      <c r="N22" s="2" t="str">
        <f ca="1"/>
        <v/>
      </c>
      <c r="O22" s="2" t="str">
        <f ca="1"/>
        <v/>
      </c>
      <c r="P22" s="2" t="str">
        <f ca="1"/>
        <v/>
      </c>
      <c r="Q22" s="2">
        <f ca="1"/>
        <v>1.1254689453939272E-2</v>
      </c>
      <c r="R22" s="2">
        <f ca="1"/>
        <v>3.5108250438852383E-3</v>
      </c>
      <c r="S22" s="2" t="str">
        <f ca="1"/>
        <v/>
      </c>
      <c r="T22" s="2">
        <f ca="1"/>
        <v>1.0109312073641857E-2</v>
      </c>
      <c r="U22" s="2">
        <f ca="1"/>
        <v>1.7671591150067154E-2</v>
      </c>
      <c r="V22" s="2">
        <f ca="1"/>
        <v>2.0634300529175677E-2</v>
      </c>
      <c r="W22" s="2">
        <f ca="1"/>
        <v>1.5049321305117583E-2</v>
      </c>
      <c r="X22" s="2" t="str">
        <f ca="1"/>
        <v/>
      </c>
      <c r="Y22" s="2" t="str">
        <f ca="1"/>
        <v/>
      </c>
      <c r="Z22" s="2" t="str">
        <f ca="1"/>
        <v/>
      </c>
      <c r="AA22" s="2" t="str">
        <f ca="1"/>
        <v/>
      </c>
      <c r="AB22" s="2" t="str">
        <f ca="1"/>
        <v/>
      </c>
      <c r="AC22" s="2" t="str">
        <f ca="1"/>
        <v/>
      </c>
      <c r="AD22" s="2" t="str">
        <f ca="1"/>
        <v/>
      </c>
      <c r="AE22" s="2" t="str">
        <f ca="1"/>
        <v/>
      </c>
      <c r="AF22" s="2" t="str">
        <f ca="1"/>
        <v/>
      </c>
      <c r="AG22" s="2" t="str">
        <f ca="1"/>
        <v/>
      </c>
      <c r="AH22" s="2">
        <f ca="1"/>
        <v>3.5699999999999996E-2</v>
      </c>
    </row>
    <row r="23" spans="1:34" hidden="1" outlineLevel="1">
      <c r="A23" s="5">
        <f ca="1"/>
        <v>29494</v>
      </c>
      <c r="B23" s="2">
        <f ca="1"/>
        <v>3.5018934447636561E-2</v>
      </c>
      <c r="C23" s="2" t="str">
        <f ca="1"/>
        <v/>
      </c>
      <c r="D23" s="2" t="str">
        <f ca="1"/>
        <v/>
      </c>
      <c r="E23" s="2">
        <f ca="1"/>
        <v>-1.0472034906782968E-2</v>
      </c>
      <c r="F23" s="2">
        <f ca="1"/>
        <v>4.7814912080840016E-2</v>
      </c>
      <c r="G23" s="2">
        <f ca="1"/>
        <v>1.9754633599366637E-2</v>
      </c>
      <c r="H23" s="2" t="str">
        <f ca="1"/>
        <v/>
      </c>
      <c r="I23" s="2" t="str">
        <f ca="1"/>
        <v/>
      </c>
      <c r="J23" s="2" t="str">
        <f ca="1"/>
        <v/>
      </c>
      <c r="K23" s="2" t="str">
        <f ca="1"/>
        <v/>
      </c>
      <c r="L23" s="2" t="str">
        <f ca="1"/>
        <v/>
      </c>
      <c r="M23" s="2" t="str">
        <f ca="1"/>
        <v/>
      </c>
      <c r="N23" s="2" t="str">
        <f ca="1"/>
        <v/>
      </c>
      <c r="O23" s="2" t="str">
        <f ca="1"/>
        <v/>
      </c>
      <c r="P23" s="2" t="str">
        <f ca="1"/>
        <v/>
      </c>
      <c r="Q23" s="2">
        <f ca="1"/>
        <v>4.2044517724649615E-2</v>
      </c>
      <c r="R23" s="2">
        <f ca="1"/>
        <v>6.1807580174927254E-2</v>
      </c>
      <c r="S23" s="2" t="str">
        <f ca="1"/>
        <v/>
      </c>
      <c r="T23" s="2">
        <f ca="1"/>
        <v>2.9416571335185337E-2</v>
      </c>
      <c r="U23" s="2">
        <f ca="1"/>
        <v>2.9381121066888866E-2</v>
      </c>
      <c r="V23" s="2">
        <f ca="1"/>
        <v>4.5862620920036241E-2</v>
      </c>
      <c r="W23" s="2">
        <f ca="1"/>
        <v>1.2126749449727896E-2</v>
      </c>
      <c r="X23" s="2" t="str">
        <f ca="1"/>
        <v/>
      </c>
      <c r="Y23" s="2" t="str">
        <f ca="1"/>
        <v/>
      </c>
      <c r="Z23" s="2" t="str">
        <f ca="1"/>
        <v/>
      </c>
      <c r="AA23" s="2" t="str">
        <f ca="1"/>
        <v/>
      </c>
      <c r="AB23" s="2" t="str">
        <f ca="1"/>
        <v/>
      </c>
      <c r="AC23" s="2" t="str">
        <f ca="1"/>
        <v/>
      </c>
      <c r="AD23" s="2" t="str">
        <f ca="1"/>
        <v/>
      </c>
      <c r="AE23" s="2" t="str">
        <f ca="1"/>
        <v/>
      </c>
      <c r="AF23" s="2" t="str">
        <f ca="1"/>
        <v/>
      </c>
      <c r="AG23" s="2" t="str">
        <f ca="1"/>
        <v/>
      </c>
      <c r="AH23" s="2">
        <f ca="1"/>
        <v>4.6300000000000001E-2</v>
      </c>
    </row>
    <row r="24" spans="1:34" hidden="1" outlineLevel="1">
      <c r="A24" s="5">
        <f ca="1"/>
        <v>29525</v>
      </c>
      <c r="B24" s="2">
        <f ca="1"/>
        <v>4.2123092159837373E-2</v>
      </c>
      <c r="C24" s="2" t="str">
        <f ca="1"/>
        <v/>
      </c>
      <c r="D24" s="2" t="str">
        <f ca="1"/>
        <v/>
      </c>
      <c r="E24" s="2">
        <f ca="1"/>
        <v>-1.1464763890002462E-2</v>
      </c>
      <c r="F24" s="2">
        <f ca="1"/>
        <v>5.611612337154534E-2</v>
      </c>
      <c r="G24" s="2">
        <f ca="1"/>
        <v>2.5743022541315087E-2</v>
      </c>
      <c r="H24" s="2" t="str">
        <f ca="1"/>
        <v/>
      </c>
      <c r="I24" s="2" t="str">
        <f ca="1"/>
        <v/>
      </c>
      <c r="J24" s="2" t="str">
        <f ca="1"/>
        <v/>
      </c>
      <c r="K24" s="2" t="str">
        <f ca="1"/>
        <v/>
      </c>
      <c r="L24" s="2" t="str">
        <f ca="1"/>
        <v/>
      </c>
      <c r="M24" s="2" t="str">
        <f ca="1"/>
        <v/>
      </c>
      <c r="N24" s="2" t="str">
        <f ca="1"/>
        <v/>
      </c>
      <c r="O24" s="2" t="str">
        <f ca="1"/>
        <v/>
      </c>
      <c r="P24" s="2" t="str">
        <f ca="1"/>
        <v/>
      </c>
      <c r="Q24" s="2">
        <f ca="1"/>
        <v>3.4018987341772125E-2</v>
      </c>
      <c r="R24" s="2">
        <f ca="1"/>
        <v>4.9972542559033502E-2</v>
      </c>
      <c r="S24" s="2" t="str">
        <f ca="1"/>
        <v/>
      </c>
      <c r="T24" s="2">
        <f ca="1"/>
        <v>2.0245496572612844E-2</v>
      </c>
      <c r="U24" s="2">
        <f ca="1"/>
        <v>2.0512820512820655E-2</v>
      </c>
      <c r="V24" s="2">
        <f ca="1"/>
        <v>3.3936651583710391E-2</v>
      </c>
      <c r="W24" s="2">
        <f ca="1"/>
        <v>7.2627302942021099E-3</v>
      </c>
      <c r="X24" s="2" t="str">
        <f ca="1"/>
        <v/>
      </c>
      <c r="Y24" s="2" t="str">
        <f ca="1"/>
        <v/>
      </c>
      <c r="Z24" s="2" t="str">
        <f ca="1"/>
        <v/>
      </c>
      <c r="AA24" s="2" t="str">
        <f ca="1"/>
        <v/>
      </c>
      <c r="AB24" s="2" t="str">
        <f ca="1"/>
        <v/>
      </c>
      <c r="AC24" s="2" t="str">
        <f ca="1"/>
        <v/>
      </c>
      <c r="AD24" s="2" t="str">
        <f ca="1"/>
        <v/>
      </c>
      <c r="AE24" s="2" t="str">
        <f ca="1"/>
        <v/>
      </c>
      <c r="AF24" s="2" t="str">
        <f ca="1"/>
        <v/>
      </c>
      <c r="AG24" s="2" t="str">
        <f ca="1"/>
        <v/>
      </c>
      <c r="AH24" s="2">
        <f ca="1"/>
        <v>-4.3899999999999995E-2</v>
      </c>
    </row>
    <row r="25" spans="1:34" hidden="1" outlineLevel="1">
      <c r="A25" s="5">
        <f ca="1"/>
        <v>29553</v>
      </c>
      <c r="B25" s="2">
        <f ca="1"/>
        <v>-2.0169369434809677E-2</v>
      </c>
      <c r="C25" s="2" t="str">
        <f ca="1"/>
        <v/>
      </c>
      <c r="D25" s="2" t="str">
        <f ca="1"/>
        <v/>
      </c>
      <c r="E25" s="2">
        <f ca="1"/>
        <v>-1.8653690186537226E-3</v>
      </c>
      <c r="F25" s="2">
        <f ca="1"/>
        <v>-1.2169264389821119E-2</v>
      </c>
      <c r="G25" s="2">
        <f ca="1"/>
        <v>-2.9574045464577339E-2</v>
      </c>
      <c r="H25" s="2" t="str">
        <f ca="1"/>
        <v/>
      </c>
      <c r="I25" s="2" t="str">
        <f ca="1"/>
        <v/>
      </c>
      <c r="J25" s="2" t="str">
        <f ca="1"/>
        <v/>
      </c>
      <c r="K25" s="2" t="str">
        <f ca="1"/>
        <v/>
      </c>
      <c r="L25" s="2" t="str">
        <f ca="1"/>
        <v/>
      </c>
      <c r="M25" s="2" t="str">
        <f ca="1"/>
        <v/>
      </c>
      <c r="N25" s="2" t="str">
        <f ca="1"/>
        <v/>
      </c>
      <c r="O25" s="2" t="str">
        <f ca="1"/>
        <v/>
      </c>
      <c r="P25" s="2" t="str">
        <f ca="1"/>
        <v/>
      </c>
      <c r="Q25" s="2">
        <f ca="1"/>
        <v>0.13312930374904364</v>
      </c>
      <c r="R25" s="2">
        <f ca="1"/>
        <v>0.19037656903765693</v>
      </c>
      <c r="S25" s="2" t="str">
        <f ca="1"/>
        <v/>
      </c>
      <c r="T25" s="2">
        <f ca="1"/>
        <v>0.10653487095002735</v>
      </c>
      <c r="U25" s="2">
        <f ca="1"/>
        <v>0.1071145199682623</v>
      </c>
      <c r="V25" s="2">
        <f ca="1"/>
        <v>0.13074398249452962</v>
      </c>
      <c r="W25" s="2">
        <f ca="1"/>
        <v>8.2898810493726591E-2</v>
      </c>
      <c r="X25" s="2" t="str">
        <f ca="1"/>
        <v/>
      </c>
      <c r="Y25" s="2" t="str">
        <f ca="1"/>
        <v/>
      </c>
      <c r="Z25" s="2" t="str">
        <f ca="1"/>
        <v/>
      </c>
      <c r="AA25" s="2" t="str">
        <f ca="1"/>
        <v/>
      </c>
      <c r="AB25" s="2" t="str">
        <f ca="1"/>
        <v/>
      </c>
      <c r="AC25" s="2" t="str">
        <f ca="1"/>
        <v/>
      </c>
      <c r="AD25" s="2" t="str">
        <f ca="1"/>
        <v/>
      </c>
      <c r="AE25" s="2" t="str">
        <f ca="1"/>
        <v/>
      </c>
      <c r="AF25" s="2" t="str">
        <f ca="1"/>
        <v/>
      </c>
      <c r="AG25" s="2" t="str">
        <f ca="1"/>
        <v/>
      </c>
      <c r="AH25" s="2">
        <f ca="1"/>
        <v>-2.7099999999999999E-2</v>
      </c>
    </row>
    <row r="26" spans="1:34" hidden="1" outlineLevel="1">
      <c r="A26" s="5">
        <f ca="1"/>
        <v>29586</v>
      </c>
      <c r="B26" s="2">
        <f ca="1"/>
        <v>5.0998029270583325E-3</v>
      </c>
      <c r="C26" s="2" t="str">
        <f ca="1"/>
        <v/>
      </c>
      <c r="D26" s="2" t="str">
        <f ca="1"/>
        <v/>
      </c>
      <c r="E26" s="2">
        <f ca="1"/>
        <v>2.7301535711383877E-2</v>
      </c>
      <c r="F26" s="2">
        <f ca="1"/>
        <v>-1.1441589024265453E-2</v>
      </c>
      <c r="G26" s="2">
        <f ca="1"/>
        <v>2.4464732447447846E-2</v>
      </c>
      <c r="H26" s="2" t="str">
        <f ca="1"/>
        <v/>
      </c>
      <c r="I26" s="2" t="str">
        <f ca="1"/>
        <v/>
      </c>
      <c r="J26" s="2" t="str">
        <f ca="1"/>
        <v/>
      </c>
      <c r="K26" s="2" t="str">
        <f ca="1"/>
        <v/>
      </c>
      <c r="L26" s="2" t="str">
        <f ca="1"/>
        <v/>
      </c>
      <c r="M26" s="2" t="str">
        <f ca="1"/>
        <v/>
      </c>
      <c r="N26" s="2" t="str">
        <f ca="1"/>
        <v/>
      </c>
      <c r="O26" s="2" t="str">
        <f ca="1"/>
        <v/>
      </c>
      <c r="P26" s="2" t="str">
        <f ca="1"/>
        <v/>
      </c>
      <c r="Q26" s="2">
        <f ca="1"/>
        <v>-4.1525995948683336E-2</v>
      </c>
      <c r="R26" s="2">
        <f ca="1"/>
        <v>-8.2601054481546685E-2</v>
      </c>
      <c r="S26" s="2" t="str">
        <f ca="1"/>
        <v/>
      </c>
      <c r="T26" s="2">
        <f ca="1"/>
        <v>-3.0173640762880795E-2</v>
      </c>
      <c r="U26" s="2">
        <f ca="1"/>
        <v>-3.6550406115623532E-2</v>
      </c>
      <c r="V26" s="2">
        <f ca="1"/>
        <v>-4.755399982924953E-2</v>
      </c>
      <c r="W26" s="2">
        <f ca="1"/>
        <v>-2.4978369634728884E-2</v>
      </c>
      <c r="X26" s="2" t="str">
        <f ca="1"/>
        <v/>
      </c>
      <c r="Y26" s="2" t="str">
        <f ca="1"/>
        <v/>
      </c>
      <c r="Z26" s="2" t="str">
        <f ca="1"/>
        <v/>
      </c>
      <c r="AA26" s="2" t="str">
        <f ca="1"/>
        <v/>
      </c>
      <c r="AB26" s="2" t="str">
        <f ca="1"/>
        <v/>
      </c>
      <c r="AC26" s="2" t="str">
        <f ca="1"/>
        <v/>
      </c>
      <c r="AD26" s="2" t="str">
        <f ca="1"/>
        <v/>
      </c>
      <c r="AE26" s="2" t="str">
        <f ca="1"/>
        <v/>
      </c>
      <c r="AF26" s="2" t="str">
        <f ca="1"/>
        <v/>
      </c>
      <c r="AG26" s="2" t="str">
        <f ca="1"/>
        <v/>
      </c>
      <c r="AH26" s="2">
        <f ca="1"/>
        <v>-4.0199999999999993E-2</v>
      </c>
    </row>
    <row r="27" spans="1:34" hidden="1" outlineLevel="1">
      <c r="A27" s="5">
        <f ca="1"/>
        <v>29616</v>
      </c>
      <c r="B27" s="2">
        <f ca="1"/>
        <v>-1.3648279443988677E-2</v>
      </c>
      <c r="C27" s="2" t="str">
        <f ca="1"/>
        <v/>
      </c>
      <c r="D27" s="2" t="str">
        <f ca="1"/>
        <v/>
      </c>
      <c r="E27" s="2">
        <f ca="1"/>
        <v>4.745709088031959E-4</v>
      </c>
      <c r="F27" s="2">
        <f ca="1"/>
        <v>-1.9437981557035942E-2</v>
      </c>
      <c r="G27" s="2">
        <f ca="1"/>
        <v>-7.2941773436509304E-3</v>
      </c>
      <c r="H27" s="2" t="str">
        <f ca="1"/>
        <v/>
      </c>
      <c r="I27" s="2" t="str">
        <f ca="1"/>
        <v/>
      </c>
      <c r="J27" s="2" t="str">
        <f ca="1"/>
        <v/>
      </c>
      <c r="K27" s="2" t="str">
        <f ca="1"/>
        <v/>
      </c>
      <c r="L27" s="2" t="str">
        <f ca="1"/>
        <v/>
      </c>
      <c r="M27" s="2" t="str">
        <f ca="1"/>
        <v/>
      </c>
      <c r="N27" s="2" t="str">
        <f ca="1"/>
        <v/>
      </c>
      <c r="O27" s="2" t="str">
        <f ca="1"/>
        <v/>
      </c>
      <c r="P27" s="2" t="str">
        <f ca="1"/>
        <v/>
      </c>
      <c r="Q27" s="2">
        <f ca="1"/>
        <v>-5.3892215568862312E-2</v>
      </c>
      <c r="R27" s="2">
        <f ca="1"/>
        <v>-8.6206896551724171E-2</v>
      </c>
      <c r="S27" s="2" t="str">
        <f ca="1"/>
        <v/>
      </c>
      <c r="T27" s="2">
        <f ca="1"/>
        <v>-4.1838538597524927E-2</v>
      </c>
      <c r="U27" s="2">
        <f ca="1"/>
        <v>-4.425985618646161E-2</v>
      </c>
      <c r="V27" s="2">
        <f ca="1"/>
        <v>-7.4250029879287763E-2</v>
      </c>
      <c r="W27" s="2">
        <f ca="1"/>
        <v>-1.4043751687950953E-2</v>
      </c>
      <c r="X27" s="2" t="str">
        <f ca="1"/>
        <v/>
      </c>
      <c r="Y27" s="2" t="str">
        <f ca="1"/>
        <v/>
      </c>
      <c r="Z27" s="2" t="str">
        <f ca="1"/>
        <v/>
      </c>
      <c r="AA27" s="2" t="str">
        <f ca="1"/>
        <v/>
      </c>
      <c r="AB27" s="2" t="str">
        <f ca="1"/>
        <v/>
      </c>
      <c r="AC27" s="2" t="str">
        <f ca="1"/>
        <v/>
      </c>
      <c r="AD27" s="2" t="str">
        <f ca="1"/>
        <v/>
      </c>
      <c r="AE27" s="2" t="str">
        <f ca="1"/>
        <v/>
      </c>
      <c r="AF27" s="2" t="str">
        <f ca="1"/>
        <v/>
      </c>
      <c r="AG27" s="2" t="str">
        <f ca="1"/>
        <v/>
      </c>
      <c r="AH27" s="2">
        <f ca="1"/>
        <v>-0.16309999999999999</v>
      </c>
    </row>
    <row r="28" spans="1:34" hidden="1" outlineLevel="1">
      <c r="A28" s="5">
        <f ca="1"/>
        <v>29644</v>
      </c>
      <c r="B28" s="2">
        <f ca="1"/>
        <v>-1.3232673205628194E-2</v>
      </c>
      <c r="C28" s="2" t="str">
        <f ca="1"/>
        <v/>
      </c>
      <c r="D28" s="2" t="str">
        <f ca="1"/>
        <v/>
      </c>
      <c r="E28" s="2">
        <f ca="1"/>
        <v>-1.8973831923472146E-2</v>
      </c>
      <c r="F28" s="2">
        <f ca="1"/>
        <v>-1.8457742972251039E-2</v>
      </c>
      <c r="G28" s="2">
        <f ca="1"/>
        <v>-8.3381253594018174E-3</v>
      </c>
      <c r="H28" s="2" t="str">
        <f ca="1"/>
        <v/>
      </c>
      <c r="I28" s="2" t="str">
        <f ca="1"/>
        <v/>
      </c>
      <c r="J28" s="2" t="str">
        <f ca="1"/>
        <v/>
      </c>
      <c r="K28" s="2" t="str">
        <f ca="1"/>
        <v/>
      </c>
      <c r="L28" s="2" t="str">
        <f ca="1"/>
        <v/>
      </c>
      <c r="M28" s="2" t="str">
        <f ca="1"/>
        <v/>
      </c>
      <c r="N28" s="2" t="str">
        <f ca="1"/>
        <v/>
      </c>
      <c r="O28" s="2" t="str">
        <f ca="1"/>
        <v/>
      </c>
      <c r="P28" s="2" t="str">
        <f ca="1"/>
        <v/>
      </c>
      <c r="Q28" s="2">
        <f ca="1"/>
        <v>2.978406552494418E-2</v>
      </c>
      <c r="R28" s="2">
        <f ca="1"/>
        <v>1.3626834381551446E-2</v>
      </c>
      <c r="S28" s="2" t="str">
        <f ca="1"/>
        <v/>
      </c>
      <c r="T28" s="2">
        <f ca="1"/>
        <v>1.7367811655731327E-2</v>
      </c>
      <c r="U28" s="2">
        <f ca="1"/>
        <v>1.738228045142046E-2</v>
      </c>
      <c r="V28" s="2">
        <f ca="1"/>
        <v>1.5105057612238968E-2</v>
      </c>
      <c r="W28" s="2">
        <f ca="1"/>
        <v>1.9213461162199165E-2</v>
      </c>
      <c r="X28" s="2" t="str">
        <f ca="1"/>
        <v/>
      </c>
      <c r="Y28" s="2" t="str">
        <f ca="1"/>
        <v/>
      </c>
      <c r="Z28" s="2" t="str">
        <f ca="1"/>
        <v/>
      </c>
      <c r="AA28" s="2" t="str">
        <f ca="1"/>
        <v/>
      </c>
      <c r="AB28" s="2" t="str">
        <f ca="1"/>
        <v/>
      </c>
      <c r="AC28" s="2" t="str">
        <f ca="1"/>
        <v/>
      </c>
      <c r="AD28" s="2" t="str">
        <f ca="1"/>
        <v/>
      </c>
      <c r="AE28" s="2" t="str">
        <f ca="1"/>
        <v/>
      </c>
      <c r="AF28" s="2" t="str">
        <f ca="1"/>
        <v/>
      </c>
      <c r="AG28" s="2" t="str">
        <f ca="1"/>
        <v/>
      </c>
      <c r="AH28" s="2">
        <f ca="1"/>
        <v>-3.0299999999999997E-2</v>
      </c>
    </row>
    <row r="29" spans="1:34" hidden="1" outlineLevel="1">
      <c r="A29" s="5">
        <f ca="1"/>
        <v>29676</v>
      </c>
      <c r="B29" s="2">
        <f ca="1"/>
        <v>3.6141344675261429E-2</v>
      </c>
      <c r="C29" s="2" t="str">
        <f ca="1"/>
        <v/>
      </c>
      <c r="D29" s="2" t="str">
        <f ca="1"/>
        <v/>
      </c>
      <c r="E29" s="2">
        <f ca="1"/>
        <v>2.3773067934563647E-2</v>
      </c>
      <c r="F29" s="2">
        <f ca="1"/>
        <v>2.1245277652873235E-2</v>
      </c>
      <c r="G29" s="2">
        <f ca="1"/>
        <v>5.135143842015398E-2</v>
      </c>
      <c r="H29" s="2" t="str">
        <f ca="1"/>
        <v/>
      </c>
      <c r="I29" s="2" t="str">
        <f ca="1"/>
        <v/>
      </c>
      <c r="J29" s="2" t="str">
        <f ca="1"/>
        <v/>
      </c>
      <c r="K29" s="2" t="str">
        <f ca="1"/>
        <v/>
      </c>
      <c r="L29" s="2" t="str">
        <f ca="1"/>
        <v/>
      </c>
      <c r="M29" s="2" t="str">
        <f ca="1"/>
        <v/>
      </c>
      <c r="N29" s="2" t="str">
        <f ca="1"/>
        <v/>
      </c>
      <c r="O29" s="2" t="str">
        <f ca="1"/>
        <v/>
      </c>
      <c r="P29" s="2" t="str">
        <f ca="1"/>
        <v/>
      </c>
      <c r="Q29" s="2">
        <f ca="1"/>
        <v>1.8799710773680388E-2</v>
      </c>
      <c r="R29" s="2">
        <f ca="1"/>
        <v>2.430196483971039E-2</v>
      </c>
      <c r="S29" s="2" t="str">
        <f ca="1"/>
        <v/>
      </c>
      <c r="T29" s="2">
        <f ca="1"/>
        <v>3.9993905690561306E-2</v>
      </c>
      <c r="U29" s="2">
        <f ca="1"/>
        <v>4.0481958434272561E-2</v>
      </c>
      <c r="V29" s="2">
        <f ca="1"/>
        <v>3.5833518807033241E-2</v>
      </c>
      <c r="W29" s="2">
        <f ca="1"/>
        <v>4.4843738001996439E-2</v>
      </c>
      <c r="X29" s="2" t="str">
        <f ca="1"/>
        <v/>
      </c>
      <c r="Y29" s="2" t="str">
        <f ca="1"/>
        <v/>
      </c>
      <c r="Z29" s="2" t="str">
        <f ca="1"/>
        <v/>
      </c>
      <c r="AA29" s="2" t="str">
        <f ca="1"/>
        <v/>
      </c>
      <c r="AB29" s="2" t="str">
        <f ca="1"/>
        <v/>
      </c>
      <c r="AC29" s="2" t="str">
        <f ca="1"/>
        <v/>
      </c>
      <c r="AD29" s="2" t="str">
        <f ca="1"/>
        <v/>
      </c>
      <c r="AE29" s="2" t="str">
        <f ca="1"/>
        <v/>
      </c>
      <c r="AF29" s="2" t="str">
        <f ca="1"/>
        <v/>
      </c>
      <c r="AG29" s="2" t="str">
        <f ca="1"/>
        <v/>
      </c>
      <c r="AH29" s="2">
        <f ca="1"/>
        <v>5.6100000000000004E-2</v>
      </c>
    </row>
    <row r="30" spans="1:34" hidden="1" outlineLevel="1">
      <c r="A30" s="5">
        <f ca="1"/>
        <v>29706</v>
      </c>
      <c r="B30" s="2">
        <f ca="1"/>
        <v>2.7155512620868093E-2</v>
      </c>
      <c r="C30" s="2" t="str">
        <f ca="1"/>
        <v/>
      </c>
      <c r="D30" s="2" t="str">
        <f ca="1"/>
        <v/>
      </c>
      <c r="E30" s="2">
        <f ca="1"/>
        <v>-3.565806045340051E-2</v>
      </c>
      <c r="F30" s="2">
        <f ca="1"/>
        <v>-4.4444109932373571E-3</v>
      </c>
      <c r="G30" s="2">
        <f ca="1"/>
        <v>5.8311628619580128E-2</v>
      </c>
      <c r="H30" s="2" t="str">
        <f ca="1"/>
        <v/>
      </c>
      <c r="I30" s="2" t="str">
        <f ca="1"/>
        <v/>
      </c>
      <c r="J30" s="2" t="str">
        <f ca="1"/>
        <v/>
      </c>
      <c r="K30" s="2" t="str">
        <f ca="1"/>
        <v/>
      </c>
      <c r="L30" s="2" t="str">
        <f ca="1"/>
        <v/>
      </c>
      <c r="M30" s="2" t="str">
        <f ca="1"/>
        <v/>
      </c>
      <c r="N30" s="2" t="str">
        <f ca="1"/>
        <v/>
      </c>
      <c r="O30" s="2" t="str">
        <f ca="1"/>
        <v/>
      </c>
      <c r="P30" s="2" t="str">
        <f ca="1"/>
        <v/>
      </c>
      <c r="Q30" s="2">
        <f ca="1"/>
        <v>-3.3002129169623834E-2</v>
      </c>
      <c r="R30" s="2">
        <f ca="1"/>
        <v>-4.7955577990913656E-2</v>
      </c>
      <c r="S30" s="2" t="str">
        <f ca="1"/>
        <v/>
      </c>
      <c r="T30" s="2">
        <f ca="1"/>
        <v>-1.9338235294117552E-2</v>
      </c>
      <c r="U30" s="2">
        <f ca="1"/>
        <v>-1.7339623797561501E-2</v>
      </c>
      <c r="V30" s="2">
        <f ca="1"/>
        <v>-3.2690772914236638E-2</v>
      </c>
      <c r="W30" s="2">
        <f ca="1"/>
        <v>-2.2782391416181972E-3</v>
      </c>
      <c r="X30" s="2" t="str">
        <f ca="1"/>
        <v/>
      </c>
      <c r="Y30" s="2" t="str">
        <f ca="1"/>
        <v/>
      </c>
      <c r="Z30" s="2" t="str">
        <f ca="1"/>
        <v/>
      </c>
      <c r="AA30" s="2" t="str">
        <f ca="1"/>
        <v/>
      </c>
      <c r="AB30" s="2" t="str">
        <f ca="1"/>
        <v/>
      </c>
      <c r="AC30" s="2" t="str">
        <f ca="1"/>
        <v/>
      </c>
      <c r="AD30" s="2" t="str">
        <f ca="1"/>
        <v/>
      </c>
      <c r="AE30" s="2" t="str">
        <f ca="1"/>
        <v/>
      </c>
      <c r="AF30" s="2" t="str">
        <f ca="1"/>
        <v/>
      </c>
      <c r="AG30" s="2" t="str">
        <f ca="1"/>
        <v/>
      </c>
      <c r="AH30" s="2">
        <f ca="1"/>
        <v>-4.8300000000000003E-2</v>
      </c>
    </row>
    <row r="31" spans="1:34" hidden="1" outlineLevel="1">
      <c r="A31" s="5">
        <f ca="1"/>
        <v>29735</v>
      </c>
      <c r="B31" s="2">
        <f ca="1"/>
        <v>-4.2087711907149446E-2</v>
      </c>
      <c r="C31" s="2" t="str">
        <f ca="1"/>
        <v/>
      </c>
      <c r="D31" s="2" t="str">
        <f ca="1"/>
        <v/>
      </c>
      <c r="E31" s="2">
        <f ca="1"/>
        <v>3.5915435474655061E-2</v>
      </c>
      <c r="F31" s="2">
        <f ca="1"/>
        <v>-4.4699220551435249E-2</v>
      </c>
      <c r="G31" s="2">
        <f ca="1"/>
        <v>-3.9492732642306988E-2</v>
      </c>
      <c r="H31" s="2" t="str">
        <f ca="1"/>
        <v/>
      </c>
      <c r="I31" s="2" t="str">
        <f ca="1"/>
        <v/>
      </c>
      <c r="J31" s="2" t="str">
        <f ca="1"/>
        <v/>
      </c>
      <c r="K31" s="2" t="str">
        <f ca="1"/>
        <v/>
      </c>
      <c r="L31" s="2" t="str">
        <f ca="1"/>
        <v/>
      </c>
      <c r="M31" s="2" t="str">
        <f ca="1"/>
        <v/>
      </c>
      <c r="N31" s="2" t="str">
        <f ca="1"/>
        <v/>
      </c>
      <c r="O31" s="2" t="str">
        <f ca="1"/>
        <v/>
      </c>
      <c r="P31" s="2" t="str">
        <f ca="1"/>
        <v/>
      </c>
      <c r="Q31" s="2">
        <f ca="1"/>
        <v>-8.8073394495412263E-3</v>
      </c>
      <c r="R31" s="2">
        <f ca="1"/>
        <v>-2.7041357370095335E-2</v>
      </c>
      <c r="S31" s="2" t="str">
        <f ca="1"/>
        <v/>
      </c>
      <c r="T31" s="2">
        <f ca="1"/>
        <v>2.5600481891425199E-3</v>
      </c>
      <c r="U31" s="2">
        <f ca="1"/>
        <v>8.7916199027309929E-3</v>
      </c>
      <c r="V31" s="2">
        <f ca="1"/>
        <v>1.0376669945736623E-2</v>
      </c>
      <c r="W31" s="2">
        <f ca="1"/>
        <v>7.4764289923394001E-3</v>
      </c>
      <c r="X31" s="2" t="str">
        <f ca="1"/>
        <v/>
      </c>
      <c r="Y31" s="2" t="str">
        <f ca="1"/>
        <v/>
      </c>
      <c r="Z31" s="2" t="str">
        <f ca="1"/>
        <v/>
      </c>
      <c r="AA31" s="2" t="str">
        <f ca="1"/>
        <v/>
      </c>
      <c r="AB31" s="2" t="str">
        <f ca="1"/>
        <v/>
      </c>
      <c r="AC31" s="2" t="str">
        <f ca="1"/>
        <v/>
      </c>
      <c r="AD31" s="2" t="str">
        <f ca="1"/>
        <v/>
      </c>
      <c r="AE31" s="2" t="str">
        <f ca="1"/>
        <v/>
      </c>
      <c r="AF31" s="2" t="str">
        <f ca="1"/>
        <v/>
      </c>
      <c r="AG31" s="2" t="str">
        <f ca="1"/>
        <v/>
      </c>
      <c r="AH31" s="2">
        <f ca="1"/>
        <v>-1.9599999999999999E-2</v>
      </c>
    </row>
    <row r="32" spans="1:34" hidden="1" outlineLevel="1">
      <c r="A32" s="5">
        <f ca="1"/>
        <v>29767</v>
      </c>
      <c r="B32" s="2">
        <f ca="1"/>
        <v>7.1328576030129497E-3</v>
      </c>
      <c r="C32" s="2" t="str">
        <f ca="1"/>
        <v/>
      </c>
      <c r="D32" s="2" t="str">
        <f ca="1"/>
        <v/>
      </c>
      <c r="E32" s="2">
        <f ca="1"/>
        <v>-2.2850839177369162E-3</v>
      </c>
      <c r="F32" s="2">
        <f ca="1"/>
        <v>-1.0446302444197416E-2</v>
      </c>
      <c r="G32" s="2">
        <f ca="1"/>
        <v>2.0528124434798341E-2</v>
      </c>
      <c r="H32" s="2" t="str">
        <f ca="1"/>
        <v/>
      </c>
      <c r="I32" s="2" t="str">
        <f ca="1"/>
        <v/>
      </c>
      <c r="J32" s="2" t="str">
        <f ca="1"/>
        <v/>
      </c>
      <c r="K32" s="2" t="str">
        <f ca="1"/>
        <v/>
      </c>
      <c r="L32" s="2" t="str">
        <f ca="1"/>
        <v/>
      </c>
      <c r="M32" s="2" t="str">
        <f ca="1"/>
        <v/>
      </c>
      <c r="N32" s="2" t="str">
        <f ca="1"/>
        <v/>
      </c>
      <c r="O32" s="2" t="str">
        <f ca="1"/>
        <v/>
      </c>
      <c r="P32" s="2" t="str">
        <f ca="1"/>
        <v/>
      </c>
      <c r="Q32" s="2">
        <f ca="1"/>
        <v>-3.7023324694563357E-4</v>
      </c>
      <c r="R32" s="2">
        <f ca="1"/>
        <v>-4.3596730245231641E-2</v>
      </c>
      <c r="S32" s="2" t="str">
        <f ca="1"/>
        <v/>
      </c>
      <c r="T32" s="2">
        <f ca="1"/>
        <v>-6.2598989365713854E-3</v>
      </c>
      <c r="U32" s="2">
        <f ca="1"/>
        <v>-9.0240435131959916E-3</v>
      </c>
      <c r="V32" s="2">
        <f ca="1"/>
        <v>-2.4246231155778845E-2</v>
      </c>
      <c r="W32" s="2">
        <f ca="1"/>
        <v>5.922134893072529E-3</v>
      </c>
      <c r="X32" s="2" t="str">
        <f ca="1"/>
        <v/>
      </c>
      <c r="Y32" s="2" t="str">
        <f ca="1"/>
        <v/>
      </c>
      <c r="Z32" s="2" t="str">
        <f ca="1"/>
        <v/>
      </c>
      <c r="AA32" s="2" t="str">
        <f ca="1"/>
        <v/>
      </c>
      <c r="AB32" s="2" t="str">
        <f ca="1"/>
        <v/>
      </c>
      <c r="AC32" s="2" t="str">
        <f ca="1"/>
        <v/>
      </c>
      <c r="AD32" s="2" t="str">
        <f ca="1"/>
        <v/>
      </c>
      <c r="AE32" s="2" t="str">
        <f ca="1"/>
        <v/>
      </c>
      <c r="AF32" s="2" t="str">
        <f ca="1"/>
        <v/>
      </c>
      <c r="AG32" s="2" t="str">
        <f ca="1"/>
        <v/>
      </c>
      <c r="AH32" s="2">
        <f ca="1"/>
        <v>-0.10929999999999999</v>
      </c>
    </row>
    <row r="33" spans="1:34" hidden="1" outlineLevel="1">
      <c r="A33" s="5">
        <f ca="1"/>
        <v>29798</v>
      </c>
      <c r="B33" s="2">
        <f ca="1"/>
        <v>-4.0409010532789995E-2</v>
      </c>
      <c r="C33" s="2" t="str">
        <f ca="1"/>
        <v/>
      </c>
      <c r="D33" s="2" t="str">
        <f ca="1"/>
        <v/>
      </c>
      <c r="E33" s="2">
        <f ca="1"/>
        <v>-1.9270257463275924E-2</v>
      </c>
      <c r="F33" s="2">
        <f ca="1"/>
        <v>-4.2862112675493121E-2</v>
      </c>
      <c r="G33" s="2">
        <f ca="1"/>
        <v>-3.8694432137055153E-2</v>
      </c>
      <c r="H33" s="2" t="str">
        <f ca="1"/>
        <v/>
      </c>
      <c r="I33" s="2" t="str">
        <f ca="1"/>
        <v/>
      </c>
      <c r="J33" s="2" t="str">
        <f ca="1"/>
        <v/>
      </c>
      <c r="K33" s="2" t="str">
        <f ca="1"/>
        <v/>
      </c>
      <c r="L33" s="2" t="str">
        <f ca="1"/>
        <v/>
      </c>
      <c r="M33" s="2" t="str">
        <f ca="1"/>
        <v/>
      </c>
      <c r="N33" s="2" t="str">
        <f ca="1"/>
        <v/>
      </c>
      <c r="O33" s="2" t="str">
        <f ca="1"/>
        <v/>
      </c>
      <c r="P33" s="2" t="str">
        <f ca="1"/>
        <v/>
      </c>
      <c r="Q33" s="2">
        <f ca="1"/>
        <v>2.8888888888888933E-2</v>
      </c>
      <c r="R33" s="2">
        <f ca="1"/>
        <v>-1.9373219373219366E-2</v>
      </c>
      <c r="S33" s="2" t="str">
        <f ca="1"/>
        <v/>
      </c>
      <c r="T33" s="2">
        <f ca="1"/>
        <v>2.0577699870434796E-3</v>
      </c>
      <c r="U33" s="2">
        <f ca="1"/>
        <v>3.7422815443132195E-4</v>
      </c>
      <c r="V33" s="2">
        <f ca="1"/>
        <v>9.0446761941547181E-3</v>
      </c>
      <c r="W33" s="2">
        <f ca="1"/>
        <v>-8.3584693098811801E-3</v>
      </c>
      <c r="X33" s="2" t="str">
        <f ca="1"/>
        <v/>
      </c>
      <c r="Y33" s="2" t="str">
        <f ca="1"/>
        <v/>
      </c>
      <c r="Z33" s="2" t="str">
        <f ca="1"/>
        <v/>
      </c>
      <c r="AA33" s="2" t="str">
        <f ca="1"/>
        <v/>
      </c>
      <c r="AB33" s="2" t="str">
        <f ca="1"/>
        <v/>
      </c>
      <c r="AC33" s="2" t="str">
        <f ca="1"/>
        <v/>
      </c>
      <c r="AD33" s="2" t="str">
        <f ca="1"/>
        <v/>
      </c>
      <c r="AE33" s="2" t="str">
        <f ca="1"/>
        <v/>
      </c>
      <c r="AF33" s="2" t="str">
        <f ca="1"/>
        <v/>
      </c>
      <c r="AG33" s="2" t="str">
        <f ca="1"/>
        <v/>
      </c>
      <c r="AH33" s="2">
        <f ca="1"/>
        <v>-5.8499999999999996E-2</v>
      </c>
    </row>
    <row r="34" spans="1:34" hidden="1" outlineLevel="1">
      <c r="A34" s="5">
        <f ca="1"/>
        <v>29829</v>
      </c>
      <c r="B34" s="2">
        <f ca="1"/>
        <v>2.3664012049930162E-2</v>
      </c>
      <c r="C34" s="2" t="str">
        <f ca="1"/>
        <v/>
      </c>
      <c r="D34" s="2" t="str">
        <f ca="1"/>
        <v/>
      </c>
      <c r="E34" s="2">
        <f ca="1"/>
        <v>-2.1098405540344697E-2</v>
      </c>
      <c r="F34" s="2">
        <f ca="1"/>
        <v>2.7101210718493311E-2</v>
      </c>
      <c r="G34" s="2">
        <f ca="1"/>
        <v>2.0125979413120332E-2</v>
      </c>
      <c r="H34" s="2" t="str">
        <f ca="1"/>
        <v/>
      </c>
      <c r="I34" s="2" t="str">
        <f ca="1"/>
        <v/>
      </c>
      <c r="J34" s="2" t="str">
        <f ca="1"/>
        <v/>
      </c>
      <c r="K34" s="2" t="str">
        <f ca="1"/>
        <v/>
      </c>
      <c r="L34" s="2" t="str">
        <f ca="1"/>
        <v/>
      </c>
      <c r="M34" s="2" t="str">
        <f ca="1"/>
        <v/>
      </c>
      <c r="N34" s="2" t="str">
        <f ca="1"/>
        <v/>
      </c>
      <c r="O34" s="2" t="str">
        <f ca="1"/>
        <v/>
      </c>
      <c r="P34" s="2" t="str">
        <f ca="1"/>
        <v/>
      </c>
      <c r="Q34" s="2">
        <f ca="1"/>
        <v>-6.3714902807775364E-2</v>
      </c>
      <c r="R34" s="2">
        <f ca="1"/>
        <v>-6.4497385241138835E-2</v>
      </c>
      <c r="S34" s="2" t="str">
        <f ca="1"/>
        <v/>
      </c>
      <c r="T34" s="2">
        <f ca="1"/>
        <v>-5.7745187901008202E-2</v>
      </c>
      <c r="U34" s="2">
        <f ca="1"/>
        <v>-5.4990959536130646E-2</v>
      </c>
      <c r="V34" s="2">
        <f ca="1"/>
        <v>-6.4435867172796563E-2</v>
      </c>
      <c r="W34" s="2">
        <f ca="1"/>
        <v>-4.4893172573020043E-2</v>
      </c>
      <c r="X34" s="2" t="str">
        <f ca="1"/>
        <v/>
      </c>
      <c r="Y34" s="2" t="str">
        <f ca="1"/>
        <v/>
      </c>
      <c r="Z34" s="2" t="str">
        <f ca="1"/>
        <v/>
      </c>
      <c r="AA34" s="2" t="str">
        <f ca="1"/>
        <v/>
      </c>
      <c r="AB34" s="2" t="str">
        <f ca="1"/>
        <v/>
      </c>
      <c r="AC34" s="2" t="str">
        <f ca="1"/>
        <v/>
      </c>
      <c r="AD34" s="2" t="str">
        <f ca="1"/>
        <v/>
      </c>
      <c r="AE34" s="2" t="str">
        <f ca="1"/>
        <v/>
      </c>
      <c r="AF34" s="2" t="str">
        <f ca="1"/>
        <v/>
      </c>
      <c r="AG34" s="2" t="str">
        <f ca="1"/>
        <v/>
      </c>
      <c r="AH34" s="2">
        <f ca="1"/>
        <v>7.2400000000000006E-2</v>
      </c>
    </row>
    <row r="35" spans="1:34" hidden="1" outlineLevel="1">
      <c r="A35" s="5">
        <f ca="1"/>
        <v>29859</v>
      </c>
      <c r="B35" s="2">
        <f ca="1"/>
        <v>-9.9324085292358935E-2</v>
      </c>
      <c r="C35" s="2" t="str">
        <f ca="1"/>
        <v/>
      </c>
      <c r="D35" s="2" t="str">
        <f ca="1"/>
        <v/>
      </c>
      <c r="E35" s="2">
        <f ca="1"/>
        <v>-6.5811122079630058E-4</v>
      </c>
      <c r="F35" s="2">
        <f ca="1"/>
        <v>-0.10667930314949411</v>
      </c>
      <c r="G35" s="2">
        <f ca="1"/>
        <v>-9.271084337349389E-2</v>
      </c>
      <c r="H35" s="2" t="str">
        <f ca="1"/>
        <v/>
      </c>
      <c r="I35" s="2" t="str">
        <f ca="1"/>
        <v/>
      </c>
      <c r="J35" s="2" t="str">
        <f ca="1"/>
        <v/>
      </c>
      <c r="K35" s="2" t="str">
        <f ca="1"/>
        <v/>
      </c>
      <c r="L35" s="2" t="str">
        <f ca="1"/>
        <v/>
      </c>
      <c r="M35" s="2" t="str">
        <f ca="1"/>
        <v/>
      </c>
      <c r="N35" s="2" t="str">
        <f ca="1"/>
        <v/>
      </c>
      <c r="O35" s="2" t="str">
        <f ca="1"/>
        <v/>
      </c>
      <c r="P35" s="2" t="str">
        <f ca="1"/>
        <v/>
      </c>
      <c r="Q35" s="2">
        <f ca="1"/>
        <v>-5.3440984236832016E-2</v>
      </c>
      <c r="R35" s="2">
        <f ca="1"/>
        <v>-6.2111801242236905E-3</v>
      </c>
      <c r="S35" s="2" t="str">
        <f ca="1"/>
        <v/>
      </c>
      <c r="T35" s="2">
        <f ca="1"/>
        <v>-4.9271113282840694E-2</v>
      </c>
      <c r="U35" s="2">
        <f ca="1"/>
        <v>-6.0764003430757933E-2</v>
      </c>
      <c r="V35" s="2">
        <f ca="1"/>
        <v>-7.0885471717412815E-2</v>
      </c>
      <c r="W35" s="2">
        <f ca="1"/>
        <v>-5.1070524134755567E-2</v>
      </c>
      <c r="X35" s="2" t="str">
        <f ca="1"/>
        <v/>
      </c>
      <c r="Y35" s="2" t="str">
        <f ca="1"/>
        <v/>
      </c>
      <c r="Z35" s="2" t="str">
        <f ca="1"/>
        <v/>
      </c>
      <c r="AA35" s="2" t="str">
        <f ca="1"/>
        <v/>
      </c>
      <c r="AB35" s="2" t="str">
        <f ca="1"/>
        <v/>
      </c>
      <c r="AC35" s="2" t="str">
        <f ca="1"/>
        <v/>
      </c>
      <c r="AD35" s="2" t="str">
        <f ca="1"/>
        <v/>
      </c>
      <c r="AE35" s="2" t="str">
        <f ca="1"/>
        <v/>
      </c>
      <c r="AF35" s="2" t="str">
        <f ca="1"/>
        <v/>
      </c>
      <c r="AG35" s="2" t="str">
        <f ca="1"/>
        <v/>
      </c>
      <c r="AH35" s="2">
        <f ca="1"/>
        <v>3.7000000000000002E-3</v>
      </c>
    </row>
    <row r="36" spans="1:34" hidden="1" outlineLevel="1">
      <c r="A36" s="5">
        <f ca="1"/>
        <v>29889</v>
      </c>
      <c r="B36" s="2">
        <f ca="1"/>
        <v>1.6628836989429678E-2</v>
      </c>
      <c r="C36" s="2" t="str">
        <f ca="1"/>
        <v/>
      </c>
      <c r="D36" s="2" t="str">
        <f ca="1"/>
        <v/>
      </c>
      <c r="E36" s="2">
        <f ca="1"/>
        <v>5.8528152782350996E-2</v>
      </c>
      <c r="F36" s="2">
        <f ca="1"/>
        <v>1.2608026518290412E-2</v>
      </c>
      <c r="G36" s="2">
        <f ca="1"/>
        <v>2.081535090631426E-2</v>
      </c>
      <c r="H36" s="2" t="str">
        <f ca="1"/>
        <v/>
      </c>
      <c r="I36" s="2" t="str">
        <f ca="1"/>
        <v/>
      </c>
      <c r="J36" s="2" t="str">
        <f ca="1"/>
        <v/>
      </c>
      <c r="K36" s="2" t="str">
        <f ca="1"/>
        <v/>
      </c>
      <c r="L36" s="2" t="str">
        <f ca="1"/>
        <v/>
      </c>
      <c r="M36" s="2" t="str">
        <f ca="1"/>
        <v/>
      </c>
      <c r="N36" s="2" t="str">
        <f ca="1"/>
        <v/>
      </c>
      <c r="O36" s="2" t="str">
        <f ca="1"/>
        <v/>
      </c>
      <c r="P36" s="2" t="str">
        <f ca="1"/>
        <v/>
      </c>
      <c r="Q36" s="2">
        <f ca="1"/>
        <v>6.7424857839155167E-2</v>
      </c>
      <c r="R36" s="2">
        <f ca="1"/>
        <v>8.0000000000000071E-2</v>
      </c>
      <c r="S36" s="2" t="str">
        <f ca="1"/>
        <v/>
      </c>
      <c r="T36" s="2">
        <f ca="1"/>
        <v>5.3967980719573171E-2</v>
      </c>
      <c r="U36" s="2">
        <f ca="1"/>
        <v>5.7740938465861182E-2</v>
      </c>
      <c r="V36" s="2">
        <f ca="1"/>
        <v>7.8899082568807288E-2</v>
      </c>
      <c r="W36" s="2">
        <f ca="1"/>
        <v>3.6310703166066861E-2</v>
      </c>
      <c r="X36" s="2" t="str">
        <f ca="1"/>
        <v/>
      </c>
      <c r="Y36" s="2" t="str">
        <f ca="1"/>
        <v/>
      </c>
      <c r="Z36" s="2" t="str">
        <f ca="1"/>
        <v/>
      </c>
      <c r="AA36" s="2" t="str">
        <f ca="1"/>
        <v/>
      </c>
      <c r="AB36" s="2" t="str">
        <f ca="1"/>
        <v/>
      </c>
      <c r="AC36" s="2" t="str">
        <f ca="1"/>
        <v/>
      </c>
      <c r="AD36" s="2" t="str">
        <f ca="1"/>
        <v/>
      </c>
      <c r="AE36" s="2" t="str">
        <f ca="1"/>
        <v/>
      </c>
      <c r="AF36" s="2" t="str">
        <f ca="1"/>
        <v/>
      </c>
      <c r="AG36" s="2" t="str">
        <f ca="1"/>
        <v/>
      </c>
      <c r="AH36" s="2">
        <f ca="1"/>
        <v>-3.4999999999999996E-3</v>
      </c>
    </row>
    <row r="37" spans="1:34" hidden="1" outlineLevel="1">
      <c r="A37" s="5">
        <f ca="1"/>
        <v>29920</v>
      </c>
      <c r="B37" s="2">
        <f ca="1"/>
        <v>0.1112976404982273</v>
      </c>
      <c r="C37" s="2" t="str">
        <f ca="1"/>
        <v/>
      </c>
      <c r="D37" s="2" t="str">
        <f ca="1"/>
        <v/>
      </c>
      <c r="E37" s="2">
        <f ca="1"/>
        <v>8.5232133136324814E-2</v>
      </c>
      <c r="F37" s="2">
        <f ca="1"/>
        <v>0.10119564190996937</v>
      </c>
      <c r="G37" s="2">
        <f ca="1"/>
        <v>0.11743471332401058</v>
      </c>
      <c r="H37" s="2" t="str">
        <f ca="1"/>
        <v/>
      </c>
      <c r="I37" s="2" t="str">
        <f ca="1"/>
        <v/>
      </c>
      <c r="J37" s="2" t="str">
        <f ca="1"/>
        <v/>
      </c>
      <c r="K37" s="2" t="str">
        <f ca="1"/>
        <v/>
      </c>
      <c r="L37" s="2" t="str">
        <f ca="1"/>
        <v/>
      </c>
      <c r="M37" s="2" t="str">
        <f ca="1"/>
        <v/>
      </c>
      <c r="N37" s="2" t="str">
        <f ca="1"/>
        <v/>
      </c>
      <c r="O37" s="2" t="str">
        <f ca="1"/>
        <v/>
      </c>
      <c r="P37" s="2" t="str">
        <f ca="1"/>
        <v/>
      </c>
      <c r="Q37" s="2">
        <f ca="1"/>
        <v>3.9573820395738167E-2</v>
      </c>
      <c r="R37" s="2">
        <f ca="1"/>
        <v>1.6782407407407357E-2</v>
      </c>
      <c r="S37" s="2" t="str">
        <f ca="1"/>
        <v/>
      </c>
      <c r="T37" s="2">
        <f ca="1"/>
        <v>4.1266715891377558E-2</v>
      </c>
      <c r="U37" s="2">
        <f ca="1"/>
        <v>4.7151016071191355E-2</v>
      </c>
      <c r="V37" s="2">
        <f ca="1"/>
        <v>4.234693877551024E-2</v>
      </c>
      <c r="W37" s="2">
        <f ca="1"/>
        <v>5.2245503140973065E-2</v>
      </c>
      <c r="X37" s="2" t="str">
        <f ca="1"/>
        <v/>
      </c>
      <c r="Y37" s="2" t="str">
        <f ca="1"/>
        <v/>
      </c>
      <c r="Z37" s="2" t="str">
        <f ca="1"/>
        <v/>
      </c>
      <c r="AA37" s="2" t="str">
        <f ca="1"/>
        <v/>
      </c>
      <c r="AB37" s="2" t="str">
        <f ca="1"/>
        <v/>
      </c>
      <c r="AC37" s="2" t="str">
        <f ca="1"/>
        <v/>
      </c>
      <c r="AD37" s="2" t="str">
        <f ca="1"/>
        <v/>
      </c>
      <c r="AE37" s="2" t="str">
        <f ca="1"/>
        <v/>
      </c>
      <c r="AF37" s="2" t="str">
        <f ca="1"/>
        <v/>
      </c>
      <c r="AG37" s="2" t="str">
        <f ca="1"/>
        <v/>
      </c>
      <c r="AH37" s="2">
        <f ca="1"/>
        <v>-5.3099999999999994E-2</v>
      </c>
    </row>
    <row r="38" spans="1:34" hidden="1" outlineLevel="1">
      <c r="A38" s="5">
        <f ca="1"/>
        <v>29951</v>
      </c>
      <c r="B38" s="2">
        <f ca="1"/>
        <v>-9.2268689870750719E-3</v>
      </c>
      <c r="C38" s="2" t="str">
        <f ca="1"/>
        <v/>
      </c>
      <c r="D38" s="2" t="str">
        <f ca="1"/>
        <v/>
      </c>
      <c r="E38" s="2">
        <f ca="1"/>
        <v>-3.7405947689000345E-2</v>
      </c>
      <c r="F38" s="2">
        <f ca="1"/>
        <v>-3.5280282242256956E-3</v>
      </c>
      <c r="G38" s="2">
        <f ca="1"/>
        <v>-1.4784633294528639E-2</v>
      </c>
      <c r="H38" s="2" t="str">
        <f ca="1"/>
        <v/>
      </c>
      <c r="I38" s="2" t="str">
        <f ca="1"/>
        <v/>
      </c>
      <c r="J38" s="2" t="str">
        <f ca="1"/>
        <v/>
      </c>
      <c r="K38" s="2" t="str">
        <f ca="1"/>
        <v/>
      </c>
      <c r="L38" s="2" t="str">
        <f ca="1"/>
        <v/>
      </c>
      <c r="M38" s="2" t="str">
        <f ca="1"/>
        <v/>
      </c>
      <c r="N38" s="2" t="str">
        <f ca="1"/>
        <v/>
      </c>
      <c r="O38" s="2" t="str">
        <f ca="1"/>
        <v/>
      </c>
      <c r="P38" s="2" t="str">
        <f ca="1"/>
        <v/>
      </c>
      <c r="Q38" s="2">
        <f ca="1"/>
        <v>-2.7818448023426118E-2</v>
      </c>
      <c r="R38" s="2">
        <f ca="1"/>
        <v>-3.3579965850882174E-2</v>
      </c>
      <c r="S38" s="2" t="str">
        <f ca="1"/>
        <v/>
      </c>
      <c r="T38" s="2">
        <f ca="1"/>
        <v>-2.5643055005935906E-2</v>
      </c>
      <c r="U38" s="2">
        <f ca="1"/>
        <v>-2.9109589041095913E-2</v>
      </c>
      <c r="V38" s="2">
        <f ca="1"/>
        <v>-3.1391744167074555E-2</v>
      </c>
      <c r="W38" s="2">
        <f ca="1"/>
        <v>-2.680955206170272E-2</v>
      </c>
      <c r="X38" s="2" t="str">
        <f ca="1"/>
        <v/>
      </c>
      <c r="Y38" s="2" t="str">
        <f ca="1"/>
        <v/>
      </c>
      <c r="Z38" s="2" t="str">
        <f ca="1"/>
        <v/>
      </c>
      <c r="AA38" s="2" t="str">
        <f ca="1"/>
        <v/>
      </c>
      <c r="AB38" s="2" t="str">
        <f ca="1"/>
        <v/>
      </c>
      <c r="AC38" s="2" t="str">
        <f ca="1"/>
        <v/>
      </c>
      <c r="AD38" s="2" t="str">
        <f ca="1"/>
        <v/>
      </c>
      <c r="AE38" s="2" t="str">
        <f ca="1"/>
        <v/>
      </c>
      <c r="AF38" s="2" t="str">
        <f ca="1"/>
        <v/>
      </c>
      <c r="AG38" s="2" t="str">
        <f ca="1"/>
        <v/>
      </c>
      <c r="AH38" s="2">
        <f ca="1"/>
        <v>-1.3500000000000002E-2</v>
      </c>
    </row>
    <row r="39" spans="1:34" hidden="1" outlineLevel="1">
      <c r="A39" s="5">
        <f ca="1"/>
        <v>29980</v>
      </c>
      <c r="B39" s="2">
        <f ca="1"/>
        <v>-6.5677110828182231E-3</v>
      </c>
      <c r="C39" s="2" t="str">
        <f ca="1"/>
        <v/>
      </c>
      <c r="D39" s="2" t="str">
        <f ca="1"/>
        <v/>
      </c>
      <c r="E39" s="2">
        <f ca="1"/>
        <v>6.3277004392168117E-3</v>
      </c>
      <c r="F39" s="2">
        <f ca="1"/>
        <v>-7.9866574875426671E-3</v>
      </c>
      <c r="G39" s="2">
        <f ca="1"/>
        <v>-1.007326007325998E-2</v>
      </c>
      <c r="H39" s="2" t="str">
        <f ca="1"/>
        <v/>
      </c>
      <c r="I39" s="2" t="str">
        <f ca="1"/>
        <v/>
      </c>
      <c r="J39" s="2" t="str">
        <f ca="1"/>
        <v/>
      </c>
      <c r="K39" s="2" t="str">
        <f ca="1"/>
        <v/>
      </c>
      <c r="L39" s="2" t="str">
        <f ca="1"/>
        <v/>
      </c>
      <c r="M39" s="2" t="str">
        <f ca="1"/>
        <v/>
      </c>
      <c r="N39" s="2" t="str">
        <f ca="1"/>
        <v/>
      </c>
      <c r="O39" s="2" t="str">
        <f ca="1"/>
        <v/>
      </c>
      <c r="P39" s="2" t="str">
        <f ca="1"/>
        <v/>
      </c>
      <c r="Q39" s="2">
        <f ca="1"/>
        <v>-1.3930722891566169E-2</v>
      </c>
      <c r="R39" s="2">
        <f ca="1"/>
        <v>2.0023557126030617E-2</v>
      </c>
      <c r="S39" s="2" t="str">
        <f ca="1"/>
        <v/>
      </c>
      <c r="T39" s="2">
        <f ca="1"/>
        <v>-1.3055895552835711E-2</v>
      </c>
      <c r="U39" s="2">
        <f ca="1"/>
        <v>-2.4887321183617497E-2</v>
      </c>
      <c r="V39" s="2">
        <f ca="1"/>
        <v>-2.5704948960684502E-2</v>
      </c>
      <c r="W39" s="2">
        <f ca="1"/>
        <v>-2.4156982282339506E-2</v>
      </c>
      <c r="X39" s="2" t="str">
        <f ca="1"/>
        <v/>
      </c>
      <c r="Y39" s="2" t="str">
        <f ca="1"/>
        <v/>
      </c>
      <c r="Z39" s="2" t="str">
        <f ca="1"/>
        <v/>
      </c>
      <c r="AA39" s="2" t="str">
        <f ca="1"/>
        <v/>
      </c>
      <c r="AB39" s="2" t="str">
        <f ca="1"/>
        <v/>
      </c>
      <c r="AC39" s="2" t="str">
        <f ca="1"/>
        <v/>
      </c>
      <c r="AD39" s="2" t="str">
        <f ca="1"/>
        <v/>
      </c>
      <c r="AE39" s="2" t="str">
        <f ca="1"/>
        <v/>
      </c>
      <c r="AF39" s="2" t="str">
        <f ca="1"/>
        <v/>
      </c>
      <c r="AG39" s="2" t="str">
        <f ca="1"/>
        <v/>
      </c>
      <c r="AH39" s="2">
        <f ca="1"/>
        <v>-4.5199999999999997E-2</v>
      </c>
    </row>
    <row r="40" spans="1:34" hidden="1" outlineLevel="1">
      <c r="A40" s="5">
        <f ca="1"/>
        <v>30008</v>
      </c>
      <c r="B40" s="2">
        <f ca="1"/>
        <v>-6.3595017426504002E-2</v>
      </c>
      <c r="C40" s="2" t="str">
        <f ca="1"/>
        <v/>
      </c>
      <c r="D40" s="2" t="str">
        <f ca="1"/>
        <v/>
      </c>
      <c r="E40" s="2">
        <f ca="1"/>
        <v>1.9529516200621291E-2</v>
      </c>
      <c r="F40" s="2">
        <f ca="1"/>
        <v>-7.5527814840364638E-2</v>
      </c>
      <c r="G40" s="2">
        <f ca="1"/>
        <v>-5.2191817612127392E-2</v>
      </c>
      <c r="H40" s="2" t="str">
        <f ca="1"/>
        <v/>
      </c>
      <c r="I40" s="2" t="str">
        <f ca="1"/>
        <v/>
      </c>
      <c r="J40" s="2" t="str">
        <f ca="1"/>
        <v/>
      </c>
      <c r="K40" s="2" t="str">
        <f ca="1"/>
        <v/>
      </c>
      <c r="L40" s="2" t="str">
        <f ca="1"/>
        <v/>
      </c>
      <c r="M40" s="2" t="str">
        <f ca="1"/>
        <v/>
      </c>
      <c r="N40" s="2" t="str">
        <f ca="1"/>
        <v/>
      </c>
      <c r="O40" s="2" t="str">
        <f ca="1"/>
        <v/>
      </c>
      <c r="P40" s="2" t="str">
        <f ca="1"/>
        <v/>
      </c>
      <c r="Q40" s="2">
        <f ca="1"/>
        <v>-6.2619320351279137E-2</v>
      </c>
      <c r="R40" s="2">
        <f ca="1"/>
        <v>-5.1963048498845192E-3</v>
      </c>
      <c r="S40" s="2" t="str">
        <f ca="1"/>
        <v/>
      </c>
      <c r="T40" s="2">
        <f ca="1"/>
        <v>-5.5897009966777399E-2</v>
      </c>
      <c r="U40" s="2">
        <f ca="1"/>
        <v>-5.0978027867095481E-2</v>
      </c>
      <c r="V40" s="2">
        <f ca="1"/>
        <v>-6.4211618257261502E-2</v>
      </c>
      <c r="W40" s="2">
        <f ca="1"/>
        <v>-3.7874350864862849E-2</v>
      </c>
      <c r="X40" s="2" t="str">
        <f ca="1"/>
        <v/>
      </c>
      <c r="Y40" s="2" t="str">
        <f ca="1"/>
        <v/>
      </c>
      <c r="Z40" s="2" t="str">
        <f ca="1"/>
        <v/>
      </c>
      <c r="AA40" s="2" t="str">
        <f ca="1"/>
        <v/>
      </c>
      <c r="AB40" s="2" t="str">
        <f ca="1"/>
        <v/>
      </c>
      <c r="AC40" s="2" t="str">
        <f ca="1"/>
        <v/>
      </c>
      <c r="AD40" s="2" t="str">
        <f ca="1"/>
        <v/>
      </c>
      <c r="AE40" s="2" t="str">
        <f ca="1"/>
        <v/>
      </c>
      <c r="AF40" s="2" t="str">
        <f ca="1"/>
        <v/>
      </c>
      <c r="AG40" s="2" t="str">
        <f ca="1"/>
        <v/>
      </c>
      <c r="AH40" s="2">
        <f ca="1"/>
        <v>-5.2300000000000006E-2</v>
      </c>
    </row>
    <row r="41" spans="1:34" hidden="1" outlineLevel="1">
      <c r="A41" s="5">
        <f ca="1"/>
        <v>30041</v>
      </c>
      <c r="B41" s="2">
        <f ca="1"/>
        <v>-4.8499515972894473E-2</v>
      </c>
      <c r="C41" s="2" t="str">
        <f ca="1"/>
        <v/>
      </c>
      <c r="D41" s="2" t="str">
        <f ca="1"/>
        <v/>
      </c>
      <c r="E41" s="2">
        <f ca="1"/>
        <v>1.2697721665941084E-2</v>
      </c>
      <c r="F41" s="2">
        <f ca="1"/>
        <v>-4.5094035272722453E-2</v>
      </c>
      <c r="G41" s="2">
        <f ca="1"/>
        <v>-5.5695485170959E-2</v>
      </c>
      <c r="H41" s="2" t="str">
        <f ca="1"/>
        <v/>
      </c>
      <c r="I41" s="2" t="str">
        <f ca="1"/>
        <v/>
      </c>
      <c r="J41" s="2" t="str">
        <f ca="1"/>
        <v/>
      </c>
      <c r="K41" s="2" t="str">
        <f ca="1"/>
        <v/>
      </c>
      <c r="L41" s="2" t="str">
        <f ca="1"/>
        <v/>
      </c>
      <c r="M41" s="2" t="str">
        <f ca="1"/>
        <v/>
      </c>
      <c r="N41" s="2" t="str">
        <f ca="1"/>
        <v/>
      </c>
      <c r="O41" s="2" t="str">
        <f ca="1"/>
        <v/>
      </c>
      <c r="P41" s="2" t="str">
        <f ca="1"/>
        <v/>
      </c>
      <c r="Q41" s="2">
        <f ca="1"/>
        <v>-1.0997963340122182E-2</v>
      </c>
      <c r="R41" s="2">
        <f ca="1"/>
        <v>7.5449796865930934E-3</v>
      </c>
      <c r="S41" s="2" t="str">
        <f ca="1"/>
        <v/>
      </c>
      <c r="T41" s="2">
        <f ca="1"/>
        <v>-5.2161612589515186E-3</v>
      </c>
      <c r="U41" s="2">
        <f ca="1"/>
        <v>-8.893908378626322E-3</v>
      </c>
      <c r="V41" s="2">
        <f ca="1"/>
        <v>-2.0914163248715926E-2</v>
      </c>
      <c r="W41" s="2">
        <f ca="1"/>
        <v>2.4755488819448684E-3</v>
      </c>
      <c r="X41" s="2" t="str">
        <f ca="1"/>
        <v/>
      </c>
      <c r="Y41" s="2" t="str">
        <f ca="1"/>
        <v/>
      </c>
      <c r="Z41" s="2" t="str">
        <f ca="1"/>
        <v/>
      </c>
      <c r="AA41" s="2" t="str">
        <f ca="1"/>
        <v/>
      </c>
      <c r="AB41" s="2" t="str">
        <f ca="1"/>
        <v/>
      </c>
      <c r="AC41" s="2" t="str">
        <f ca="1"/>
        <v/>
      </c>
      <c r="AD41" s="2" t="str">
        <f ca="1"/>
        <v/>
      </c>
      <c r="AE41" s="2" t="str">
        <f ca="1"/>
        <v/>
      </c>
      <c r="AF41" s="2" t="str">
        <f ca="1"/>
        <v/>
      </c>
      <c r="AG41" s="2" t="str">
        <f ca="1"/>
        <v/>
      </c>
      <c r="AH41" s="2">
        <f ca="1"/>
        <v>-0.10150000000000001</v>
      </c>
    </row>
    <row r="42" spans="1:34" hidden="1" outlineLevel="1">
      <c r="A42" s="5">
        <f ca="1"/>
        <v>30071</v>
      </c>
      <c r="B42" s="2">
        <f ca="1"/>
        <v>6.5032749674608134E-2</v>
      </c>
      <c r="C42" s="2" t="str">
        <f ca="1"/>
        <v/>
      </c>
      <c r="D42" s="2" t="str">
        <f ca="1"/>
        <v/>
      </c>
      <c r="E42" s="2">
        <f ca="1"/>
        <v>2.8014616321559053E-2</v>
      </c>
      <c r="F42" s="2">
        <f ca="1"/>
        <v>6.0250717103323734E-2</v>
      </c>
      <c r="G42" s="2">
        <f ca="1"/>
        <v>7.0316407161670966E-2</v>
      </c>
      <c r="H42" s="2" t="str">
        <f ca="1"/>
        <v/>
      </c>
      <c r="I42" s="2" t="str">
        <f ca="1"/>
        <v/>
      </c>
      <c r="J42" s="2" t="str">
        <f ca="1"/>
        <v/>
      </c>
      <c r="K42" s="2" t="str">
        <f ca="1"/>
        <v/>
      </c>
      <c r="L42" s="2" t="str">
        <f ca="1"/>
        <v/>
      </c>
      <c r="M42" s="2" t="str">
        <f ca="1"/>
        <v/>
      </c>
      <c r="N42" s="2" t="str">
        <f ca="1"/>
        <v/>
      </c>
      <c r="O42" s="2" t="str">
        <f ca="1"/>
        <v/>
      </c>
      <c r="P42" s="2" t="str">
        <f ca="1"/>
        <v/>
      </c>
      <c r="Q42" s="2">
        <f ca="1"/>
        <v>5.354200988467863E-2</v>
      </c>
      <c r="R42" s="2">
        <f ca="1"/>
        <v>4.2050691244239664E-2</v>
      </c>
      <c r="S42" s="2" t="str">
        <f ca="1"/>
        <v/>
      </c>
      <c r="T42" s="2">
        <f ca="1"/>
        <v>4.5194712397284738E-2</v>
      </c>
      <c r="U42" s="2">
        <f ca="1"/>
        <v>4.1093939178121291E-2</v>
      </c>
      <c r="V42" s="2">
        <f ca="1"/>
        <v>5.2119107823527203E-2</v>
      </c>
      <c r="W42" s="2">
        <f ca="1"/>
        <v>2.9835640838798409E-2</v>
      </c>
      <c r="X42" s="2" t="str">
        <f ca="1"/>
        <v/>
      </c>
      <c r="Y42" s="2" t="str">
        <f ca="1"/>
        <v/>
      </c>
      <c r="Z42" s="2" t="str">
        <f ca="1"/>
        <v/>
      </c>
      <c r="AA42" s="2" t="str">
        <f ca="1"/>
        <v/>
      </c>
      <c r="AB42" s="2" t="str">
        <f ca="1"/>
        <v/>
      </c>
      <c r="AC42" s="2" t="str">
        <f ca="1"/>
        <v/>
      </c>
      <c r="AD42" s="2" t="str">
        <f ca="1"/>
        <v/>
      </c>
      <c r="AE42" s="2" t="str">
        <f ca="1"/>
        <v/>
      </c>
      <c r="AF42" s="2" t="str">
        <f ca="1"/>
        <v/>
      </c>
      <c r="AG42" s="2" t="str">
        <f ca="1"/>
        <v/>
      </c>
      <c r="AH42" s="2">
        <f ca="1"/>
        <v>5.7999999999999996E-2</v>
      </c>
    </row>
    <row r="43" spans="1:34" hidden="1" outlineLevel="1">
      <c r="A43" s="5">
        <f ca="1"/>
        <v>30102</v>
      </c>
      <c r="B43" s="2">
        <f ca="1"/>
        <v>-1.2962072350433836E-2</v>
      </c>
      <c r="C43" s="2" t="str">
        <f ca="1"/>
        <v/>
      </c>
      <c r="D43" s="2" t="str">
        <f ca="1"/>
        <v/>
      </c>
      <c r="E43" s="2">
        <f ca="1"/>
        <v>1.6239197100641294E-2</v>
      </c>
      <c r="F43" s="2">
        <f ca="1"/>
        <v>-1.2128006072829782E-2</v>
      </c>
      <c r="G43" s="2">
        <f ca="1"/>
        <v>-1.6167216995825798E-2</v>
      </c>
      <c r="H43" s="2" t="str">
        <f ca="1"/>
        <v/>
      </c>
      <c r="I43" s="2" t="str">
        <f ca="1"/>
        <v/>
      </c>
      <c r="J43" s="2" t="str">
        <f ca="1"/>
        <v/>
      </c>
      <c r="K43" s="2" t="str">
        <f ca="1"/>
        <v/>
      </c>
      <c r="L43" s="2" t="str">
        <f ca="1"/>
        <v/>
      </c>
      <c r="M43" s="2" t="str">
        <f ca="1"/>
        <v/>
      </c>
      <c r="N43" s="2" t="str">
        <f ca="1"/>
        <v/>
      </c>
      <c r="O43" s="2" t="str">
        <f ca="1"/>
        <v/>
      </c>
      <c r="P43" s="2" t="str">
        <f ca="1"/>
        <v/>
      </c>
      <c r="Q43" s="2">
        <f ca="1"/>
        <v>-2.6192337763877964E-2</v>
      </c>
      <c r="R43" s="2">
        <f ca="1"/>
        <v>-4.8645660585959039E-2</v>
      </c>
      <c r="S43" s="2" t="str">
        <f ca="1"/>
        <v/>
      </c>
      <c r="T43" s="2">
        <f ca="1"/>
        <v>-3.9161800068704955E-2</v>
      </c>
      <c r="U43" s="2">
        <f ca="1"/>
        <v>-2.7021480366671347E-2</v>
      </c>
      <c r="V43" s="2">
        <f ca="1"/>
        <v>-3.6408637635411453E-2</v>
      </c>
      <c r="W43" s="2">
        <f ca="1"/>
        <v>-1.6942489877746804E-2</v>
      </c>
      <c r="X43" s="2" t="str">
        <f ca="1"/>
        <v/>
      </c>
      <c r="Y43" s="2" t="str">
        <f ca="1"/>
        <v/>
      </c>
      <c r="Z43" s="2" t="str">
        <f ca="1"/>
        <v/>
      </c>
      <c r="AA43" s="2" t="str">
        <f ca="1"/>
        <v/>
      </c>
      <c r="AB43" s="2" t="str">
        <f ca="1"/>
        <v/>
      </c>
      <c r="AC43" s="2" t="str">
        <f ca="1"/>
        <v/>
      </c>
      <c r="AD43" s="2" t="str">
        <f ca="1"/>
        <v/>
      </c>
      <c r="AE43" s="2" t="str">
        <f ca="1"/>
        <v/>
      </c>
      <c r="AF43" s="2" t="str">
        <f ca="1"/>
        <v/>
      </c>
      <c r="AG43" s="2" t="str">
        <f ca="1"/>
        <v/>
      </c>
      <c r="AH43" s="2">
        <f ca="1"/>
        <v>-7.0099999999999996E-2</v>
      </c>
    </row>
    <row r="44" spans="1:34" hidden="1" outlineLevel="1">
      <c r="A44" s="5">
        <f ca="1"/>
        <v>30132</v>
      </c>
      <c r="B44" s="2">
        <f ca="1"/>
        <v>-7.4682205157470677E-2</v>
      </c>
      <c r="C44" s="2" t="str">
        <f ca="1"/>
        <v/>
      </c>
      <c r="D44" s="2" t="str">
        <f ca="1"/>
        <v/>
      </c>
      <c r="E44" s="2">
        <f ca="1"/>
        <v>-1.5705370002057416E-2</v>
      </c>
      <c r="F44" s="2">
        <f ca="1"/>
        <v>-6.9216163692005242E-2</v>
      </c>
      <c r="G44" s="2">
        <f ca="1"/>
        <v>-7.842826837222551E-2</v>
      </c>
      <c r="H44" s="2" t="str">
        <f ca="1"/>
        <v/>
      </c>
      <c r="I44" s="2" t="str">
        <f ca="1"/>
        <v/>
      </c>
      <c r="J44" s="2" t="str">
        <f ca="1"/>
        <v/>
      </c>
      <c r="K44" s="2" t="str">
        <f ca="1"/>
        <v/>
      </c>
      <c r="L44" s="2" t="str">
        <f ca="1"/>
        <v/>
      </c>
      <c r="M44" s="2" t="str">
        <f ca="1"/>
        <v/>
      </c>
      <c r="N44" s="2" t="str">
        <f ca="1"/>
        <v/>
      </c>
      <c r="O44" s="2" t="str">
        <f ca="1"/>
        <v/>
      </c>
      <c r="P44" s="2" t="str">
        <f ca="1"/>
        <v/>
      </c>
      <c r="Q44" s="2">
        <f ca="1"/>
        <v>-2.2480931352870281E-2</v>
      </c>
      <c r="R44" s="2">
        <f ca="1"/>
        <v>1.5107495642068449E-2</v>
      </c>
      <c r="S44" s="2" t="str">
        <f ca="1"/>
        <v/>
      </c>
      <c r="T44" s="2">
        <f ca="1"/>
        <v>-9.7942312876269644E-3</v>
      </c>
      <c r="U44" s="2">
        <f ca="1"/>
        <v>-2.2920621528510095E-2</v>
      </c>
      <c r="V44" s="2">
        <f ca="1"/>
        <v>-2.1553810073335095E-2</v>
      </c>
      <c r="W44" s="2">
        <f ca="1"/>
        <v>-2.431222008957136E-2</v>
      </c>
      <c r="X44" s="2" t="str">
        <f ca="1"/>
        <v/>
      </c>
      <c r="Y44" s="2" t="str">
        <f ca="1"/>
        <v/>
      </c>
      <c r="Z44" s="2" t="str">
        <f ca="1"/>
        <v/>
      </c>
      <c r="AA44" s="2" t="str">
        <f ca="1"/>
        <v/>
      </c>
      <c r="AB44" s="2" t="str">
        <f ca="1"/>
        <v/>
      </c>
      <c r="AC44" s="2" t="str">
        <f ca="1"/>
        <v/>
      </c>
      <c r="AD44" s="2" t="str">
        <f ca="1"/>
        <v/>
      </c>
      <c r="AE44" s="2" t="str">
        <f ca="1"/>
        <v/>
      </c>
      <c r="AF44" s="2" t="str">
        <f ca="1"/>
        <v/>
      </c>
      <c r="AG44" s="2" t="str">
        <f ca="1"/>
        <v/>
      </c>
      <c r="AH44" s="2">
        <f ca="1"/>
        <v>-1.37E-2</v>
      </c>
    </row>
    <row r="45" spans="1:34" hidden="1" outlineLevel="1">
      <c r="A45" s="5">
        <f ca="1"/>
        <v>30162</v>
      </c>
      <c r="B45" s="2">
        <f ca="1"/>
        <v>-1.1541305249490518E-2</v>
      </c>
      <c r="C45" s="2" t="str">
        <f ca="1"/>
        <v/>
      </c>
      <c r="D45" s="2" t="str">
        <f ca="1"/>
        <v/>
      </c>
      <c r="E45" s="2">
        <f ca="1"/>
        <v>4.299052396878475E-2</v>
      </c>
      <c r="F45" s="2">
        <f ca="1"/>
        <v>-1.9199201313317044E-5</v>
      </c>
      <c r="G45" s="2">
        <f ca="1"/>
        <v>-2.3225451796880337E-2</v>
      </c>
      <c r="H45" s="2" t="str">
        <f ca="1"/>
        <v/>
      </c>
      <c r="I45" s="2" t="str">
        <f ca="1"/>
        <v/>
      </c>
      <c r="J45" s="2" t="str">
        <f ca="1"/>
        <v/>
      </c>
      <c r="K45" s="2" t="str">
        <f ca="1"/>
        <v/>
      </c>
      <c r="L45" s="2" t="str">
        <f ca="1"/>
        <v/>
      </c>
      <c r="M45" s="2" t="str">
        <f ca="1"/>
        <v/>
      </c>
      <c r="N45" s="2" t="str">
        <f ca="1"/>
        <v/>
      </c>
      <c r="O45" s="2" t="str">
        <f ca="1"/>
        <v/>
      </c>
      <c r="P45" s="2" t="str">
        <f ca="1"/>
        <v/>
      </c>
      <c r="Q45" s="2">
        <f ca="1"/>
        <v>-1.8891170431211534E-2</v>
      </c>
      <c r="R45" s="2">
        <f ca="1"/>
        <v>4.5792787635948401E-3</v>
      </c>
      <c r="S45" s="2" t="str">
        <f ca="1"/>
        <v/>
      </c>
      <c r="T45" s="2">
        <f ca="1"/>
        <v>-1.7790347596022178E-2</v>
      </c>
      <c r="U45" s="2">
        <f ca="1"/>
        <v>-2.0867813197092938E-2</v>
      </c>
      <c r="V45" s="2">
        <f ca="1"/>
        <v>-1.2745396438898087E-2</v>
      </c>
      <c r="W45" s="2">
        <f ca="1"/>
        <v>-2.8934426229508179E-2</v>
      </c>
      <c r="X45" s="2" t="str">
        <f ca="1"/>
        <v/>
      </c>
      <c r="Y45" s="2" t="str">
        <f ca="1"/>
        <v/>
      </c>
      <c r="Z45" s="2" t="str">
        <f ca="1"/>
        <v/>
      </c>
      <c r="AA45" s="2" t="str">
        <f ca="1"/>
        <v/>
      </c>
      <c r="AB45" s="2" t="str">
        <f ca="1"/>
        <v/>
      </c>
      <c r="AC45" s="2" t="str">
        <f ca="1"/>
        <v/>
      </c>
      <c r="AD45" s="2" t="str">
        <f ca="1"/>
        <v/>
      </c>
      <c r="AE45" s="2" t="str">
        <f ca="1"/>
        <v/>
      </c>
      <c r="AF45" s="2" t="str">
        <f ca="1"/>
        <v/>
      </c>
      <c r="AG45" s="2" t="str">
        <f ca="1"/>
        <v/>
      </c>
      <c r="AH45" s="2">
        <f ca="1"/>
        <v>7.8399999999999997E-2</v>
      </c>
    </row>
    <row r="46" spans="1:34" hidden="1" outlineLevel="1">
      <c r="A46" s="5">
        <f ca="1"/>
        <v>30194</v>
      </c>
      <c r="B46" s="2">
        <f ca="1"/>
        <v>6.4583219309295573E-4</v>
      </c>
      <c r="C46" s="2" t="str">
        <f ca="1"/>
        <v/>
      </c>
      <c r="D46" s="2" t="str">
        <f ca="1"/>
        <v/>
      </c>
      <c r="E46" s="2">
        <f ca="1"/>
        <v>5.4579464226067319E-2</v>
      </c>
      <c r="F46" s="2">
        <f ca="1"/>
        <v>-1.1087751634363129E-3</v>
      </c>
      <c r="G46" s="2">
        <f ca="1"/>
        <v>2.3918396060499713E-3</v>
      </c>
      <c r="H46" s="2" t="str">
        <f ca="1"/>
        <v/>
      </c>
      <c r="I46" s="2" t="str">
        <f ca="1"/>
        <v/>
      </c>
      <c r="J46" s="2" t="str">
        <f ca="1"/>
        <v/>
      </c>
      <c r="K46" s="2" t="str">
        <f ca="1"/>
        <v/>
      </c>
      <c r="L46" s="2" t="str">
        <f ca="1"/>
        <v/>
      </c>
      <c r="M46" s="2" t="str">
        <f ca="1"/>
        <v/>
      </c>
      <c r="N46" s="2" t="str">
        <f ca="1"/>
        <v/>
      </c>
      <c r="O46" s="2" t="str">
        <f ca="1"/>
        <v/>
      </c>
      <c r="P46" s="2" t="str">
        <f ca="1"/>
        <v/>
      </c>
      <c r="Q46" s="2">
        <f ca="1"/>
        <v>0.12097111762243619</v>
      </c>
      <c r="R46" s="2">
        <f ca="1"/>
        <v>0.11452991452991441</v>
      </c>
      <c r="S46" s="2" t="str">
        <f ca="1"/>
        <v/>
      </c>
      <c r="T46" s="2">
        <f ca="1"/>
        <v>0.12139322065552341</v>
      </c>
      <c r="U46" s="2">
        <f ca="1"/>
        <v>0.12398030425516282</v>
      </c>
      <c r="V46" s="2">
        <f ca="1"/>
        <v>0.11102547304327706</v>
      </c>
      <c r="W46" s="2">
        <f ca="1"/>
        <v>0.13670127458428297</v>
      </c>
      <c r="X46" s="2" t="str">
        <f ca="1"/>
        <v/>
      </c>
      <c r="Y46" s="2" t="str">
        <f ca="1"/>
        <v/>
      </c>
      <c r="Z46" s="2" t="str">
        <f ca="1"/>
        <v/>
      </c>
      <c r="AA46" s="2" t="str">
        <f ca="1"/>
        <v/>
      </c>
      <c r="AB46" s="2" t="str">
        <f ca="1"/>
        <v/>
      </c>
      <c r="AC46" s="2" t="str">
        <f ca="1"/>
        <v/>
      </c>
      <c r="AD46" s="2" t="str">
        <f ca="1"/>
        <v/>
      </c>
      <c r="AE46" s="2" t="str">
        <f ca="1"/>
        <v/>
      </c>
      <c r="AF46" s="2" t="str">
        <f ca="1"/>
        <v/>
      </c>
      <c r="AG46" s="2" t="str">
        <f ca="1"/>
        <v/>
      </c>
      <c r="AH46" s="2">
        <f ca="1"/>
        <v>0.2016</v>
      </c>
    </row>
    <row r="47" spans="1:34" hidden="1" outlineLevel="1">
      <c r="A47" s="5">
        <f ca="1"/>
        <v>30224</v>
      </c>
      <c r="B47" s="2">
        <f ca="1"/>
        <v>-6.3082970515093177E-3</v>
      </c>
      <c r="C47" s="2" t="str">
        <f ca="1"/>
        <v/>
      </c>
      <c r="D47" s="2" t="str">
        <f ca="1"/>
        <v/>
      </c>
      <c r="E47" s="2">
        <f ca="1"/>
        <v>4.0478905359178932E-2</v>
      </c>
      <c r="F47" s="2">
        <f ca="1"/>
        <v>3.8489815335379768E-3</v>
      </c>
      <c r="G47" s="2">
        <f ca="1"/>
        <v>-1.5439679977542402E-2</v>
      </c>
      <c r="H47" s="2" t="str">
        <f ca="1"/>
        <v/>
      </c>
      <c r="I47" s="2" t="str">
        <f ca="1"/>
        <v/>
      </c>
      <c r="J47" s="2" t="str">
        <f ca="1"/>
        <v/>
      </c>
      <c r="K47" s="2" t="str">
        <f ca="1"/>
        <v/>
      </c>
      <c r="L47" s="2" t="str">
        <f ca="1"/>
        <v/>
      </c>
      <c r="M47" s="2" t="str">
        <f ca="1"/>
        <v/>
      </c>
      <c r="N47" s="2" t="str">
        <f ca="1"/>
        <v/>
      </c>
      <c r="O47" s="2" t="str">
        <f ca="1"/>
        <v/>
      </c>
      <c r="P47" s="2" t="str">
        <f ca="1"/>
        <v/>
      </c>
      <c r="Q47" s="2">
        <f ca="1"/>
        <v>2.0911127707244168E-2</v>
      </c>
      <c r="R47" s="2">
        <f ca="1"/>
        <v>1.4826175869120793E-2</v>
      </c>
      <c r="S47" s="2" t="str">
        <f ca="1"/>
        <v/>
      </c>
      <c r="T47" s="2">
        <f ca="1"/>
        <v>1.2467575935068033E-2</v>
      </c>
      <c r="U47" s="2">
        <f ca="1"/>
        <v>1.4777036746436451E-2</v>
      </c>
      <c r="V47" s="2">
        <f ca="1"/>
        <v>2.2441900797780162E-2</v>
      </c>
      <c r="W47" s="2">
        <f ca="1"/>
        <v>7.0545427542420555E-3</v>
      </c>
      <c r="X47" s="2" t="str">
        <f ca="1"/>
        <v/>
      </c>
      <c r="Y47" s="2" t="str">
        <f ca="1"/>
        <v/>
      </c>
      <c r="Z47" s="2" t="str">
        <f ca="1"/>
        <v/>
      </c>
      <c r="AA47" s="2" t="str">
        <f ca="1"/>
        <v/>
      </c>
      <c r="AB47" s="2" t="str">
        <f ca="1"/>
        <v/>
      </c>
      <c r="AC47" s="2" t="str">
        <f ca="1"/>
        <v/>
      </c>
      <c r="AD47" s="2" t="str">
        <f ca="1"/>
        <v/>
      </c>
      <c r="AE47" s="2" t="str">
        <f ca="1"/>
        <v/>
      </c>
      <c r="AF47" s="2" t="str">
        <f ca="1"/>
        <v/>
      </c>
      <c r="AG47" s="2" t="str">
        <f ca="1"/>
        <v/>
      </c>
      <c r="AH47" s="2">
        <f ca="1"/>
        <v>-3.2300000000000002E-2</v>
      </c>
    </row>
    <row r="48" spans="1:34" hidden="1" outlineLevel="1">
      <c r="A48" s="5">
        <f ca="1"/>
        <v>30253</v>
      </c>
      <c r="B48" s="2">
        <f ca="1"/>
        <v>4.2713715359323163E-3</v>
      </c>
      <c r="C48" s="2" t="str">
        <f ca="1"/>
        <v/>
      </c>
      <c r="D48" s="2" t="str">
        <f ca="1"/>
        <v/>
      </c>
      <c r="E48" s="2">
        <f ca="1"/>
        <v>5.2968036529680296E-2</v>
      </c>
      <c r="F48" s="2">
        <f ca="1"/>
        <v>-5.1362322170523823E-3</v>
      </c>
      <c r="G48" s="2">
        <f ca="1"/>
        <v>1.3186969848171604E-2</v>
      </c>
      <c r="H48" s="2" t="str">
        <f ca="1"/>
        <v/>
      </c>
      <c r="I48" s="2" t="str">
        <f ca="1"/>
        <v/>
      </c>
      <c r="J48" s="2" t="str">
        <f ca="1"/>
        <v/>
      </c>
      <c r="K48" s="2" t="str">
        <f ca="1"/>
        <v/>
      </c>
      <c r="L48" s="2" t="str">
        <f ca="1"/>
        <v/>
      </c>
      <c r="M48" s="2" t="str">
        <f ca="1"/>
        <v/>
      </c>
      <c r="N48" s="2" t="str">
        <f ca="1"/>
        <v/>
      </c>
      <c r="O48" s="2" t="str">
        <f ca="1"/>
        <v/>
      </c>
      <c r="P48" s="2" t="str">
        <f ca="1"/>
        <v/>
      </c>
      <c r="Q48" s="2">
        <f ca="1"/>
        <v>0.10753474762253115</v>
      </c>
      <c r="R48" s="2">
        <f ca="1"/>
        <v>0.10327455919395451</v>
      </c>
      <c r="S48" s="2" t="str">
        <f ca="1"/>
        <v/>
      </c>
      <c r="T48" s="2">
        <f ca="1"/>
        <v>0.1150971599402095</v>
      </c>
      <c r="U48" s="2">
        <f ca="1"/>
        <v>0.11597938144329897</v>
      </c>
      <c r="V48" s="2">
        <f ca="1"/>
        <v>0.12131492349967761</v>
      </c>
      <c r="W48" s="2">
        <f ca="1"/>
        <v>0.11090218633631971</v>
      </c>
      <c r="X48" s="2" t="str">
        <f ca="1"/>
        <v/>
      </c>
      <c r="Y48" s="2" t="str">
        <f ca="1"/>
        <v/>
      </c>
      <c r="Z48" s="2" t="str">
        <f ca="1"/>
        <v/>
      </c>
      <c r="AA48" s="2" t="str">
        <f ca="1"/>
        <v/>
      </c>
      <c r="AB48" s="2" t="str">
        <f ca="1"/>
        <v/>
      </c>
      <c r="AC48" s="2" t="str">
        <f ca="1"/>
        <v/>
      </c>
      <c r="AD48" s="2" t="str">
        <f ca="1"/>
        <v/>
      </c>
      <c r="AE48" s="2" t="str">
        <f ca="1"/>
        <v/>
      </c>
      <c r="AF48" s="2" t="str">
        <f ca="1"/>
        <v/>
      </c>
      <c r="AG48" s="2" t="str">
        <f ca="1"/>
        <v/>
      </c>
      <c r="AH48" s="2">
        <f ca="1"/>
        <v>6.1500000000000006E-2</v>
      </c>
    </row>
    <row r="49" spans="1:34" hidden="1" outlineLevel="1">
      <c r="A49" s="5">
        <f ca="1"/>
        <v>30285</v>
      </c>
      <c r="B49" s="2">
        <f ca="1"/>
        <v>8.0324909747292436E-2</v>
      </c>
      <c r="C49" s="2" t="str">
        <f ca="1"/>
        <v/>
      </c>
      <c r="D49" s="2" t="str">
        <f ca="1"/>
        <v/>
      </c>
      <c r="E49" s="2">
        <f ca="1"/>
        <v>9.7716102919918925E-3</v>
      </c>
      <c r="F49" s="2">
        <f ca="1"/>
        <v>7.3264849520051981E-2</v>
      </c>
      <c r="G49" s="2">
        <f ca="1"/>
        <v>9.1494301392992999E-2</v>
      </c>
      <c r="H49" s="2" t="str">
        <f ca="1"/>
        <v/>
      </c>
      <c r="I49" s="2" t="str">
        <f ca="1"/>
        <v/>
      </c>
      <c r="J49" s="2" t="str">
        <f ca="1"/>
        <v/>
      </c>
      <c r="K49" s="2" t="str">
        <f ca="1"/>
        <v/>
      </c>
      <c r="L49" s="2" t="str">
        <f ca="1"/>
        <v/>
      </c>
      <c r="M49" s="2" t="str">
        <f ca="1"/>
        <v/>
      </c>
      <c r="N49" s="2" t="str">
        <f ca="1"/>
        <v/>
      </c>
      <c r="O49" s="2" t="str">
        <f ca="1"/>
        <v/>
      </c>
      <c r="P49" s="2" t="str">
        <f ca="1"/>
        <v/>
      </c>
      <c r="Q49" s="2">
        <f ca="1"/>
        <v>3.5667107001320947E-2</v>
      </c>
      <c r="R49" s="2">
        <f ca="1"/>
        <v>5.2511415525114256E-2</v>
      </c>
      <c r="S49" s="2" t="str">
        <f ca="1"/>
        <v/>
      </c>
      <c r="T49" s="2">
        <f ca="1"/>
        <v>4.0385909804801286E-2</v>
      </c>
      <c r="U49" s="2">
        <f ca="1"/>
        <v>4.7517321016166396E-2</v>
      </c>
      <c r="V49" s="2">
        <f ca="1"/>
        <v>6.8919613953347836E-2</v>
      </c>
      <c r="W49" s="2">
        <f ca="1"/>
        <v>2.6650293717433899E-2</v>
      </c>
      <c r="X49" s="2" t="str">
        <f ca="1"/>
        <v/>
      </c>
      <c r="Y49" s="2" t="str">
        <f ca="1"/>
        <v/>
      </c>
      <c r="Z49" s="2" t="str">
        <f ca="1"/>
        <v/>
      </c>
      <c r="AA49" s="2" t="str">
        <f ca="1"/>
        <v/>
      </c>
      <c r="AB49" s="2" t="str">
        <f ca="1"/>
        <v/>
      </c>
      <c r="AC49" s="2" t="str">
        <f ca="1"/>
        <v/>
      </c>
      <c r="AD49" s="2" t="str">
        <f ca="1"/>
        <v/>
      </c>
      <c r="AE49" s="2" t="str">
        <f ca="1"/>
        <v/>
      </c>
      <c r="AF49" s="2" t="str">
        <f ca="1"/>
        <v/>
      </c>
      <c r="AG49" s="2" t="str">
        <f ca="1"/>
        <v/>
      </c>
      <c r="AH49" s="2">
        <f ca="1"/>
        <v>4.6300000000000001E-2</v>
      </c>
    </row>
    <row r="50" spans="1:34" hidden="1" outlineLevel="1">
      <c r="A50" s="5">
        <f ca="1"/>
        <v>30316</v>
      </c>
      <c r="B50" s="2">
        <f ca="1"/>
        <v>7.9841980118988409E-2</v>
      </c>
      <c r="C50" s="2" t="str">
        <f ca="1"/>
        <v/>
      </c>
      <c r="D50" s="2" t="str">
        <f ca="1"/>
        <v/>
      </c>
      <c r="E50" s="2">
        <f ca="1"/>
        <v>2.0098488318827414E-2</v>
      </c>
      <c r="F50" s="2">
        <f ca="1"/>
        <v>6.5699222637652308E-2</v>
      </c>
      <c r="G50" s="2">
        <f ca="1"/>
        <v>9.5781365819072373E-2</v>
      </c>
      <c r="H50" s="2" t="str">
        <f ca="1"/>
        <v/>
      </c>
      <c r="I50" s="2" t="str">
        <f ca="1"/>
        <v/>
      </c>
      <c r="J50" s="2" t="str">
        <f ca="1"/>
        <v/>
      </c>
      <c r="K50" s="2" t="str">
        <f ca="1"/>
        <v/>
      </c>
      <c r="L50" s="2" t="str">
        <f ca="1"/>
        <v/>
      </c>
      <c r="M50" s="2" t="str">
        <f ca="1"/>
        <v/>
      </c>
      <c r="N50" s="2" t="str">
        <f ca="1"/>
        <v/>
      </c>
      <c r="O50" s="2" t="str">
        <f ca="1"/>
        <v/>
      </c>
      <c r="P50" s="2" t="str">
        <f ca="1"/>
        <v/>
      </c>
      <c r="Q50" s="2">
        <f ca="1"/>
        <v>1.5625000000000062E-2</v>
      </c>
      <c r="R50" s="2">
        <f ca="1"/>
        <v>-1.3015184381779236E-3</v>
      </c>
      <c r="S50" s="2" t="str">
        <f ca="1"/>
        <v/>
      </c>
      <c r="T50" s="2">
        <f ca="1"/>
        <v>1.9272412299696704E-2</v>
      </c>
      <c r="U50" s="2">
        <f ca="1"/>
        <v>1.5157360965661688E-2</v>
      </c>
      <c r="V50" s="2">
        <f ca="1"/>
        <v>1.200079250516542E-2</v>
      </c>
      <c r="W50" s="2">
        <f ca="1"/>
        <v>1.8426327018814258E-2</v>
      </c>
      <c r="X50" s="2" t="str">
        <f ca="1"/>
        <v/>
      </c>
      <c r="Y50" s="2" t="str">
        <f ca="1"/>
        <v/>
      </c>
      <c r="Z50" s="2" t="str">
        <f ca="1"/>
        <v/>
      </c>
      <c r="AA50" s="2" t="str">
        <f ca="1"/>
        <v/>
      </c>
      <c r="AB50" s="2" t="str">
        <f ca="1"/>
        <v/>
      </c>
      <c r="AC50" s="2" t="str">
        <f ca="1"/>
        <v/>
      </c>
      <c r="AD50" s="2" t="str">
        <f ca="1"/>
        <v/>
      </c>
      <c r="AE50" s="2" t="str">
        <f ca="1"/>
        <v/>
      </c>
      <c r="AF50" s="2" t="str">
        <f ca="1"/>
        <v/>
      </c>
      <c r="AG50" s="2" t="str">
        <f ca="1"/>
        <v/>
      </c>
      <c r="AH50" s="2">
        <f ca="1"/>
        <v>2.35E-2</v>
      </c>
    </row>
    <row r="51" spans="1:34" hidden="1" outlineLevel="1">
      <c r="A51" s="5">
        <f ca="1"/>
        <v>30347</v>
      </c>
      <c r="B51" s="2">
        <f ca="1"/>
        <v>-8.4256025558705084E-3</v>
      </c>
      <c r="C51" s="2" t="str">
        <f ca="1"/>
        <v/>
      </c>
      <c r="D51" s="2" t="str">
        <f ca="1"/>
        <v/>
      </c>
      <c r="E51" s="2">
        <f ca="1"/>
        <v>1.683974179062492E-3</v>
      </c>
      <c r="F51" s="2">
        <f ca="1"/>
        <v>-1.0617667226155474E-2</v>
      </c>
      <c r="G51" s="2">
        <f ca="1"/>
        <v>6.1762889326795207E-4</v>
      </c>
      <c r="H51" s="2" t="str">
        <f ca="1"/>
        <v/>
      </c>
      <c r="I51" s="2" t="str">
        <f ca="1"/>
        <v/>
      </c>
      <c r="J51" s="2" t="str">
        <f ca="1"/>
        <v/>
      </c>
      <c r="K51" s="2" t="str">
        <f ca="1"/>
        <v/>
      </c>
      <c r="L51" s="2" t="str">
        <f ca="1"/>
        <v/>
      </c>
      <c r="M51" s="2" t="str">
        <f ca="1"/>
        <v/>
      </c>
      <c r="N51" s="2" t="str">
        <f ca="1"/>
        <v/>
      </c>
      <c r="O51" s="2" t="str">
        <f ca="1"/>
        <v/>
      </c>
      <c r="P51" s="2" t="str">
        <f ca="1"/>
        <v/>
      </c>
      <c r="Q51" s="2">
        <f ca="1"/>
        <v>2.7629513343798914E-2</v>
      </c>
      <c r="R51" s="2">
        <f ca="1"/>
        <v>1.3032145960034783E-2</v>
      </c>
      <c r="S51" s="2" t="str">
        <f ca="1"/>
        <v/>
      </c>
      <c r="T51" s="2">
        <f ca="1"/>
        <v>3.7187144482366499E-2</v>
      </c>
      <c r="U51" s="2">
        <f ca="1"/>
        <v>3.4585731349766557E-2</v>
      </c>
      <c r="V51" s="2">
        <f ca="1"/>
        <v>2.5367081527059052E-2</v>
      </c>
      <c r="W51" s="2">
        <f ca="1"/>
        <v>4.3708735398679498E-2</v>
      </c>
      <c r="X51" s="2" t="str">
        <f ca="1"/>
        <v/>
      </c>
      <c r="Y51" s="2" t="str">
        <f ca="1"/>
        <v/>
      </c>
      <c r="Z51" s="2" t="str">
        <f ca="1"/>
        <v/>
      </c>
      <c r="AA51" s="2" t="str">
        <f ca="1"/>
        <v/>
      </c>
      <c r="AB51" s="2" t="str">
        <f ca="1"/>
        <v/>
      </c>
      <c r="AC51" s="2" t="str">
        <f ca="1"/>
        <v/>
      </c>
      <c r="AD51" s="2" t="str">
        <f ca="1"/>
        <v/>
      </c>
      <c r="AE51" s="2" t="str">
        <f ca="1"/>
        <v/>
      </c>
      <c r="AF51" s="2" t="str">
        <f ca="1"/>
        <v/>
      </c>
      <c r="AG51" s="2" t="str">
        <f ca="1"/>
        <v/>
      </c>
      <c r="AH51" s="2">
        <f ca="1"/>
        <v>0.126</v>
      </c>
    </row>
    <row r="52" spans="1:34" hidden="1" outlineLevel="1">
      <c r="A52" s="5">
        <f ca="1"/>
        <v>30375</v>
      </c>
      <c r="B52" s="2">
        <f ca="1"/>
        <v>2.7870172944799924E-2</v>
      </c>
      <c r="C52" s="2" t="str">
        <f ca="1"/>
        <v/>
      </c>
      <c r="D52" s="2" t="str">
        <f ca="1"/>
        <v/>
      </c>
      <c r="E52" s="2">
        <f ca="1"/>
        <v>2.8691510226954355E-2</v>
      </c>
      <c r="F52" s="2">
        <f ca="1"/>
        <v>2.4690360682503253E-2</v>
      </c>
      <c r="G52" s="2">
        <f ca="1"/>
        <v>3.0362706484039693E-2</v>
      </c>
      <c r="H52" s="2" t="str">
        <f ca="1"/>
        <v/>
      </c>
      <c r="I52" s="2" t="str">
        <f ca="1"/>
        <v/>
      </c>
      <c r="J52" s="2" t="str">
        <f ca="1"/>
        <v/>
      </c>
      <c r="K52" s="2" t="str">
        <f ca="1"/>
        <v/>
      </c>
      <c r="L52" s="2" t="str">
        <f ca="1"/>
        <v/>
      </c>
      <c r="M52" s="2" t="str">
        <f ca="1"/>
        <v/>
      </c>
      <c r="N52" s="2" t="str">
        <f ca="1"/>
        <v/>
      </c>
      <c r="O52" s="2" t="str">
        <f ca="1"/>
        <v/>
      </c>
      <c r="P52" s="2" t="str">
        <f ca="1"/>
        <v/>
      </c>
      <c r="Q52" s="2">
        <f ca="1"/>
        <v>2.1387106630003143E-2</v>
      </c>
      <c r="R52" s="2">
        <f ca="1"/>
        <v>5.317324185248707E-2</v>
      </c>
      <c r="S52" s="2" t="str">
        <f ca="1"/>
        <v/>
      </c>
      <c r="T52" s="2">
        <f ca="1"/>
        <v>2.2918100481761877E-2</v>
      </c>
      <c r="U52" s="2">
        <f ca="1"/>
        <v>2.7919181317239531E-2</v>
      </c>
      <c r="V52" s="2">
        <f ca="1"/>
        <v>3.6631934973542182E-2</v>
      </c>
      <c r="W52" s="2">
        <f ca="1"/>
        <v>1.955536632097566E-2</v>
      </c>
      <c r="X52" s="2" t="str">
        <f ca="1"/>
        <v/>
      </c>
      <c r="Y52" s="2" t="str">
        <f ca="1"/>
        <v/>
      </c>
      <c r="Z52" s="2" t="str">
        <f ca="1"/>
        <v/>
      </c>
      <c r="AA52" s="2" t="str">
        <f ca="1"/>
        <v/>
      </c>
      <c r="AB52" s="2" t="str">
        <f ca="1"/>
        <v/>
      </c>
      <c r="AC52" s="2" t="str">
        <f ca="1"/>
        <v/>
      </c>
      <c r="AD52" s="2" t="str">
        <f ca="1"/>
        <v/>
      </c>
      <c r="AE52" s="2" t="str">
        <f ca="1"/>
        <v/>
      </c>
      <c r="AF52" s="2" t="str">
        <f ca="1"/>
        <v/>
      </c>
      <c r="AG52" s="2" t="str">
        <f ca="1"/>
        <v/>
      </c>
      <c r="AH52" s="2">
        <f ca="1"/>
        <v>-0.16940000000000002</v>
      </c>
    </row>
    <row r="53" spans="1:34" hidden="1" outlineLevel="1">
      <c r="A53" s="5">
        <f ca="1"/>
        <v>30406</v>
      </c>
      <c r="B53" s="2">
        <f ca="1"/>
        <v>3.9044493205243988E-2</v>
      </c>
      <c r="C53" s="2" t="str">
        <f ca="1"/>
        <v/>
      </c>
      <c r="D53" s="2" t="str">
        <f ca="1"/>
        <v/>
      </c>
      <c r="E53" s="2">
        <f ca="1"/>
        <v>2.6148063409054761E-3</v>
      </c>
      <c r="F53" s="2">
        <f ca="1"/>
        <v>3.1178423236514565E-2</v>
      </c>
      <c r="G53" s="2">
        <f ca="1"/>
        <v>4.5614035087719322E-2</v>
      </c>
      <c r="H53" s="2" t="str">
        <f ca="1"/>
        <v/>
      </c>
      <c r="I53" s="2" t="str">
        <f ca="1"/>
        <v/>
      </c>
      <c r="J53" s="2" t="str">
        <f ca="1"/>
        <v/>
      </c>
      <c r="K53" s="2" t="str">
        <f ca="1"/>
        <v/>
      </c>
      <c r="L53" s="2" t="str">
        <f ca="1"/>
        <v/>
      </c>
      <c r="M53" s="2" t="str">
        <f ca="1"/>
        <v/>
      </c>
      <c r="N53" s="2" t="str">
        <f ca="1"/>
        <v/>
      </c>
      <c r="O53" s="2" t="str">
        <f ca="1"/>
        <v/>
      </c>
      <c r="P53" s="2" t="str">
        <f ca="1"/>
        <v/>
      </c>
      <c r="Q53" s="2">
        <f ca="1"/>
        <v>3.6195034400239329E-2</v>
      </c>
      <c r="R53" s="2">
        <f ca="1"/>
        <v>4.0716612377850167E-2</v>
      </c>
      <c r="S53" s="2" t="str">
        <f ca="1"/>
        <v/>
      </c>
      <c r="T53" s="2">
        <f ca="1"/>
        <v>3.6944481966770179E-2</v>
      </c>
      <c r="U53" s="2">
        <f ca="1"/>
        <v>3.5176392505232995E-2</v>
      </c>
      <c r="V53" s="2">
        <f ca="1"/>
        <v>2.9759242204973037E-2</v>
      </c>
      <c r="W53" s="2">
        <f ca="1"/>
        <v>4.0508292566519416E-2</v>
      </c>
      <c r="X53" s="2" t="str">
        <f ca="1"/>
        <v/>
      </c>
      <c r="Y53" s="2" t="str">
        <f ca="1"/>
        <v/>
      </c>
      <c r="Z53" s="2" t="str">
        <f ca="1"/>
        <v/>
      </c>
      <c r="AA53" s="2" t="str">
        <f ca="1"/>
        <v/>
      </c>
      <c r="AB53" s="2" t="str">
        <f ca="1"/>
        <v/>
      </c>
      <c r="AC53" s="2" t="str">
        <f ca="1"/>
        <v/>
      </c>
      <c r="AD53" s="2" t="str">
        <f ca="1"/>
        <v/>
      </c>
      <c r="AE53" s="2" t="str">
        <f ca="1"/>
        <v/>
      </c>
      <c r="AF53" s="2" t="str">
        <f ca="1"/>
        <v/>
      </c>
      <c r="AG53" s="2" t="str">
        <f ca="1"/>
        <v/>
      </c>
      <c r="AH53" s="2">
        <f ca="1"/>
        <v>-1.84E-2</v>
      </c>
    </row>
    <row r="54" spans="1:34" hidden="1" outlineLevel="1">
      <c r="A54" s="5">
        <f ca="1"/>
        <v>30435</v>
      </c>
      <c r="B54" s="2">
        <f ca="1"/>
        <v>5.7284318683951327E-2</v>
      </c>
      <c r="C54" s="2" t="str">
        <f ca="1"/>
        <v/>
      </c>
      <c r="D54" s="2" t="str">
        <f ca="1"/>
        <v/>
      </c>
      <c r="E54" s="2">
        <f ca="1"/>
        <v>2.7872860635696797E-2</v>
      </c>
      <c r="F54" s="2">
        <f ca="1"/>
        <v>5.6326806538062199E-2</v>
      </c>
      <c r="G54" s="2">
        <f ca="1"/>
        <v>5.7019697713755597E-2</v>
      </c>
      <c r="H54" s="2" t="str">
        <f ca="1"/>
        <v/>
      </c>
      <c r="I54" s="2" t="str">
        <f ca="1"/>
        <v/>
      </c>
      <c r="J54" s="2" t="str">
        <f ca="1"/>
        <v/>
      </c>
      <c r="K54" s="2" t="str">
        <f ca="1"/>
        <v/>
      </c>
      <c r="L54" s="2" t="str">
        <f ca="1"/>
        <v/>
      </c>
      <c r="M54" s="2" t="str">
        <f ca="1"/>
        <v/>
      </c>
      <c r="N54" s="2" t="str">
        <f ca="1"/>
        <v/>
      </c>
      <c r="O54" s="2" t="str">
        <f ca="1"/>
        <v/>
      </c>
      <c r="P54" s="2" t="str">
        <f ca="1"/>
        <v/>
      </c>
      <c r="Q54" s="2">
        <f ca="1"/>
        <v>5.9180138568129252E-2</v>
      </c>
      <c r="R54" s="2">
        <f ca="1"/>
        <v>7.1205007824726149E-2</v>
      </c>
      <c r="S54" s="2" t="str">
        <f ca="1"/>
        <v/>
      </c>
      <c r="T54" s="2">
        <f ca="1"/>
        <v>7.8778765690376548E-2</v>
      </c>
      <c r="U54" s="2">
        <f ca="1"/>
        <v>7.2499506806076239E-2</v>
      </c>
      <c r="V54" s="2">
        <f ca="1"/>
        <v>6.4620809484873171E-2</v>
      </c>
      <c r="W54" s="2">
        <f ca="1"/>
        <v>8.0270626684249877E-2</v>
      </c>
      <c r="X54" s="2" t="str">
        <f ca="1"/>
        <v/>
      </c>
      <c r="Y54" s="2" t="str">
        <f ca="1"/>
        <v/>
      </c>
      <c r="Z54" s="2" t="str">
        <f ca="1"/>
        <v/>
      </c>
      <c r="AA54" s="2" t="str">
        <f ca="1"/>
        <v/>
      </c>
      <c r="AB54" s="2" t="str">
        <f ca="1"/>
        <v/>
      </c>
      <c r="AC54" s="2" t="str">
        <f ca="1"/>
        <v/>
      </c>
      <c r="AD54" s="2" t="str">
        <f ca="1"/>
        <v/>
      </c>
      <c r="AE54" s="2" t="str">
        <f ca="1"/>
        <v/>
      </c>
      <c r="AF54" s="2" t="str">
        <f ca="1"/>
        <v/>
      </c>
      <c r="AG54" s="2" t="str">
        <f ca="1"/>
        <v/>
      </c>
      <c r="AH54" s="2">
        <f ca="1"/>
        <v>4.2300000000000004E-2</v>
      </c>
    </row>
    <row r="55" spans="1:34" hidden="1" outlineLevel="1">
      <c r="A55" s="5">
        <f ca="1"/>
        <v>30467</v>
      </c>
      <c r="B55" s="2">
        <f ca="1"/>
        <v>-4.708074221405352E-3</v>
      </c>
      <c r="C55" s="2" t="str">
        <f ca="1"/>
        <v/>
      </c>
      <c r="D55" s="2" t="str">
        <f ca="1"/>
        <v/>
      </c>
      <c r="E55" s="2">
        <f ca="1"/>
        <v>-1.3109208161539373E-2</v>
      </c>
      <c r="F55" s="2">
        <f ca="1"/>
        <v>-2.6208325714633545E-3</v>
      </c>
      <c r="G55" s="2">
        <f ca="1"/>
        <v>-6.6590956018996077E-3</v>
      </c>
      <c r="H55" s="2" t="str">
        <f ca="1"/>
        <v/>
      </c>
      <c r="I55" s="2" t="str">
        <f ca="1"/>
        <v/>
      </c>
      <c r="J55" s="2" t="str">
        <f ca="1"/>
        <v/>
      </c>
      <c r="K55" s="2" t="str">
        <f ca="1"/>
        <v/>
      </c>
      <c r="L55" s="2" t="str">
        <f ca="1"/>
        <v/>
      </c>
      <c r="M55" s="2" t="str">
        <f ca="1"/>
        <v/>
      </c>
      <c r="N55" s="2" t="str">
        <f ca="1"/>
        <v/>
      </c>
      <c r="O55" s="2" t="str">
        <f ca="1"/>
        <v/>
      </c>
      <c r="P55" s="2" t="str">
        <f ca="1"/>
        <v/>
      </c>
      <c r="Q55" s="2">
        <f ca="1"/>
        <v>-1.7443445080403398E-2</v>
      </c>
      <c r="R55" s="2">
        <f ca="1"/>
        <v>-2.8853177501826123E-2</v>
      </c>
      <c r="S55" s="2" t="str">
        <f ca="1"/>
        <v/>
      </c>
      <c r="T55" s="2">
        <f ca="1"/>
        <v>-8.6972387787375097E-3</v>
      </c>
      <c r="U55" s="2">
        <f ca="1"/>
        <v>4.6905177963762609E-3</v>
      </c>
      <c r="V55" s="2">
        <f ca="1"/>
        <v>2.2080883235329114E-3</v>
      </c>
      <c r="W55" s="2">
        <f ca="1"/>
        <v>7.1386869062151246E-3</v>
      </c>
      <c r="X55" s="2" t="str">
        <f ca="1"/>
        <v/>
      </c>
      <c r="Y55" s="2" t="str">
        <f ca="1"/>
        <v/>
      </c>
      <c r="Z55" s="2" t="str">
        <f ca="1"/>
        <v/>
      </c>
      <c r="AA55" s="2" t="str">
        <f ca="1"/>
        <v/>
      </c>
      <c r="AB55" s="2" t="str">
        <f ca="1"/>
        <v/>
      </c>
      <c r="AC55" s="2" t="str">
        <f ca="1"/>
        <v/>
      </c>
      <c r="AD55" s="2" t="str">
        <f ca="1"/>
        <v/>
      </c>
      <c r="AE55" s="2" t="str">
        <f ca="1"/>
        <v/>
      </c>
      <c r="AF55" s="2" t="str">
        <f ca="1"/>
        <v/>
      </c>
      <c r="AG55" s="2" t="str">
        <f ca="1"/>
        <v/>
      </c>
      <c r="AH55" s="2">
        <f ca="1"/>
        <v>-4.9599999999999998E-2</v>
      </c>
    </row>
    <row r="56" spans="1:34" hidden="1" outlineLevel="1">
      <c r="A56" s="5">
        <f ca="1"/>
        <v>30497</v>
      </c>
      <c r="B56" s="2">
        <f ca="1"/>
        <v>2.3002462140375643E-2</v>
      </c>
      <c r="C56" s="2" t="str">
        <f ca="1"/>
        <v/>
      </c>
      <c r="D56" s="2" t="str">
        <f ca="1"/>
        <v/>
      </c>
      <c r="E56" s="2">
        <f ca="1"/>
        <v>1.0712372790574027E-3</v>
      </c>
      <c r="F56" s="2">
        <f ca="1"/>
        <v>1.9196101197751201E-2</v>
      </c>
      <c r="G56" s="2">
        <f ca="1"/>
        <v>2.6633061372966792E-2</v>
      </c>
      <c r="H56" s="2" t="str">
        <f ca="1"/>
        <v/>
      </c>
      <c r="I56" s="2" t="str">
        <f ca="1"/>
        <v/>
      </c>
      <c r="J56" s="2" t="str">
        <f ca="1"/>
        <v/>
      </c>
      <c r="K56" s="2" t="str">
        <f ca="1"/>
        <v/>
      </c>
      <c r="L56" s="2" t="str">
        <f ca="1"/>
        <v/>
      </c>
      <c r="M56" s="2" t="str">
        <f ca="1"/>
        <v/>
      </c>
      <c r="N56" s="2" t="str">
        <f ca="1"/>
        <v/>
      </c>
      <c r="O56" s="2" t="str">
        <f ca="1"/>
        <v/>
      </c>
      <c r="P56" s="2" t="str">
        <f ca="1"/>
        <v/>
      </c>
      <c r="Q56" s="2">
        <f ca="1"/>
        <v>4.7988904299584023E-2</v>
      </c>
      <c r="R56" s="2">
        <f ca="1"/>
        <v>5.377961639714178E-2</v>
      </c>
      <c r="S56" s="2" t="str">
        <f ca="1"/>
        <v/>
      </c>
      <c r="T56" s="2">
        <f ca="1"/>
        <v>3.8918652626393546E-2</v>
      </c>
      <c r="U56" s="2">
        <f ca="1"/>
        <v>3.9683266202856171E-2</v>
      </c>
      <c r="V56" s="2">
        <f ca="1"/>
        <v>5.7738822233398025E-2</v>
      </c>
      <c r="W56" s="2">
        <f ca="1"/>
        <v>2.1870306447787893E-2</v>
      </c>
      <c r="X56" s="2" t="str">
        <f ca="1"/>
        <v/>
      </c>
      <c r="Y56" s="2" t="str">
        <f ca="1"/>
        <v/>
      </c>
      <c r="Z56" s="2" t="str">
        <f ca="1"/>
        <v/>
      </c>
      <c r="AA56" s="2" t="str">
        <f ca="1"/>
        <v/>
      </c>
      <c r="AB56" s="2" t="str">
        <f ca="1"/>
        <v/>
      </c>
      <c r="AC56" s="2" t="str">
        <f ca="1"/>
        <v/>
      </c>
      <c r="AD56" s="2" t="str">
        <f ca="1"/>
        <v/>
      </c>
      <c r="AE56" s="2" t="str">
        <f ca="1"/>
        <v/>
      </c>
      <c r="AF56" s="2" t="str">
        <f ca="1"/>
        <v/>
      </c>
      <c r="AG56" s="2" t="str">
        <f ca="1"/>
        <v/>
      </c>
      <c r="AH56" s="2">
        <f ca="1"/>
        <v>1.5800000000000002E-2</v>
      </c>
    </row>
    <row r="57" spans="1:34" hidden="1" outlineLevel="1">
      <c r="A57" s="5">
        <f ca="1"/>
        <v>30526</v>
      </c>
      <c r="B57" s="2">
        <f ca="1"/>
        <v>2.5056872506677287E-3</v>
      </c>
      <c r="C57" s="2" t="str">
        <f ca="1"/>
        <v/>
      </c>
      <c r="D57" s="2" t="str">
        <f ca="1"/>
        <v/>
      </c>
      <c r="E57" s="2">
        <f ca="1"/>
        <v>-2.3649010165864182E-2</v>
      </c>
      <c r="F57" s="2">
        <f ca="1"/>
        <v>8.9563425145212146E-3</v>
      </c>
      <c r="G57" s="2">
        <f ca="1"/>
        <v>-3.4926982359342849E-3</v>
      </c>
      <c r="H57" s="2" t="str">
        <f ca="1"/>
        <v/>
      </c>
      <c r="I57" s="2" t="str">
        <f ca="1"/>
        <v/>
      </c>
      <c r="J57" s="2" t="str">
        <f ca="1"/>
        <v/>
      </c>
      <c r="K57" s="2" t="str">
        <f ca="1"/>
        <v/>
      </c>
      <c r="L57" s="2" t="str">
        <f ca="1"/>
        <v/>
      </c>
      <c r="M57" s="2" t="str">
        <f ca="1"/>
        <v/>
      </c>
      <c r="N57" s="2" t="str">
        <f ca="1"/>
        <v/>
      </c>
      <c r="O57" s="2" t="str">
        <f ca="1"/>
        <v/>
      </c>
      <c r="P57" s="2" t="str">
        <f ca="1"/>
        <v/>
      </c>
      <c r="Q57" s="2">
        <f ca="1"/>
        <v>-4.4203282159873E-2</v>
      </c>
      <c r="R57" s="2">
        <f ca="1"/>
        <v>-4.6038543897216247E-2</v>
      </c>
      <c r="S57" s="2" t="str">
        <f ca="1"/>
        <v/>
      </c>
      <c r="T57" s="2">
        <f ca="1"/>
        <v>-2.9504491107013423E-2</v>
      </c>
      <c r="U57" s="2">
        <f ca="1"/>
        <v>-3.1036759850319222E-2</v>
      </c>
      <c r="V57" s="2">
        <f ca="1"/>
        <v>-4.6798587212461523E-2</v>
      </c>
      <c r="W57" s="2">
        <f ca="1"/>
        <v>-1.5987210231814483E-2</v>
      </c>
      <c r="X57" s="2" t="str">
        <f ca="1"/>
        <v/>
      </c>
      <c r="Y57" s="2" t="str">
        <f ca="1"/>
        <v/>
      </c>
      <c r="Z57" s="2" t="str">
        <f ca="1"/>
        <v/>
      </c>
      <c r="AA57" s="2" t="str">
        <f ca="1"/>
        <v/>
      </c>
      <c r="AB57" s="2" t="str">
        <f ca="1"/>
        <v/>
      </c>
      <c r="AC57" s="2" t="str">
        <f ca="1"/>
        <v/>
      </c>
      <c r="AD57" s="2" t="str">
        <f ca="1"/>
        <v/>
      </c>
      <c r="AE57" s="2" t="str">
        <f ca="1"/>
        <v/>
      </c>
      <c r="AF57" s="2" t="str">
        <f ca="1"/>
        <v/>
      </c>
      <c r="AG57" s="2" t="str">
        <f ca="1"/>
        <v/>
      </c>
      <c r="AH57" s="2">
        <f ca="1"/>
        <v>-1.3600000000000001E-2</v>
      </c>
    </row>
    <row r="58" spans="1:34" hidden="1" outlineLevel="1">
      <c r="A58" s="5">
        <f ca="1"/>
        <v>30559</v>
      </c>
      <c r="B58" s="2">
        <f ca="1"/>
        <v>-1.5761173414016599E-2</v>
      </c>
      <c r="C58" s="2" t="str">
        <f ca="1"/>
        <v/>
      </c>
      <c r="D58" s="2" t="str">
        <f ca="1"/>
        <v/>
      </c>
      <c r="E58" s="2">
        <f ca="1"/>
        <v>6.9596668128014596E-3</v>
      </c>
      <c r="F58" s="2">
        <f ca="1"/>
        <v>-1.7385975337988347E-2</v>
      </c>
      <c r="G58" s="2">
        <f ca="1"/>
        <v>-1.3257816270032832E-2</v>
      </c>
      <c r="H58" s="2" t="str">
        <f ca="1"/>
        <v/>
      </c>
      <c r="I58" s="2" t="str">
        <f ca="1"/>
        <v/>
      </c>
      <c r="J58" s="2" t="str">
        <f ca="1"/>
        <v/>
      </c>
      <c r="K58" s="2" t="str">
        <f ca="1"/>
        <v/>
      </c>
      <c r="L58" s="2" t="str">
        <f ca="1"/>
        <v/>
      </c>
      <c r="M58" s="2" t="str">
        <f ca="1"/>
        <v/>
      </c>
      <c r="N58" s="2" t="str">
        <f ca="1"/>
        <v/>
      </c>
      <c r="O58" s="2" t="str">
        <f ca="1"/>
        <v/>
      </c>
      <c r="P58" s="2" t="str">
        <f ca="1"/>
        <v/>
      </c>
      <c r="Q58" s="2">
        <f ca="1"/>
        <v>2.3262254223206963E-2</v>
      </c>
      <c r="R58" s="2">
        <f ca="1"/>
        <v>-3.3670033670033617E-3</v>
      </c>
      <c r="S58" s="2" t="str">
        <f ca="1"/>
        <v/>
      </c>
      <c r="T58" s="2">
        <f ca="1"/>
        <v>1.5009842519685065E-2</v>
      </c>
      <c r="U58" s="2">
        <f ca="1"/>
        <v>1.0858700590640685E-2</v>
      </c>
      <c r="V58" s="2">
        <f ca="1"/>
        <v>-6.0093584475428164E-3</v>
      </c>
      <c r="W58" s="2">
        <f ca="1"/>
        <v>2.6755064070648062E-2</v>
      </c>
      <c r="X58" s="2" t="str">
        <f ca="1"/>
        <v/>
      </c>
      <c r="Y58" s="2" t="str">
        <f ca="1"/>
        <v/>
      </c>
      <c r="Z58" s="2" t="str">
        <f ca="1"/>
        <v/>
      </c>
      <c r="AA58" s="2" t="str">
        <f ca="1"/>
        <v/>
      </c>
      <c r="AB58" s="2" t="str">
        <f ca="1"/>
        <v/>
      </c>
      <c r="AC58" s="2" t="str">
        <f ca="1"/>
        <v/>
      </c>
      <c r="AD58" s="2" t="str">
        <f ca="1"/>
        <v/>
      </c>
      <c r="AE58" s="2" t="str">
        <f ca="1"/>
        <v/>
      </c>
      <c r="AF58" s="2" t="str">
        <f ca="1"/>
        <v/>
      </c>
      <c r="AG58" s="2" t="str">
        <f ca="1"/>
        <v/>
      </c>
      <c r="AH58" s="2">
        <f ca="1"/>
        <v>1.1899999999999999E-2</v>
      </c>
    </row>
    <row r="59" spans="1:34" hidden="1" outlineLevel="1">
      <c r="A59" s="5">
        <f ca="1"/>
        <v>30589</v>
      </c>
      <c r="B59" s="2">
        <f ca="1"/>
        <v>3.90635224276243E-2</v>
      </c>
      <c r="C59" s="2" t="str">
        <f ca="1"/>
        <v/>
      </c>
      <c r="D59" s="2" t="str">
        <f ca="1"/>
        <v/>
      </c>
      <c r="E59" s="2">
        <f ca="1"/>
        <v>3.2979591836734705E-2</v>
      </c>
      <c r="F59" s="2">
        <f ca="1"/>
        <v>3.459719760053509E-2</v>
      </c>
      <c r="G59" s="2">
        <f ca="1"/>
        <v>4.3962832359527387E-2</v>
      </c>
      <c r="H59" s="2" t="str">
        <f ca="1"/>
        <v/>
      </c>
      <c r="I59" s="2" t="str">
        <f ca="1"/>
        <v/>
      </c>
      <c r="J59" s="2" t="str">
        <f ca="1"/>
        <v/>
      </c>
      <c r="K59" s="2" t="str">
        <f ca="1"/>
        <v/>
      </c>
      <c r="L59" s="2" t="str">
        <f ca="1"/>
        <v/>
      </c>
      <c r="M59" s="2" t="str">
        <f ca="1"/>
        <v/>
      </c>
      <c r="N59" s="2" t="str">
        <f ca="1"/>
        <v/>
      </c>
      <c r="O59" s="2" t="str">
        <f ca="1"/>
        <v/>
      </c>
      <c r="P59" s="2" t="str">
        <f ca="1"/>
        <v/>
      </c>
      <c r="Q59" s="2">
        <f ca="1"/>
        <v>1.2449255751014717E-2</v>
      </c>
      <c r="R59" s="2">
        <f ca="1"/>
        <v>1.4639639639639662E-2</v>
      </c>
      <c r="S59" s="2" t="str">
        <f ca="1"/>
        <v/>
      </c>
      <c r="T59" s="2">
        <f ca="1"/>
        <v>1.3807785888077713E-2</v>
      </c>
      <c r="U59" s="2">
        <f ca="1"/>
        <v>1.640523169580645E-2</v>
      </c>
      <c r="V59" s="2">
        <f ca="1"/>
        <v>1.849550755113747E-2</v>
      </c>
      <c r="W59" s="2">
        <f ca="1"/>
        <v>1.5262110152621074E-2</v>
      </c>
      <c r="X59" s="2" t="str">
        <f ca="1"/>
        <v/>
      </c>
      <c r="Y59" s="2" t="str">
        <f ca="1"/>
        <v/>
      </c>
      <c r="Z59" s="2" t="str">
        <f ca="1"/>
        <v/>
      </c>
      <c r="AA59" s="2" t="str">
        <f ca="1"/>
        <v/>
      </c>
      <c r="AB59" s="2" t="str">
        <f ca="1"/>
        <v/>
      </c>
      <c r="AC59" s="2" t="str">
        <f ca="1"/>
        <v/>
      </c>
      <c r="AD59" s="2" t="str">
        <f ca="1"/>
        <v/>
      </c>
      <c r="AE59" s="2" t="str">
        <f ca="1"/>
        <v/>
      </c>
      <c r="AF59" s="2" t="str">
        <f ca="1"/>
        <v/>
      </c>
      <c r="AG59" s="2" t="str">
        <f ca="1"/>
        <v/>
      </c>
      <c r="AH59" s="2">
        <f ca="1"/>
        <v>-3.78E-2</v>
      </c>
    </row>
    <row r="60" spans="1:34" hidden="1" outlineLevel="1">
      <c r="A60" s="5">
        <f ca="1"/>
        <v>30620</v>
      </c>
      <c r="B60" s="2">
        <f ca="1"/>
        <v>-6.1903409243169063E-4</v>
      </c>
      <c r="C60" s="2" t="str">
        <f ca="1"/>
        <v/>
      </c>
      <c r="D60" s="2" t="str">
        <f ca="1"/>
        <v/>
      </c>
      <c r="E60" s="2">
        <f ca="1"/>
        <v>3.5825298983194081E-3</v>
      </c>
      <c r="F60" s="2">
        <f ca="1"/>
        <v>-1.6111825568479793E-3</v>
      </c>
      <c r="G60" s="2">
        <f ca="1"/>
        <v>1.577948174264758E-3</v>
      </c>
      <c r="H60" s="2" t="str">
        <f ca="1"/>
        <v/>
      </c>
      <c r="I60" s="2" t="str">
        <f ca="1"/>
        <v/>
      </c>
      <c r="J60" s="2" t="str">
        <f ca="1"/>
        <v/>
      </c>
      <c r="K60" s="2" t="str">
        <f ca="1"/>
        <v/>
      </c>
      <c r="L60" s="2" t="str">
        <f ca="1"/>
        <v/>
      </c>
      <c r="M60" s="2" t="str">
        <f ca="1"/>
        <v/>
      </c>
      <c r="N60" s="2" t="str">
        <f ca="1"/>
        <v/>
      </c>
      <c r="O60" s="2" t="str">
        <f ca="1"/>
        <v/>
      </c>
      <c r="P60" s="2" t="str">
        <f ca="1"/>
        <v/>
      </c>
      <c r="Q60" s="2">
        <f ca="1"/>
        <v>-1.2830793905372813E-2</v>
      </c>
      <c r="R60" s="2">
        <f ca="1"/>
        <v>-2.330743618202007E-2</v>
      </c>
      <c r="S60" s="2" t="str">
        <f ca="1"/>
        <v/>
      </c>
      <c r="T60" s="2">
        <f ca="1"/>
        <v>-1.1561389775395834E-2</v>
      </c>
      <c r="U60" s="2">
        <f ca="1"/>
        <v>-2.175643406739183E-2</v>
      </c>
      <c r="V60" s="2">
        <f ca="1"/>
        <v>-3.7398526582516099E-2</v>
      </c>
      <c r="W60" s="2">
        <f ca="1"/>
        <v>-5.4801407742585094E-3</v>
      </c>
      <c r="X60" s="2" t="str">
        <f ca="1"/>
        <v/>
      </c>
      <c r="Y60" s="2" t="str">
        <f ca="1"/>
        <v/>
      </c>
      <c r="Z60" s="2" t="str">
        <f ca="1"/>
        <v/>
      </c>
      <c r="AA60" s="2" t="str">
        <f ca="1"/>
        <v/>
      </c>
      <c r="AB60" s="2" t="str">
        <f ca="1"/>
        <v/>
      </c>
      <c r="AC60" s="2" t="str">
        <f ca="1"/>
        <v/>
      </c>
      <c r="AD60" s="2" t="str">
        <f ca="1"/>
        <v/>
      </c>
      <c r="AE60" s="2" t="str">
        <f ca="1"/>
        <v/>
      </c>
      <c r="AF60" s="2" t="str">
        <f ca="1"/>
        <v/>
      </c>
      <c r="AG60" s="2" t="str">
        <f ca="1"/>
        <v/>
      </c>
      <c r="AH60" s="2">
        <f ca="1"/>
        <v>-5.7500000000000002E-2</v>
      </c>
    </row>
    <row r="61" spans="1:34" hidden="1" outlineLevel="1">
      <c r="A61" s="5">
        <f ca="1"/>
        <v>30650</v>
      </c>
      <c r="B61" s="2">
        <f ca="1"/>
        <v>2.3985670271444298E-2</v>
      </c>
      <c r="C61" s="2" t="str">
        <f ca="1"/>
        <v/>
      </c>
      <c r="D61" s="2" t="str">
        <f ca="1"/>
        <v/>
      </c>
      <c r="E61" s="2">
        <f ca="1"/>
        <v>1.1444170297653307E-2</v>
      </c>
      <c r="F61" s="2">
        <f ca="1"/>
        <v>2.8777294334195635E-2</v>
      </c>
      <c r="G61" s="2">
        <f ca="1"/>
        <v>1.6419269871747431E-2</v>
      </c>
      <c r="H61" s="2" t="str">
        <f ca="1"/>
        <v/>
      </c>
      <c r="I61" s="2" t="str">
        <f ca="1"/>
        <v/>
      </c>
      <c r="J61" s="2" t="str">
        <f ca="1"/>
        <v/>
      </c>
      <c r="K61" s="2" t="str">
        <f ca="1"/>
        <v/>
      </c>
      <c r="L61" s="2" t="str">
        <f ca="1"/>
        <v/>
      </c>
      <c r="M61" s="2" t="str">
        <f ca="1"/>
        <v/>
      </c>
      <c r="N61" s="2" t="str">
        <f ca="1"/>
        <v/>
      </c>
      <c r="O61" s="2" t="str">
        <f ca="1"/>
        <v/>
      </c>
      <c r="P61" s="2" t="str">
        <f ca="1"/>
        <v/>
      </c>
      <c r="Q61" s="2">
        <f ca="1"/>
        <v>1.8142431627403241E-2</v>
      </c>
      <c r="R61" s="2">
        <f ca="1"/>
        <v>4.507575757575763E-2</v>
      </c>
      <c r="S61" s="2" t="str">
        <f ca="1"/>
        <v/>
      </c>
      <c r="T61" s="2">
        <f ca="1"/>
        <v>2.1094466523998809E-2</v>
      </c>
      <c r="U61" s="2">
        <f ca="1"/>
        <v>2.6082632673356889E-2</v>
      </c>
      <c r="V61" s="2">
        <f ca="1"/>
        <v>2.3228039387735277E-2</v>
      </c>
      <c r="W61" s="2">
        <f ca="1"/>
        <v>2.8764976492594036E-2</v>
      </c>
      <c r="X61" s="2" t="str">
        <f ca="1"/>
        <v/>
      </c>
      <c r="Y61" s="2" t="str">
        <f ca="1"/>
        <v/>
      </c>
      <c r="Z61" s="2" t="str">
        <f ca="1"/>
        <v/>
      </c>
      <c r="AA61" s="2" t="str">
        <f ca="1"/>
        <v/>
      </c>
      <c r="AB61" s="2" t="str">
        <f ca="1"/>
        <v/>
      </c>
      <c r="AC61" s="2" t="str">
        <f ca="1"/>
        <v/>
      </c>
      <c r="AD61" s="2" t="str">
        <f ca="1"/>
        <v/>
      </c>
      <c r="AE61" s="2" t="str">
        <f ca="1"/>
        <v/>
      </c>
      <c r="AF61" s="2" t="str">
        <f ca="1"/>
        <v/>
      </c>
      <c r="AG61" s="2" t="str">
        <f ca="1"/>
        <v/>
      </c>
      <c r="AH61" s="2">
        <f ca="1"/>
        <v>6.3899999999999998E-2</v>
      </c>
    </row>
    <row r="62" spans="1:34" hidden="1" outlineLevel="1">
      <c r="A62" s="5">
        <f ca="1"/>
        <v>30680</v>
      </c>
      <c r="B62" s="2">
        <f ca="1"/>
        <v>4.1801527197310187E-2</v>
      </c>
      <c r="C62" s="2" t="str">
        <f ca="1"/>
        <v/>
      </c>
      <c r="D62" s="2" t="str">
        <f ca="1"/>
        <v/>
      </c>
      <c r="E62" s="2">
        <f ca="1"/>
        <v>1.9203820003114373E-3</v>
      </c>
      <c r="F62" s="2">
        <f ca="1"/>
        <v>3.7537126291639238E-2</v>
      </c>
      <c r="G62" s="2">
        <f ca="1"/>
        <v>4.5337854201986022E-2</v>
      </c>
      <c r="H62" s="2" t="str">
        <f ca="1"/>
        <v/>
      </c>
      <c r="I62" s="2" t="str">
        <f ca="1"/>
        <v/>
      </c>
      <c r="J62" s="2" t="str">
        <f ca="1"/>
        <v/>
      </c>
      <c r="K62" s="2" t="str">
        <f ca="1"/>
        <v/>
      </c>
      <c r="L62" s="2" t="str">
        <f ca="1"/>
        <v/>
      </c>
      <c r="M62" s="2" t="str">
        <f ca="1"/>
        <v/>
      </c>
      <c r="N62" s="2" t="str">
        <f ca="1"/>
        <v/>
      </c>
      <c r="O62" s="2" t="str">
        <f ca="1"/>
        <v/>
      </c>
      <c r="P62" s="2" t="str">
        <f ca="1"/>
        <v/>
      </c>
      <c r="Q62" s="2">
        <f ca="1"/>
        <v>-1.1968085106383053E-2</v>
      </c>
      <c r="R62" s="2">
        <f ca="1"/>
        <v>-1.3410656034795252E-2</v>
      </c>
      <c r="S62" s="2" t="str">
        <f ca="1"/>
        <v/>
      </c>
      <c r="T62" s="2">
        <f ca="1"/>
        <v>-5.2283653846153678E-3</v>
      </c>
      <c r="U62" s="2">
        <f ca="1"/>
        <v>-9.075289660337469E-3</v>
      </c>
      <c r="V62" s="2">
        <f ca="1"/>
        <v>-1.2172173125937991E-2</v>
      </c>
      <c r="W62" s="2">
        <f ca="1"/>
        <v>-7.0024570024570937E-3</v>
      </c>
      <c r="X62" s="2" t="str">
        <f ca="1"/>
        <v/>
      </c>
      <c r="Y62" s="2" t="str">
        <f ca="1"/>
        <v/>
      </c>
      <c r="Z62" s="2" t="str">
        <f ca="1"/>
        <v/>
      </c>
      <c r="AA62" s="2" t="str">
        <f ca="1"/>
        <v/>
      </c>
      <c r="AB62" s="2" t="str">
        <f ca="1"/>
        <v/>
      </c>
      <c r="AC62" s="2" t="str">
        <f ca="1"/>
        <v/>
      </c>
      <c r="AD62" s="2" t="str">
        <f ca="1"/>
        <v/>
      </c>
      <c r="AE62" s="2" t="str">
        <f ca="1"/>
        <v/>
      </c>
      <c r="AF62" s="2" t="str">
        <f ca="1"/>
        <v/>
      </c>
      <c r="AG62" s="2" t="str">
        <f ca="1"/>
        <v/>
      </c>
      <c r="AH62" s="2">
        <f ca="1"/>
        <v>-3.7200000000000004E-2</v>
      </c>
    </row>
    <row r="63" spans="1:34" hidden="1" outlineLevel="1">
      <c r="A63" s="5">
        <f ca="1"/>
        <v>30712</v>
      </c>
      <c r="B63" s="2">
        <f ca="1"/>
        <v>4.4907613381292392E-2</v>
      </c>
      <c r="C63" s="2" t="str">
        <f ca="1"/>
        <v/>
      </c>
      <c r="D63" s="2" t="str">
        <f ca="1"/>
        <v/>
      </c>
      <c r="E63" s="2">
        <f ca="1"/>
        <v>2.0617488603398355E-2</v>
      </c>
      <c r="F63" s="2">
        <f ca="1"/>
        <v>3.6137928197251847E-2</v>
      </c>
      <c r="G63" s="2">
        <f ca="1"/>
        <v>5.3241277049256332E-2</v>
      </c>
      <c r="H63" s="2" t="str">
        <f ca="1"/>
        <v/>
      </c>
      <c r="I63" s="2" t="str">
        <f ca="1"/>
        <v/>
      </c>
      <c r="J63" s="2" t="str">
        <f ca="1"/>
        <v/>
      </c>
      <c r="K63" s="2" t="str">
        <f ca="1"/>
        <v/>
      </c>
      <c r="L63" s="2" t="str">
        <f ca="1"/>
        <v/>
      </c>
      <c r="M63" s="2" t="str">
        <f ca="1"/>
        <v/>
      </c>
      <c r="N63" s="2" t="str">
        <f ca="1"/>
        <v/>
      </c>
      <c r="O63" s="2" t="str">
        <f ca="1"/>
        <v/>
      </c>
      <c r="P63" s="2" t="str">
        <f ca="1"/>
        <v/>
      </c>
      <c r="Q63" s="2">
        <f ca="1"/>
        <v>-1.9919246298788749E-2</v>
      </c>
      <c r="R63" s="2">
        <f ca="1"/>
        <v>-3.2696546656869968E-2</v>
      </c>
      <c r="S63" s="2" t="str">
        <f ca="1"/>
        <v/>
      </c>
      <c r="T63" s="2">
        <f ca="1"/>
        <v>-5.5781240526284045E-3</v>
      </c>
      <c r="U63" s="2">
        <f ca="1"/>
        <v>-1.6316187258258195E-2</v>
      </c>
      <c r="V63" s="2">
        <f ca="1"/>
        <v>-5.1772365565468985E-2</v>
      </c>
      <c r="W63" s="2">
        <f ca="1"/>
        <v>1.6553259928244565E-2</v>
      </c>
      <c r="X63" s="2" t="str">
        <f ca="1"/>
        <v/>
      </c>
      <c r="Y63" s="2" t="str">
        <f ca="1"/>
        <v/>
      </c>
      <c r="Z63" s="2" t="str">
        <f ca="1"/>
        <v/>
      </c>
      <c r="AA63" s="2" t="str">
        <f ca="1"/>
        <v/>
      </c>
      <c r="AB63" s="2" t="str">
        <f ca="1"/>
        <v/>
      </c>
      <c r="AC63" s="2" t="str">
        <f ca="1"/>
        <v/>
      </c>
      <c r="AD63" s="2" t="str">
        <f ca="1"/>
        <v/>
      </c>
      <c r="AE63" s="2" t="str">
        <f ca="1"/>
        <v/>
      </c>
      <c r="AF63" s="2" t="str">
        <f ca="1"/>
        <v/>
      </c>
      <c r="AG63" s="2" t="str">
        <f ca="1"/>
        <v/>
      </c>
      <c r="AH63" s="2">
        <f ca="1"/>
        <v>-3.6600000000000001E-2</v>
      </c>
    </row>
    <row r="64" spans="1:34" hidden="1" outlineLevel="1">
      <c r="A64" s="5">
        <f ca="1"/>
        <v>30741</v>
      </c>
      <c r="B64" s="2">
        <f ca="1"/>
        <v>9.3167029504095233E-3</v>
      </c>
      <c r="C64" s="2" t="str">
        <f ca="1"/>
        <v/>
      </c>
      <c r="D64" s="2" t="str">
        <f ca="1"/>
        <v/>
      </c>
      <c r="E64" s="2">
        <f ca="1"/>
        <v>-5.1263831083139758E-3</v>
      </c>
      <c r="F64" s="2">
        <f ca="1"/>
        <v>1.0647555330560662E-2</v>
      </c>
      <c r="G64" s="2">
        <f ca="1"/>
        <v>8.2050153981521358E-3</v>
      </c>
      <c r="H64" s="2" t="str">
        <f ca="1"/>
        <v/>
      </c>
      <c r="I64" s="2" t="str">
        <f ca="1"/>
        <v/>
      </c>
      <c r="J64" s="2" t="str">
        <f ca="1"/>
        <v/>
      </c>
      <c r="K64" s="2" t="str">
        <f ca="1"/>
        <v/>
      </c>
      <c r="L64" s="2" t="str">
        <f ca="1"/>
        <v/>
      </c>
      <c r="M64" s="2" t="str">
        <f ca="1"/>
        <v/>
      </c>
      <c r="N64" s="2" t="str">
        <f ca="1"/>
        <v/>
      </c>
      <c r="O64" s="2" t="str">
        <f ca="1"/>
        <v/>
      </c>
      <c r="P64" s="2" t="str">
        <f ca="1"/>
        <v/>
      </c>
      <c r="Q64" s="2">
        <f ca="1"/>
        <v>-3.6253776435045133E-2</v>
      </c>
      <c r="R64" s="2">
        <f ca="1"/>
        <v>-6.228636536270403E-2</v>
      </c>
      <c r="S64" s="2" t="str">
        <f ca="1"/>
        <v/>
      </c>
      <c r="T64" s="2">
        <f ca="1"/>
        <v>-3.5187565020500508E-2</v>
      </c>
      <c r="U64" s="2">
        <f ca="1"/>
        <v>-3.8913495435234501E-2</v>
      </c>
      <c r="V64" s="2">
        <f ca="1"/>
        <v>-4.7834600615415925E-2</v>
      </c>
      <c r="W64" s="2">
        <f ca="1"/>
        <v>-3.1691169311654332E-2</v>
      </c>
      <c r="X64" s="2" t="str">
        <f ca="1"/>
        <v/>
      </c>
      <c r="Y64" s="2" t="str">
        <f ca="1"/>
        <v/>
      </c>
      <c r="Z64" s="2" t="str">
        <f ca="1"/>
        <v/>
      </c>
      <c r="AA64" s="2" t="str">
        <f ca="1"/>
        <v/>
      </c>
      <c r="AB64" s="2" t="str">
        <f ca="1"/>
        <v/>
      </c>
      <c r="AC64" s="2" t="str">
        <f ca="1"/>
        <v/>
      </c>
      <c r="AD64" s="2" t="str">
        <f ca="1"/>
        <v/>
      </c>
      <c r="AE64" s="2" t="str">
        <f ca="1"/>
        <v/>
      </c>
      <c r="AF64" s="2" t="str">
        <f ca="1"/>
        <v/>
      </c>
      <c r="AG64" s="2" t="str">
        <f ca="1"/>
        <v/>
      </c>
      <c r="AH64" s="2">
        <f ca="1"/>
        <v>6.7099999999999993E-2</v>
      </c>
    </row>
    <row r="65" spans="1:34" hidden="1" outlineLevel="1">
      <c r="A65" s="5">
        <f ca="1"/>
        <v>30771</v>
      </c>
      <c r="B65" s="2">
        <f ca="1"/>
        <v>9.4173193065413427E-2</v>
      </c>
      <c r="C65" s="2" t="str">
        <f ca="1"/>
        <v/>
      </c>
      <c r="D65" s="2" t="str">
        <f ca="1"/>
        <v/>
      </c>
      <c r="E65" s="2">
        <f ca="1"/>
        <v>-1.1223917147084275E-2</v>
      </c>
      <c r="F65" s="2">
        <f ca="1"/>
        <v>0.11747373521429251</v>
      </c>
      <c r="G65" s="2">
        <f ca="1"/>
        <v>7.0298693081404295E-2</v>
      </c>
      <c r="H65" s="2" t="str">
        <f ca="1"/>
        <v/>
      </c>
      <c r="I65" s="2" t="str">
        <f ca="1"/>
        <v/>
      </c>
      <c r="J65" s="2" t="str">
        <f ca="1"/>
        <v/>
      </c>
      <c r="K65" s="2" t="str">
        <f ca="1"/>
        <v/>
      </c>
      <c r="L65" s="2" t="str">
        <f ca="1"/>
        <v/>
      </c>
      <c r="M65" s="2" t="str">
        <f ca="1"/>
        <v/>
      </c>
      <c r="N65" s="2" t="str">
        <f ca="1"/>
        <v/>
      </c>
      <c r="O65" s="2" t="str">
        <f ca="1"/>
        <v/>
      </c>
      <c r="P65" s="2" t="str">
        <f ca="1"/>
        <v/>
      </c>
      <c r="Q65" s="2">
        <f ca="1"/>
        <v>1.4249073810202335E-2</v>
      </c>
      <c r="R65" s="2">
        <f ca="1"/>
        <v>2.5921425678412189E-2</v>
      </c>
      <c r="S65" s="2" t="str">
        <f ca="1"/>
        <v/>
      </c>
      <c r="T65" s="2">
        <f ca="1"/>
        <v>1.7318222335413365E-2</v>
      </c>
      <c r="U65" s="2">
        <f ca="1"/>
        <v>1.5048201269691927E-2</v>
      </c>
      <c r="V65" s="2">
        <f ca="1"/>
        <v>1.84819187009241E-2</v>
      </c>
      <c r="W65" s="2">
        <f ca="1"/>
        <v>1.2040621386556894E-2</v>
      </c>
      <c r="X65" s="2" t="str">
        <f ca="1"/>
        <v/>
      </c>
      <c r="Y65" s="2" t="str">
        <f ca="1"/>
        <v/>
      </c>
      <c r="Z65" s="2" t="str">
        <f ca="1"/>
        <v/>
      </c>
      <c r="AA65" s="2" t="str">
        <f ca="1"/>
        <v/>
      </c>
      <c r="AB65" s="2" t="str">
        <f ca="1"/>
        <v/>
      </c>
      <c r="AC65" s="2" t="str">
        <f ca="1"/>
        <v/>
      </c>
      <c r="AD65" s="2" t="str">
        <f ca="1"/>
        <v/>
      </c>
      <c r="AE65" s="2" t="str">
        <f ca="1"/>
        <v/>
      </c>
      <c r="AF65" s="2" t="str">
        <f ca="1"/>
        <v/>
      </c>
      <c r="AG65" s="2" t="str">
        <f ca="1"/>
        <v/>
      </c>
      <c r="AH65" s="2">
        <f ca="1"/>
        <v>-2.86E-2</v>
      </c>
    </row>
    <row r="66" spans="1:34" hidden="1" outlineLevel="1">
      <c r="A66" s="5">
        <f ca="1"/>
        <v>30802</v>
      </c>
      <c r="B66" s="2">
        <f ca="1"/>
        <v>-1.6332273993609089E-2</v>
      </c>
      <c r="C66" s="2" t="str">
        <f ca="1"/>
        <v/>
      </c>
      <c r="D66" s="2" t="str">
        <f ca="1"/>
        <v/>
      </c>
      <c r="E66" s="2">
        <f ca="1"/>
        <v>-1.9606831432846367E-3</v>
      </c>
      <c r="F66" s="2">
        <f ca="1"/>
        <v>-1.9218993991134661E-2</v>
      </c>
      <c r="G66" s="2">
        <f ca="1"/>
        <v>-1.3617368260116209E-2</v>
      </c>
      <c r="H66" s="2" t="str">
        <f ca="1"/>
        <v/>
      </c>
      <c r="I66" s="2" t="str">
        <f ca="1"/>
        <v/>
      </c>
      <c r="J66" s="2" t="str">
        <f ca="1"/>
        <v/>
      </c>
      <c r="K66" s="2" t="str">
        <f ca="1"/>
        <v/>
      </c>
      <c r="L66" s="2" t="str">
        <f ca="1"/>
        <v/>
      </c>
      <c r="M66" s="2" t="str">
        <f ca="1"/>
        <v/>
      </c>
      <c r="N66" s="2" t="str">
        <f ca="1"/>
        <v/>
      </c>
      <c r="O66" s="2" t="str">
        <f ca="1"/>
        <v/>
      </c>
      <c r="P66" s="2" t="str">
        <f ca="1"/>
        <v/>
      </c>
      <c r="Q66" s="2">
        <f ca="1"/>
        <v>1.2644001123911092E-2</v>
      </c>
      <c r="R66" s="2">
        <f ca="1"/>
        <v>9.4749309119621788E-3</v>
      </c>
      <c r="S66" s="2" t="str">
        <f ca="1"/>
        <v/>
      </c>
      <c r="T66" s="2">
        <f ca="1"/>
        <v>9.486116346274609E-3</v>
      </c>
      <c r="U66" s="2">
        <f ca="1"/>
        <v>4.9108176974751094E-3</v>
      </c>
      <c r="V66" s="2">
        <f ca="1"/>
        <v>5.6904599569937257E-3</v>
      </c>
      <c r="W66" s="2">
        <f ca="1"/>
        <v>4.1727726584038956E-3</v>
      </c>
      <c r="X66" s="2" t="str">
        <f ca="1"/>
        <v/>
      </c>
      <c r="Y66" s="2" t="str">
        <f ca="1"/>
        <v/>
      </c>
      <c r="Z66" s="2" t="str">
        <f ca="1"/>
        <v/>
      </c>
      <c r="AA66" s="2" t="str">
        <f ca="1"/>
        <v/>
      </c>
      <c r="AB66" s="2" t="str">
        <f ca="1"/>
        <v/>
      </c>
      <c r="AC66" s="2" t="str">
        <f ca="1"/>
        <v/>
      </c>
      <c r="AD66" s="2" t="str">
        <f ca="1"/>
        <v/>
      </c>
      <c r="AE66" s="2" t="str">
        <f ca="1"/>
        <v/>
      </c>
      <c r="AF66" s="2" t="str">
        <f ca="1"/>
        <v/>
      </c>
      <c r="AG66" s="2" t="str">
        <f ca="1"/>
        <v/>
      </c>
      <c r="AH66" s="2">
        <f ca="1"/>
        <v>-2.0400000000000001E-2</v>
      </c>
    </row>
    <row r="67" spans="1:34" hidden="1" outlineLevel="1">
      <c r="A67" s="5">
        <f ca="1"/>
        <v>30833</v>
      </c>
      <c r="B67" s="2">
        <f ca="1"/>
        <v>-0.10125046225251495</v>
      </c>
      <c r="C67" s="2" t="str">
        <f ca="1"/>
        <v/>
      </c>
      <c r="D67" s="2" t="str">
        <f ca="1"/>
        <v/>
      </c>
      <c r="E67" s="2">
        <f ca="1"/>
        <v>-3.117406813834463E-2</v>
      </c>
      <c r="F67" s="2">
        <f ca="1"/>
        <v>-0.11236106091065783</v>
      </c>
      <c r="G67" s="2">
        <f ca="1"/>
        <v>-9.047884762436198E-2</v>
      </c>
      <c r="H67" s="2" t="str">
        <f ca="1"/>
        <v/>
      </c>
      <c r="I67" s="2" t="str">
        <f ca="1"/>
        <v/>
      </c>
      <c r="J67" s="2" t="str">
        <f ca="1"/>
        <v/>
      </c>
      <c r="K67" s="2" t="str">
        <f ca="1"/>
        <v/>
      </c>
      <c r="L67" s="2" t="str">
        <f ca="1"/>
        <v/>
      </c>
      <c r="M67" s="2" t="str">
        <f ca="1"/>
        <v/>
      </c>
      <c r="N67" s="2" t="str">
        <f ca="1"/>
        <v/>
      </c>
      <c r="O67" s="2" t="str">
        <f ca="1"/>
        <v/>
      </c>
      <c r="P67" s="2" t="str">
        <f ca="1"/>
        <v/>
      </c>
      <c r="Q67" s="2">
        <f ca="1"/>
        <v>-4.0233074361820081E-2</v>
      </c>
      <c r="R67" s="2">
        <f ca="1"/>
        <v>-6.0226828314430943E-2</v>
      </c>
      <c r="S67" s="2" t="str">
        <f ca="1"/>
        <v/>
      </c>
      <c r="T67" s="2">
        <f ca="1"/>
        <v>-5.5357700718525402E-2</v>
      </c>
      <c r="U67" s="2">
        <f ca="1"/>
        <v>-5.2971278410400668E-2</v>
      </c>
      <c r="V67" s="2">
        <f ca="1"/>
        <v>-5.3714375114077922E-2</v>
      </c>
      <c r="W67" s="2">
        <f ca="1"/>
        <v>-5.219025946721411E-2</v>
      </c>
      <c r="X67" s="2" t="str">
        <f ca="1"/>
        <v/>
      </c>
      <c r="Y67" s="2" t="str">
        <f ca="1"/>
        <v/>
      </c>
      <c r="Z67" s="2" t="str">
        <f ca="1"/>
        <v/>
      </c>
      <c r="AA67" s="2" t="str">
        <f ca="1"/>
        <v/>
      </c>
      <c r="AB67" s="2" t="str">
        <f ca="1"/>
        <v/>
      </c>
      <c r="AC67" s="2" t="str">
        <f ca="1"/>
        <v/>
      </c>
      <c r="AD67" s="2" t="str">
        <f ca="1"/>
        <v/>
      </c>
      <c r="AE67" s="2" t="str">
        <f ca="1"/>
        <v/>
      </c>
      <c r="AF67" s="2" t="str">
        <f ca="1"/>
        <v/>
      </c>
      <c r="AG67" s="2" t="str">
        <f ca="1"/>
        <v/>
      </c>
      <c r="AH67" s="2">
        <f ca="1"/>
        <v>1.9E-2</v>
      </c>
    </row>
    <row r="68" spans="1:34" hidden="1" outlineLevel="1">
      <c r="A68" s="5">
        <f ca="1"/>
        <v>30862</v>
      </c>
      <c r="B68" s="2">
        <f ca="1"/>
        <v>-8.9684109897536577E-4</v>
      </c>
      <c r="C68" s="2" t="str">
        <f ca="1"/>
        <v/>
      </c>
      <c r="D68" s="2" t="str">
        <f ca="1"/>
        <v/>
      </c>
      <c r="E68" s="2">
        <f ca="1"/>
        <v>1.280683030949843E-2</v>
      </c>
      <c r="F68" s="2">
        <f ca="1"/>
        <v>7.9487403837741489E-3</v>
      </c>
      <c r="G68" s="2">
        <f ca="1"/>
        <v>-9.793451339498745E-3</v>
      </c>
      <c r="H68" s="2" t="str">
        <f ca="1"/>
        <v/>
      </c>
      <c r="I68" s="2" t="str">
        <f ca="1"/>
        <v/>
      </c>
      <c r="J68" s="2" t="str">
        <f ca="1"/>
        <v/>
      </c>
      <c r="K68" s="2" t="str">
        <f ca="1"/>
        <v/>
      </c>
      <c r="L68" s="2" t="str">
        <f ca="1"/>
        <v/>
      </c>
      <c r="M68" s="2" t="str">
        <f ca="1"/>
        <v/>
      </c>
      <c r="N68" s="2" t="str">
        <f ca="1"/>
        <v/>
      </c>
      <c r="O68" s="2" t="str">
        <f ca="1"/>
        <v/>
      </c>
      <c r="P68" s="2" t="str">
        <f ca="1"/>
        <v/>
      </c>
      <c r="Q68" s="2">
        <f ca="1"/>
        <v>3.7583116507661087E-2</v>
      </c>
      <c r="R68" s="2">
        <f ca="1"/>
        <v>1.3316687473990856E-2</v>
      </c>
      <c r="S68" s="2" t="str">
        <f ca="1"/>
        <v/>
      </c>
      <c r="T68" s="2">
        <f ca="1"/>
        <v>2.1720358684822218E-2</v>
      </c>
      <c r="U68" s="2">
        <f ca="1"/>
        <v>2.4924544834972275E-2</v>
      </c>
      <c r="V68" s="2">
        <f ca="1"/>
        <v>3.8439282466727377E-2</v>
      </c>
      <c r="W68" s="2">
        <f ca="1"/>
        <v>1.2265455779117378E-2</v>
      </c>
      <c r="X68" s="2" t="str">
        <f ca="1"/>
        <v/>
      </c>
      <c r="Y68" s="2" t="str">
        <f ca="1"/>
        <v/>
      </c>
      <c r="Z68" s="2" t="str">
        <f ca="1"/>
        <v/>
      </c>
      <c r="AA68" s="2" t="str">
        <f ca="1"/>
        <v/>
      </c>
      <c r="AB68" s="2" t="str">
        <f ca="1"/>
        <v/>
      </c>
      <c r="AC68" s="2" t="str">
        <f ca="1"/>
        <v/>
      </c>
      <c r="AD68" s="2" t="str">
        <f ca="1"/>
        <v/>
      </c>
      <c r="AE68" s="2" t="str">
        <f ca="1"/>
        <v/>
      </c>
      <c r="AF68" s="2" t="str">
        <f ca="1"/>
        <v/>
      </c>
      <c r="AG68" s="2" t="str">
        <f ca="1"/>
        <v/>
      </c>
      <c r="AH68" s="2">
        <f ca="1"/>
        <v>-2.7699999999999999E-2</v>
      </c>
    </row>
    <row r="69" spans="1:34" hidden="1" outlineLevel="1">
      <c r="A69" s="5">
        <f ca="1"/>
        <v>30894</v>
      </c>
      <c r="B69" s="2">
        <f ca="1"/>
        <v>-6.3779731445974777E-2</v>
      </c>
      <c r="C69" s="2" t="str">
        <f ca="1"/>
        <v/>
      </c>
      <c r="D69" s="2" t="str">
        <f ca="1"/>
        <v/>
      </c>
      <c r="E69" s="2">
        <f ca="1"/>
        <v>4.4994731296101112E-2</v>
      </c>
      <c r="F69" s="2">
        <f ca="1"/>
        <v>-6.8006383632260137E-2</v>
      </c>
      <c r="G69" s="2">
        <f ca="1"/>
        <v>-5.9754922208453735E-2</v>
      </c>
      <c r="H69" s="2" t="str">
        <f ca="1"/>
        <v/>
      </c>
      <c r="I69" s="2" t="str">
        <f ca="1"/>
        <v/>
      </c>
      <c r="J69" s="2" t="str">
        <f ca="1"/>
        <v/>
      </c>
      <c r="K69" s="2" t="str">
        <f ca="1"/>
        <v/>
      </c>
      <c r="L69" s="2" t="str">
        <f ca="1"/>
        <v/>
      </c>
      <c r="M69" s="2" t="str">
        <f ca="1"/>
        <v/>
      </c>
      <c r="N69" s="2" t="str">
        <f ca="1"/>
        <v/>
      </c>
      <c r="O69" s="2" t="str">
        <f ca="1"/>
        <v/>
      </c>
      <c r="P69" s="2" t="str">
        <f ca="1"/>
        <v/>
      </c>
      <c r="Q69" s="2">
        <f ca="1"/>
        <v>-3.3435497353022413E-3</v>
      </c>
      <c r="R69" s="2">
        <f ca="1"/>
        <v>-2.422997946611909E-2</v>
      </c>
      <c r="S69" s="2" t="str">
        <f ca="1"/>
        <v/>
      </c>
      <c r="T69" s="2">
        <f ca="1"/>
        <v>-1.240370805588191E-2</v>
      </c>
      <c r="U69" s="2">
        <f ca="1"/>
        <v>-1.5673981191222489E-2</v>
      </c>
      <c r="V69" s="2">
        <f ca="1"/>
        <v>-1.6929363689433694E-2</v>
      </c>
      <c r="W69" s="2">
        <f ca="1"/>
        <v>-1.4926912268942244E-2</v>
      </c>
      <c r="X69" s="2" t="str">
        <f ca="1"/>
        <v/>
      </c>
      <c r="Y69" s="2" t="str">
        <f ca="1"/>
        <v/>
      </c>
      <c r="Z69" s="2" t="str">
        <f ca="1"/>
        <v/>
      </c>
      <c r="AA69" s="2" t="str">
        <f ca="1"/>
        <v/>
      </c>
      <c r="AB69" s="2" t="str">
        <f ca="1"/>
        <v/>
      </c>
      <c r="AC69" s="2" t="str">
        <f ca="1"/>
        <v/>
      </c>
      <c r="AD69" s="2" t="str">
        <f ca="1"/>
        <v/>
      </c>
      <c r="AE69" s="2" t="str">
        <f ca="1"/>
        <v/>
      </c>
      <c r="AF69" s="2" t="str">
        <f ca="1"/>
        <v/>
      </c>
      <c r="AG69" s="2" t="str">
        <f ca="1"/>
        <v/>
      </c>
      <c r="AH69" s="2">
        <f ca="1"/>
        <v>-0.10210000000000001</v>
      </c>
    </row>
    <row r="70" spans="1:34" hidden="1" outlineLevel="1">
      <c r="A70" s="5">
        <f ca="1"/>
        <v>30925</v>
      </c>
      <c r="B70" s="2">
        <f ca="1"/>
        <v>8.5090690703346919E-2</v>
      </c>
      <c r="C70" s="2" t="str">
        <f ca="1"/>
        <v/>
      </c>
      <c r="D70" s="2" t="str">
        <f ca="1"/>
        <v/>
      </c>
      <c r="E70" s="2">
        <f ca="1"/>
        <v>1.6839770091761637E-2</v>
      </c>
      <c r="F70" s="2">
        <f ca="1"/>
        <v>8.8791926834248636E-2</v>
      </c>
      <c r="G70" s="2">
        <f ca="1"/>
        <v>8.1954410113730614E-2</v>
      </c>
      <c r="H70" s="2" t="str">
        <f ca="1"/>
        <v/>
      </c>
      <c r="I70" s="2" t="str">
        <f ca="1"/>
        <v/>
      </c>
      <c r="J70" s="2" t="str">
        <f ca="1"/>
        <v/>
      </c>
      <c r="K70" s="2" t="str">
        <f ca="1"/>
        <v/>
      </c>
      <c r="L70" s="2" t="str">
        <f ca="1"/>
        <v/>
      </c>
      <c r="M70" s="2" t="str">
        <f ca="1"/>
        <v/>
      </c>
      <c r="N70" s="2" t="str">
        <f ca="1"/>
        <v/>
      </c>
      <c r="O70" s="2" t="str">
        <f ca="1"/>
        <v/>
      </c>
      <c r="P70" s="2" t="str">
        <f ca="1"/>
        <v/>
      </c>
      <c r="Q70" s="2">
        <f ca="1"/>
        <v>9.4492591557170671E-2</v>
      </c>
      <c r="R70" s="2">
        <f ca="1"/>
        <v>0.1039562289562289</v>
      </c>
      <c r="S70" s="2" t="str">
        <f ca="1"/>
        <v/>
      </c>
      <c r="T70" s="2">
        <f ca="1"/>
        <v>0.11044736492765153</v>
      </c>
      <c r="U70" s="2">
        <f ca="1"/>
        <v>0.11445666859679599</v>
      </c>
      <c r="V70" s="2">
        <f ca="1"/>
        <v>0.11404124379183765</v>
      </c>
      <c r="W70" s="2">
        <f ca="1"/>
        <v>0.11609526302015179</v>
      </c>
      <c r="X70" s="2" t="str">
        <f ca="1"/>
        <v/>
      </c>
      <c r="Y70" s="2" t="str">
        <f ca="1"/>
        <v/>
      </c>
      <c r="Z70" s="2" t="str">
        <f ca="1"/>
        <v/>
      </c>
      <c r="AA70" s="2" t="str">
        <f ca="1"/>
        <v/>
      </c>
      <c r="AB70" s="2" t="str">
        <f ca="1"/>
        <v/>
      </c>
      <c r="AC70" s="2" t="str">
        <f ca="1"/>
        <v/>
      </c>
      <c r="AD70" s="2" t="str">
        <f ca="1"/>
        <v/>
      </c>
      <c r="AE70" s="2" t="str">
        <f ca="1"/>
        <v/>
      </c>
      <c r="AF70" s="2" t="str">
        <f ca="1"/>
        <v/>
      </c>
      <c r="AG70" s="2" t="str">
        <f ca="1"/>
        <v/>
      </c>
      <c r="AH70" s="2">
        <f ca="1"/>
        <v>0.04</v>
      </c>
    </row>
    <row r="71" spans="1:34" hidden="1" outlineLevel="1">
      <c r="A71" s="5">
        <f ca="1"/>
        <v>30953</v>
      </c>
      <c r="B71" s="2">
        <f ca="1"/>
        <v>-8.4889767105397647E-3</v>
      </c>
      <c r="C71" s="2" t="str">
        <f ca="1"/>
        <v/>
      </c>
      <c r="D71" s="2" t="str">
        <f ca="1"/>
        <v/>
      </c>
      <c r="E71" s="2">
        <f ca="1"/>
        <v>2.375049583498608E-2</v>
      </c>
      <c r="F71" s="2">
        <f ca="1"/>
        <v>-3.5402539375453306E-3</v>
      </c>
      <c r="G71" s="2">
        <f ca="1"/>
        <v>-1.491022286384556E-2</v>
      </c>
      <c r="H71" s="2" t="str">
        <f ca="1"/>
        <v/>
      </c>
      <c r="I71" s="2" t="str">
        <f ca="1"/>
        <v/>
      </c>
      <c r="J71" s="2" t="str">
        <f ca="1"/>
        <v/>
      </c>
      <c r="K71" s="2" t="str">
        <f ca="1"/>
        <v/>
      </c>
      <c r="L71" s="2" t="str">
        <f ca="1"/>
        <v/>
      </c>
      <c r="M71" s="2" t="str">
        <f ca="1"/>
        <v/>
      </c>
      <c r="N71" s="2" t="str">
        <f ca="1"/>
        <v/>
      </c>
      <c r="O71" s="2" t="str">
        <f ca="1"/>
        <v/>
      </c>
      <c r="P71" s="2" t="str">
        <f ca="1"/>
        <v/>
      </c>
      <c r="Q71" s="2">
        <f ca="1"/>
        <v>-5.1085568326937473E-4</v>
      </c>
      <c r="R71" s="2">
        <f ca="1"/>
        <v>9.1498284407166772E-3</v>
      </c>
      <c r="S71" s="2" t="str">
        <f ca="1"/>
        <v/>
      </c>
      <c r="T71" s="2">
        <f ca="1"/>
        <v>2.399808015359524E-4</v>
      </c>
      <c r="U71" s="2">
        <f ca="1"/>
        <v>8.2265327329406708E-4</v>
      </c>
      <c r="V71" s="2">
        <f ca="1"/>
        <v>-1.6524119884670417E-2</v>
      </c>
      <c r="W71" s="2">
        <f ca="1"/>
        <v>1.6719035782957394E-2</v>
      </c>
      <c r="X71" s="2" t="str">
        <f ca="1"/>
        <v/>
      </c>
      <c r="Y71" s="2" t="str">
        <f ca="1"/>
        <v/>
      </c>
      <c r="Z71" s="2" t="str">
        <f ca="1"/>
        <v/>
      </c>
      <c r="AA71" s="2" t="str">
        <f ca="1"/>
        <v/>
      </c>
      <c r="AB71" s="2" t="str">
        <f ca="1"/>
        <v/>
      </c>
      <c r="AC71" s="2" t="str">
        <f ca="1"/>
        <v/>
      </c>
      <c r="AD71" s="2" t="str">
        <f ca="1"/>
        <v/>
      </c>
      <c r="AE71" s="2" t="str">
        <f ca="1"/>
        <v/>
      </c>
      <c r="AF71" s="2" t="str">
        <f ca="1"/>
        <v/>
      </c>
      <c r="AG71" s="2" t="str">
        <f ca="1"/>
        <v/>
      </c>
      <c r="AH71" s="2">
        <f ca="1"/>
        <v>-1.7899999999999999E-2</v>
      </c>
    </row>
    <row r="72" spans="1:34" hidden="1" outlineLevel="1">
      <c r="A72" s="5">
        <f ca="1"/>
        <v>30986</v>
      </c>
      <c r="B72" s="2">
        <f ca="1"/>
        <v>2.5352002330768252E-2</v>
      </c>
      <c r="C72" s="2" t="str">
        <f ca="1"/>
        <v/>
      </c>
      <c r="D72" s="2" t="str">
        <f ca="1"/>
        <v/>
      </c>
      <c r="E72" s="2">
        <f ca="1"/>
        <v>4.2427471303337003E-2</v>
      </c>
      <c r="F72" s="2">
        <f ca="1"/>
        <v>4.3700492311552833E-2</v>
      </c>
      <c r="G72" s="2">
        <f ca="1"/>
        <v>7.2817201346431441E-3</v>
      </c>
      <c r="H72" s="2" t="str">
        <f ca="1"/>
        <v/>
      </c>
      <c r="I72" s="2" t="str">
        <f ca="1"/>
        <v/>
      </c>
      <c r="J72" s="2" t="str">
        <f ca="1"/>
        <v/>
      </c>
      <c r="K72" s="2" t="str">
        <f ca="1"/>
        <v/>
      </c>
      <c r="L72" s="2" t="str">
        <f ca="1"/>
        <v/>
      </c>
      <c r="M72" s="2" t="str">
        <f ca="1"/>
        <v/>
      </c>
      <c r="N72" s="2" t="str">
        <f ca="1"/>
        <v/>
      </c>
      <c r="O72" s="2" t="str">
        <f ca="1"/>
        <v/>
      </c>
      <c r="P72" s="2" t="str">
        <f ca="1"/>
        <v/>
      </c>
      <c r="Q72" s="2">
        <f ca="1"/>
        <v>1.7889087656529405E-2</v>
      </c>
      <c r="R72" s="2">
        <f ca="1"/>
        <v>1.5111446921043711E-3</v>
      </c>
      <c r="S72" s="2" t="str">
        <f ca="1"/>
        <v/>
      </c>
      <c r="T72" s="2">
        <f ca="1"/>
        <v>3.8531005418423361E-3</v>
      </c>
      <c r="U72" s="2">
        <f ca="1"/>
        <v>2.898550724637627E-3</v>
      </c>
      <c r="V72" s="2">
        <f ca="1"/>
        <v>7.0705328767460534E-3</v>
      </c>
      <c r="W72" s="2">
        <f ca="1"/>
        <v>-8.5334071357732035E-4</v>
      </c>
      <c r="X72" s="2" t="str">
        <f ca="1"/>
        <v/>
      </c>
      <c r="Y72" s="2" t="str">
        <f ca="1"/>
        <v/>
      </c>
      <c r="Z72" s="2" t="str">
        <f ca="1"/>
        <v/>
      </c>
      <c r="AA72" s="2" t="str">
        <f ca="1"/>
        <v/>
      </c>
      <c r="AB72" s="2" t="str">
        <f ca="1"/>
        <v/>
      </c>
      <c r="AC72" s="2" t="str">
        <f ca="1"/>
        <v/>
      </c>
      <c r="AD72" s="2" t="str">
        <f ca="1"/>
        <v/>
      </c>
      <c r="AE72" s="2" t="str">
        <f ca="1"/>
        <v/>
      </c>
      <c r="AF72" s="2" t="str">
        <f ca="1"/>
        <v/>
      </c>
      <c r="AG72" s="2" t="str">
        <f ca="1"/>
        <v/>
      </c>
      <c r="AH72" s="2">
        <f ca="1"/>
        <v>-2.58E-2</v>
      </c>
    </row>
    <row r="73" spans="1:34" hidden="1" outlineLevel="1">
      <c r="A73" s="5">
        <f ca="1"/>
        <v>31016</v>
      </c>
      <c r="B73" s="2">
        <f ca="1"/>
        <v>4.1164840832466892E-3</v>
      </c>
      <c r="C73" s="2" t="str">
        <f ca="1"/>
        <v/>
      </c>
      <c r="D73" s="2" t="str">
        <f ca="1"/>
        <v/>
      </c>
      <c r="E73" s="2">
        <f ca="1"/>
        <v>1.7887840914370779E-2</v>
      </c>
      <c r="F73" s="2">
        <f ca="1"/>
        <v>1.3195525353378106E-2</v>
      </c>
      <c r="G73" s="2">
        <f ca="1"/>
        <v>-5.0694491804768498E-3</v>
      </c>
      <c r="H73" s="2" t="str">
        <f ca="1"/>
        <v/>
      </c>
      <c r="I73" s="2" t="str">
        <f ca="1"/>
        <v/>
      </c>
      <c r="J73" s="2" t="str">
        <f ca="1"/>
        <v/>
      </c>
      <c r="K73" s="2" t="str">
        <f ca="1"/>
        <v/>
      </c>
      <c r="L73" s="2" t="str">
        <f ca="1"/>
        <v/>
      </c>
      <c r="M73" s="2" t="str">
        <f ca="1"/>
        <v/>
      </c>
      <c r="N73" s="2" t="str">
        <f ca="1"/>
        <v/>
      </c>
      <c r="O73" s="2" t="str">
        <f ca="1"/>
        <v/>
      </c>
      <c r="P73" s="2" t="str">
        <f ca="1"/>
        <v/>
      </c>
      <c r="Q73" s="2">
        <f ca="1"/>
        <v>-1.6319357268390625E-2</v>
      </c>
      <c r="R73" s="2">
        <f ca="1"/>
        <v>-7.5443228970200997E-3</v>
      </c>
      <c r="S73" s="2" t="str">
        <f ca="1"/>
        <v/>
      </c>
      <c r="T73" s="2">
        <f ca="1"/>
        <v>-1.1198747666927364E-2</v>
      </c>
      <c r="U73" s="2">
        <f ca="1"/>
        <v>-9.1881632300922934E-3</v>
      </c>
      <c r="V73" s="2">
        <f ca="1"/>
        <v>-2.0182004990459485E-2</v>
      </c>
      <c r="W73" s="2">
        <f ca="1"/>
        <v>9.925672868288458E-4</v>
      </c>
      <c r="X73" s="2" t="str">
        <f ca="1"/>
        <v/>
      </c>
      <c r="Y73" s="2" t="str">
        <f ca="1"/>
        <v/>
      </c>
      <c r="Z73" s="2" t="str">
        <f ca="1"/>
        <v/>
      </c>
      <c r="AA73" s="2" t="str">
        <f ca="1"/>
        <v/>
      </c>
      <c r="AB73" s="2" t="str">
        <f ca="1"/>
        <v/>
      </c>
      <c r="AC73" s="2" t="str">
        <f ca="1"/>
        <v/>
      </c>
      <c r="AD73" s="2" t="str">
        <f ca="1"/>
        <v/>
      </c>
      <c r="AE73" s="2" t="str">
        <f ca="1"/>
        <v/>
      </c>
      <c r="AF73" s="2" t="str">
        <f ca="1"/>
        <v/>
      </c>
      <c r="AG73" s="2" t="str">
        <f ca="1"/>
        <v/>
      </c>
      <c r="AH73" s="2">
        <f ca="1"/>
        <v>-2.0499999999999997E-2</v>
      </c>
    </row>
    <row r="74" spans="1:34" hidden="1" outlineLevel="1">
      <c r="A74" s="5">
        <f ca="1"/>
        <v>31047</v>
      </c>
      <c r="B74" s="2">
        <f ca="1"/>
        <v>2.0445725373815674E-2</v>
      </c>
      <c r="C74" s="2" t="str">
        <f ca="1"/>
        <v/>
      </c>
      <c r="D74" s="2" t="str">
        <f ca="1"/>
        <v/>
      </c>
      <c r="E74" s="2">
        <f ca="1"/>
        <v>1.4606536425050158E-2</v>
      </c>
      <c r="F74" s="2">
        <f ca="1"/>
        <v>2.6662461789217128E-2</v>
      </c>
      <c r="G74" s="2">
        <f ca="1"/>
        <v>2.2665996435589177E-2</v>
      </c>
      <c r="H74" s="2" t="str">
        <f ca="1"/>
        <v/>
      </c>
      <c r="I74" s="2" t="str">
        <f ca="1"/>
        <v/>
      </c>
      <c r="J74" s="2" t="str">
        <f ca="1"/>
        <v/>
      </c>
      <c r="K74" s="2" t="str">
        <f ca="1"/>
        <v/>
      </c>
      <c r="L74" s="2" t="str">
        <f ca="1"/>
        <v/>
      </c>
      <c r="M74" s="2" t="str">
        <f ca="1"/>
        <v/>
      </c>
      <c r="N74" s="2" t="str">
        <f ca="1"/>
        <v/>
      </c>
      <c r="O74" s="2" t="str">
        <f ca="1"/>
        <v/>
      </c>
      <c r="P74" s="2" t="str">
        <f ca="1"/>
        <v/>
      </c>
      <c r="Q74" s="2">
        <f ca="1"/>
        <v>3.0117406840224598E-2</v>
      </c>
      <c r="R74" s="2">
        <f ca="1"/>
        <v>3.1927023945267953E-2</v>
      </c>
      <c r="S74" s="2" t="str">
        <f ca="1"/>
        <v/>
      </c>
      <c r="T74" s="2">
        <f ca="1"/>
        <v>2.6347964298814031E-2</v>
      </c>
      <c r="U74" s="2">
        <f ca="1"/>
        <v>2.5817406069049618E-2</v>
      </c>
      <c r="V74" s="2">
        <f ca="1"/>
        <v>2.5516191046863052E-2</v>
      </c>
      <c r="W74" s="2">
        <f ca="1"/>
        <v>2.6080940850916643E-2</v>
      </c>
      <c r="X74" s="2" t="str">
        <f ca="1"/>
        <v/>
      </c>
      <c r="Y74" s="2" t="str">
        <f ca="1"/>
        <v/>
      </c>
      <c r="Z74" s="2" t="str">
        <f ca="1"/>
        <v/>
      </c>
      <c r="AA74" s="2" t="str">
        <f ca="1"/>
        <v/>
      </c>
      <c r="AB74" s="2" t="str">
        <f ca="1"/>
        <v/>
      </c>
      <c r="AC74" s="2" t="str">
        <f ca="1"/>
        <v/>
      </c>
      <c r="AD74" s="2" t="str">
        <f ca="1"/>
        <v/>
      </c>
      <c r="AE74" s="2" t="str">
        <f ca="1"/>
        <v/>
      </c>
      <c r="AF74" s="2" t="str">
        <f ca="1"/>
        <v/>
      </c>
      <c r="AG74" s="2" t="str">
        <f ca="1"/>
        <v/>
      </c>
      <c r="AH74" s="2">
        <f ca="1"/>
        <v>-5.8899999999999994E-2</v>
      </c>
    </row>
    <row r="75" spans="1:34" hidden="1" outlineLevel="1">
      <c r="A75" s="5">
        <f ca="1"/>
        <v>31078</v>
      </c>
      <c r="B75" s="2">
        <f ca="1"/>
        <v>2.2795169717052893E-2</v>
      </c>
      <c r="C75" s="2" t="str">
        <f ca="1"/>
        <v/>
      </c>
      <c r="D75" s="2" t="str">
        <f ca="1"/>
        <v/>
      </c>
      <c r="E75" s="2">
        <f ca="1"/>
        <v>2.276408133885191E-2</v>
      </c>
      <c r="F75" s="2">
        <f ca="1"/>
        <v>2.1550963801923211E-2</v>
      </c>
      <c r="G75" s="2">
        <f ca="1"/>
        <v>2.4263818758657702E-2</v>
      </c>
      <c r="H75" s="2" t="str">
        <f ca="1"/>
        <v/>
      </c>
      <c r="I75" s="2" t="str">
        <f ca="1"/>
        <v/>
      </c>
      <c r="J75" s="2" t="str">
        <f ca="1"/>
        <v/>
      </c>
      <c r="K75" s="2" t="str">
        <f ca="1"/>
        <v/>
      </c>
      <c r="L75" s="2" t="str">
        <f ca="1"/>
        <v/>
      </c>
      <c r="M75" s="2" t="str">
        <f ca="1"/>
        <v/>
      </c>
      <c r="N75" s="2" t="str">
        <f ca="1"/>
        <v/>
      </c>
      <c r="O75" s="2" t="str">
        <f ca="1"/>
        <v/>
      </c>
      <c r="P75" s="2" t="str">
        <f ca="1"/>
        <v/>
      </c>
      <c r="Q75" s="2">
        <f ca="1"/>
        <v>7.3587710604558945E-2</v>
      </c>
      <c r="R75" s="2">
        <f ca="1"/>
        <v>3.7569060773480781E-2</v>
      </c>
      <c r="S75" s="2" t="str">
        <f ca="1"/>
        <v/>
      </c>
      <c r="T75" s="2">
        <f ca="1"/>
        <v>7.7911982779239247E-2</v>
      </c>
      <c r="U75" s="2">
        <f ca="1"/>
        <v>8.0001697648756448E-2</v>
      </c>
      <c r="V75" s="2">
        <f ca="1"/>
        <v>9.212416311625074E-2</v>
      </c>
      <c r="W75" s="2">
        <f ca="1"/>
        <v>6.888259618842138E-2</v>
      </c>
      <c r="X75" s="2" t="str">
        <f ca="1"/>
        <v/>
      </c>
      <c r="Y75" s="2" t="str">
        <f ca="1"/>
        <v/>
      </c>
      <c r="Z75" s="2" t="str">
        <f ca="1"/>
        <v/>
      </c>
      <c r="AA75" s="2" t="str">
        <f ca="1"/>
        <v/>
      </c>
      <c r="AB75" s="2" t="str">
        <f ca="1"/>
        <v/>
      </c>
      <c r="AC75" s="2" t="str">
        <f ca="1"/>
        <v/>
      </c>
      <c r="AD75" s="2" t="str">
        <f ca="1"/>
        <v/>
      </c>
      <c r="AE75" s="2" t="str">
        <f ca="1"/>
        <v/>
      </c>
      <c r="AF75" s="2" t="str">
        <f ca="1"/>
        <v/>
      </c>
      <c r="AG75" s="2" t="str">
        <f ca="1"/>
        <v/>
      </c>
      <c r="AH75" s="2">
        <f ca="1"/>
        <v>-1.8100000000000002E-2</v>
      </c>
    </row>
    <row r="76" spans="1:34" hidden="1" outlineLevel="1">
      <c r="A76" s="5">
        <f ca="1"/>
        <v>31106</v>
      </c>
      <c r="B76" s="2">
        <f ca="1"/>
        <v>-5.6070976149899593E-3</v>
      </c>
      <c r="C76" s="2" t="str">
        <f ca="1"/>
        <v/>
      </c>
      <c r="D76" s="2" t="str">
        <f ca="1"/>
        <v/>
      </c>
      <c r="E76" s="2">
        <f ca="1"/>
        <v>-2.0453945632092924E-2</v>
      </c>
      <c r="F76" s="2">
        <f ca="1"/>
        <v>2.7241223264898437E-3</v>
      </c>
      <c r="G76" s="2">
        <f ca="1"/>
        <v>-1.4854724718610946E-2</v>
      </c>
      <c r="H76" s="2" t="str">
        <f ca="1"/>
        <v/>
      </c>
      <c r="I76" s="2" t="str">
        <f ca="1"/>
        <v/>
      </c>
      <c r="J76" s="2" t="str">
        <f ca="1"/>
        <v/>
      </c>
      <c r="K76" s="2" t="str">
        <f ca="1"/>
        <v/>
      </c>
      <c r="L76" s="2" t="str">
        <f ca="1"/>
        <v/>
      </c>
      <c r="M76" s="2" t="str">
        <f ca="1"/>
        <v/>
      </c>
      <c r="N76" s="2" t="str">
        <f ca="1"/>
        <v/>
      </c>
      <c r="O76" s="2" t="str">
        <f ca="1"/>
        <v/>
      </c>
      <c r="P76" s="2" t="str">
        <f ca="1"/>
        <v/>
      </c>
      <c r="Q76" s="2">
        <f ca="1"/>
        <v>1.7309023771059313E-2</v>
      </c>
      <c r="R76" s="2">
        <f ca="1"/>
        <v>2.9108981185658384E-2</v>
      </c>
      <c r="S76" s="2" t="str">
        <f ca="1"/>
        <v/>
      </c>
      <c r="T76" s="2">
        <f ca="1"/>
        <v>1.2247397428046645E-2</v>
      </c>
      <c r="U76" s="2">
        <f ca="1"/>
        <v>1.6190513616536235E-2</v>
      </c>
      <c r="V76" s="2">
        <f ca="1"/>
        <v>1.5002563588131583E-2</v>
      </c>
      <c r="W76" s="2">
        <f ca="1"/>
        <v>1.7388196211181393E-2</v>
      </c>
      <c r="X76" s="2" t="str">
        <f ca="1"/>
        <v/>
      </c>
      <c r="Y76" s="2" t="str">
        <f ca="1"/>
        <v/>
      </c>
      <c r="Z76" s="2" t="str">
        <f ca="1"/>
        <v/>
      </c>
      <c r="AA76" s="2" t="str">
        <f ca="1"/>
        <v/>
      </c>
      <c r="AB76" s="2" t="str">
        <f ca="1"/>
        <v/>
      </c>
      <c r="AC76" s="2" t="str">
        <f ca="1"/>
        <v/>
      </c>
      <c r="AD76" s="2" t="str">
        <f ca="1"/>
        <v/>
      </c>
      <c r="AE76" s="2" t="str">
        <f ca="1"/>
        <v/>
      </c>
      <c r="AF76" s="2" t="str">
        <f ca="1"/>
        <v/>
      </c>
      <c r="AG76" s="2" t="str">
        <f ca="1"/>
        <v/>
      </c>
      <c r="AH76" s="2">
        <f ca="1"/>
        <v>-5.0599999999999999E-2</v>
      </c>
    </row>
    <row r="77" spans="1:34" hidden="1" outlineLevel="1">
      <c r="A77" s="5">
        <f ca="1"/>
        <v>31135</v>
      </c>
      <c r="B77" s="2">
        <f ca="1"/>
        <v>7.7894910493141234E-2</v>
      </c>
      <c r="C77" s="2" t="str">
        <f ca="1"/>
        <v/>
      </c>
      <c r="D77" s="2" t="str">
        <f ca="1"/>
        <v/>
      </c>
      <c r="E77" s="2">
        <f ca="1"/>
        <v>2.0387085185684099E-2</v>
      </c>
      <c r="F77" s="2">
        <f ca="1"/>
        <v>8.1293812703568544E-2</v>
      </c>
      <c r="G77" s="2">
        <f ca="1"/>
        <v>7.1363726944622854E-2</v>
      </c>
      <c r="H77" s="2" t="str">
        <f ca="1"/>
        <v/>
      </c>
      <c r="I77" s="2" t="str">
        <f ca="1"/>
        <v/>
      </c>
      <c r="J77" s="2" t="str">
        <f ca="1"/>
        <v/>
      </c>
      <c r="K77" s="2" t="str">
        <f ca="1"/>
        <v/>
      </c>
      <c r="L77" s="2" t="str">
        <f ca="1"/>
        <v/>
      </c>
      <c r="M77" s="2" t="str">
        <f ca="1"/>
        <v/>
      </c>
      <c r="N77" s="2" t="str">
        <f ca="1"/>
        <v/>
      </c>
      <c r="O77" s="2" t="str">
        <f ca="1"/>
        <v/>
      </c>
      <c r="P77" s="2" t="str">
        <f ca="1"/>
        <v/>
      </c>
      <c r="Q77" s="2">
        <f ca="1"/>
        <v>8.6206896551724727E-3</v>
      </c>
      <c r="R77" s="2">
        <f ca="1"/>
        <v>3.3114867195584714E-2</v>
      </c>
      <c r="S77" s="2" t="str">
        <f ca="1"/>
        <v/>
      </c>
      <c r="T77" s="2">
        <f ca="1"/>
        <v>6.6232475990711949E-4</v>
      </c>
      <c r="U77" s="2">
        <f ca="1"/>
        <v>-3.8671255655657952E-4</v>
      </c>
      <c r="V77" s="2">
        <f ca="1"/>
        <v>-7.247650004392479E-3</v>
      </c>
      <c r="W77" s="2">
        <f ca="1"/>
        <v>5.9105563362817515E-3</v>
      </c>
      <c r="X77" s="2" t="str">
        <f ca="1"/>
        <v/>
      </c>
      <c r="Y77" s="2" t="str">
        <f ca="1"/>
        <v/>
      </c>
      <c r="Z77" s="2" t="str">
        <f ca="1"/>
        <v/>
      </c>
      <c r="AA77" s="2" t="str">
        <f ca="1"/>
        <v/>
      </c>
      <c r="AB77" s="2" t="str">
        <f ca="1"/>
        <v/>
      </c>
      <c r="AC77" s="2" t="str">
        <f ca="1"/>
        <v/>
      </c>
      <c r="AD77" s="2" t="str">
        <f ca="1"/>
        <v/>
      </c>
      <c r="AE77" s="2" t="str">
        <f ca="1"/>
        <v/>
      </c>
      <c r="AF77" s="2" t="str">
        <f ca="1"/>
        <v/>
      </c>
      <c r="AG77" s="2" t="str">
        <f ca="1"/>
        <v/>
      </c>
      <c r="AH77" s="2">
        <f ca="1"/>
        <v>0.14169999999999999</v>
      </c>
    </row>
    <row r="78" spans="1:34" hidden="1" outlineLevel="1">
      <c r="A78" s="5">
        <f ca="1"/>
        <v>31167</v>
      </c>
      <c r="B78" s="2">
        <f ca="1"/>
        <v>-3.1140794653561994E-3</v>
      </c>
      <c r="C78" s="2" t="str">
        <f ca="1"/>
        <v/>
      </c>
      <c r="D78" s="2" t="str">
        <f ca="1"/>
        <v/>
      </c>
      <c r="E78" s="2">
        <f ca="1"/>
        <v>2.0683888571051436E-2</v>
      </c>
      <c r="F78" s="2">
        <f ca="1"/>
        <v>-1.2378392181952429E-2</v>
      </c>
      <c r="G78" s="2">
        <f ca="1"/>
        <v>6.2414748067622485E-3</v>
      </c>
      <c r="H78" s="2" t="str">
        <f ca="1"/>
        <v/>
      </c>
      <c r="I78" s="2" t="str">
        <f ca="1"/>
        <v/>
      </c>
      <c r="J78" s="2" t="str">
        <f ca="1"/>
        <v/>
      </c>
      <c r="K78" s="2" t="str">
        <f ca="1"/>
        <v/>
      </c>
      <c r="L78" s="2" t="str">
        <f ca="1"/>
        <v/>
      </c>
      <c r="M78" s="2" t="str">
        <f ca="1"/>
        <v/>
      </c>
      <c r="N78" s="2" t="str">
        <f ca="1"/>
        <v/>
      </c>
      <c r="O78" s="2" t="str">
        <f ca="1"/>
        <v/>
      </c>
      <c r="P78" s="2" t="str">
        <f ca="1"/>
        <v/>
      </c>
      <c r="Q78" s="2">
        <f ca="1"/>
        <v>-1.2595591542960017E-2</v>
      </c>
      <c r="R78" s="2">
        <f ca="1"/>
        <v>-3.3388981636053459E-4</v>
      </c>
      <c r="S78" s="2" t="str">
        <f ca="1"/>
        <v/>
      </c>
      <c r="T78" s="2">
        <f ca="1"/>
        <v>-9.4099413262476144E-4</v>
      </c>
      <c r="U78" s="2">
        <f ca="1"/>
        <v>-1.2379589152384741E-3</v>
      </c>
      <c r="V78" s="2">
        <f ca="1"/>
        <v>-1.5087827972213511E-2</v>
      </c>
      <c r="W78" s="2">
        <f ca="1"/>
        <v>1.1361301721658324E-2</v>
      </c>
      <c r="X78" s="2" t="str">
        <f ca="1"/>
        <v/>
      </c>
      <c r="Y78" s="2" t="str">
        <f ca="1"/>
        <v/>
      </c>
      <c r="Z78" s="2" t="str">
        <f ca="1"/>
        <v/>
      </c>
      <c r="AA78" s="2" t="str">
        <f ca="1"/>
        <v/>
      </c>
      <c r="AB78" s="2" t="str">
        <f ca="1"/>
        <v/>
      </c>
      <c r="AC78" s="2" t="str">
        <f ca="1"/>
        <v/>
      </c>
      <c r="AD78" s="2" t="str">
        <f ca="1"/>
        <v/>
      </c>
      <c r="AE78" s="2" t="str">
        <f ca="1"/>
        <v/>
      </c>
      <c r="AF78" s="2" t="str">
        <f ca="1"/>
        <v/>
      </c>
      <c r="AG78" s="2" t="str">
        <f ca="1"/>
        <v/>
      </c>
      <c r="AH78" s="2">
        <f ca="1"/>
        <v>-3.9699999999999999E-2</v>
      </c>
    </row>
    <row r="79" spans="1:34" hidden="1" outlineLevel="1">
      <c r="A79" s="5">
        <f ca="1"/>
        <v>31198</v>
      </c>
      <c r="B79" s="2">
        <f ca="1"/>
        <v>4.2801490045396566E-2</v>
      </c>
      <c r="C79" s="2" t="str">
        <f ca="1"/>
        <v/>
      </c>
      <c r="D79" s="2" t="str">
        <f ca="1"/>
        <v/>
      </c>
      <c r="E79" s="2">
        <f ca="1"/>
        <v>5.2257146552839244E-2</v>
      </c>
      <c r="F79" s="2">
        <f ca="1"/>
        <v>4.3575450059081117E-2</v>
      </c>
      <c r="G79" s="2">
        <f ca="1"/>
        <v>4.136542885310545E-2</v>
      </c>
      <c r="H79" s="2" t="str">
        <f ca="1"/>
        <v/>
      </c>
      <c r="I79" s="2" t="str">
        <f ca="1"/>
        <v/>
      </c>
      <c r="J79" s="2" t="str">
        <f ca="1"/>
        <v/>
      </c>
      <c r="K79" s="2" t="str">
        <f ca="1"/>
        <v/>
      </c>
      <c r="L79" s="2" t="str">
        <f ca="1"/>
        <v/>
      </c>
      <c r="M79" s="2" t="str">
        <f ca="1"/>
        <v/>
      </c>
      <c r="N79" s="2" t="str">
        <f ca="1"/>
        <v/>
      </c>
      <c r="O79" s="2" t="str">
        <f ca="1"/>
        <v/>
      </c>
      <c r="P79" s="2" t="str">
        <f ca="1"/>
        <v/>
      </c>
      <c r="Q79" s="2">
        <f ca="1"/>
        <v>6.4236902050113898E-2</v>
      </c>
      <c r="R79" s="2">
        <f ca="1"/>
        <v>5.5110220440881721E-2</v>
      </c>
      <c r="S79" s="2" t="str">
        <f ca="1"/>
        <v/>
      </c>
      <c r="T79" s="2">
        <f ca="1"/>
        <v>5.7776789189790442E-2</v>
      </c>
      <c r="U79" s="2">
        <f ca="1"/>
        <v>5.9999225316651847E-2</v>
      </c>
      <c r="V79" s="2">
        <f ca="1"/>
        <v>6.0354896675651332E-2</v>
      </c>
      <c r="W79" s="2">
        <f ca="1"/>
        <v>5.9703008511589176E-2</v>
      </c>
      <c r="X79" s="2" t="str">
        <f ca="1"/>
        <v/>
      </c>
      <c r="Y79" s="2" t="str">
        <f ca="1"/>
        <v/>
      </c>
      <c r="Z79" s="2" t="str">
        <f ca="1"/>
        <v/>
      </c>
      <c r="AA79" s="2" t="str">
        <f ca="1"/>
        <v/>
      </c>
      <c r="AB79" s="2" t="str">
        <f ca="1"/>
        <v/>
      </c>
      <c r="AC79" s="2" t="str">
        <f ca="1"/>
        <v/>
      </c>
      <c r="AD79" s="2" t="str">
        <f ca="1"/>
        <v/>
      </c>
      <c r="AE79" s="2" t="str">
        <f ca="1"/>
        <v/>
      </c>
      <c r="AF79" s="2" t="str">
        <f ca="1"/>
        <v/>
      </c>
      <c r="AG79" s="2" t="str">
        <f ca="1"/>
        <v/>
      </c>
      <c r="AH79" s="2">
        <f ca="1"/>
        <v>-8.9999999999999998E-4</v>
      </c>
    </row>
    <row r="80" spans="1:34" hidden="1" outlineLevel="1">
      <c r="A80" s="5">
        <f ca="1"/>
        <v>31226</v>
      </c>
      <c r="B80" s="2">
        <f ca="1"/>
        <v>2.599928024013801E-2</v>
      </c>
      <c r="C80" s="2" t="str">
        <f ca="1"/>
        <v/>
      </c>
      <c r="D80" s="2" t="str">
        <f ca="1"/>
        <v/>
      </c>
      <c r="E80" s="2">
        <f ca="1"/>
        <v>1.0571604179471355E-2</v>
      </c>
      <c r="F80" s="2">
        <f ca="1"/>
        <v>2.5144665750183797E-2</v>
      </c>
      <c r="G80" s="2">
        <f ca="1"/>
        <v>2.8065954005759178E-2</v>
      </c>
      <c r="H80" s="2" t="str">
        <f ca="1"/>
        <v/>
      </c>
      <c r="I80" s="2" t="str">
        <f ca="1"/>
        <v/>
      </c>
      <c r="J80" s="2" t="str">
        <f ca="1"/>
        <v/>
      </c>
      <c r="K80" s="2" t="str">
        <f ca="1"/>
        <v/>
      </c>
      <c r="L80" s="2" t="str">
        <f ca="1"/>
        <v/>
      </c>
      <c r="M80" s="2" t="str">
        <f ca="1"/>
        <v/>
      </c>
      <c r="N80" s="2" t="str">
        <f ca="1"/>
        <v/>
      </c>
      <c r="O80" s="2" t="str">
        <f ca="1"/>
        <v/>
      </c>
      <c r="P80" s="2" t="str">
        <f ca="1"/>
        <v/>
      </c>
      <c r="Q80" s="2">
        <f ca="1"/>
        <v>2.0547945205479472E-2</v>
      </c>
      <c r="R80" s="2">
        <f ca="1"/>
        <v>1.9943019943019911E-2</v>
      </c>
      <c r="S80" s="2" t="str">
        <f ca="1"/>
        <v/>
      </c>
      <c r="T80" s="2">
        <f ca="1"/>
        <v>1.5668689000263643E-2</v>
      </c>
      <c r="U80" s="2">
        <f ca="1"/>
        <v>1.9038222612000215E-2</v>
      </c>
      <c r="V80" s="2">
        <f ca="1"/>
        <v>1.8980235981951844E-2</v>
      </c>
      <c r="W80" s="2">
        <f ca="1"/>
        <v>1.9035387033700151E-2</v>
      </c>
      <c r="X80" s="2" t="str">
        <f ca="1"/>
        <v/>
      </c>
      <c r="Y80" s="2" t="str">
        <f ca="1"/>
        <v/>
      </c>
      <c r="Z80" s="2" t="str">
        <f ca="1"/>
        <v/>
      </c>
      <c r="AA80" s="2" t="str">
        <f ca="1"/>
        <v/>
      </c>
      <c r="AB80" s="2" t="str">
        <f ca="1"/>
        <v/>
      </c>
      <c r="AC80" s="2" t="str">
        <f ca="1"/>
        <v/>
      </c>
      <c r="AD80" s="2" t="str">
        <f ca="1"/>
        <v/>
      </c>
      <c r="AE80" s="2" t="str">
        <f ca="1"/>
        <v/>
      </c>
      <c r="AF80" s="2" t="str">
        <f ca="1"/>
        <v/>
      </c>
      <c r="AG80" s="2" t="str">
        <f ca="1"/>
        <v/>
      </c>
      <c r="AH80" s="2">
        <f ca="1"/>
        <v>4.6999999999999993E-3</v>
      </c>
    </row>
    <row r="81" spans="1:34" hidden="1" outlineLevel="1">
      <c r="A81" s="5">
        <f ca="1"/>
        <v>31259</v>
      </c>
      <c r="B81" s="2">
        <f ca="1"/>
        <v>5.1970336829644151E-2</v>
      </c>
      <c r="C81" s="2" t="str">
        <f ca="1"/>
        <v/>
      </c>
      <c r="D81" s="2" t="str">
        <f ca="1"/>
        <v/>
      </c>
      <c r="E81" s="2">
        <f ca="1"/>
        <v>-3.4870048250415005E-3</v>
      </c>
      <c r="F81" s="2">
        <f ca="1"/>
        <v>5.1275254297193817E-2</v>
      </c>
      <c r="G81" s="2">
        <f ca="1"/>
        <v>5.2738609112709847E-2</v>
      </c>
      <c r="H81" s="2" t="str">
        <f ca="1"/>
        <v/>
      </c>
      <c r="I81" s="2" t="str">
        <f ca="1"/>
        <v/>
      </c>
      <c r="J81" s="2" t="str">
        <f ca="1"/>
        <v/>
      </c>
      <c r="K81" s="2" t="str">
        <f ca="1"/>
        <v/>
      </c>
      <c r="L81" s="2" t="str">
        <f ca="1"/>
        <v/>
      </c>
      <c r="M81" s="2" t="str">
        <f ca="1"/>
        <v/>
      </c>
      <c r="N81" s="2" t="str">
        <f ca="1"/>
        <v/>
      </c>
      <c r="O81" s="2" t="str">
        <f ca="1"/>
        <v/>
      </c>
      <c r="P81" s="2" t="str">
        <f ca="1"/>
        <v/>
      </c>
      <c r="Q81" s="2">
        <f ca="1"/>
        <v>-1.2374161073825427E-2</v>
      </c>
      <c r="R81" s="2">
        <f ca="1"/>
        <v>-3.6002482929857235E-2</v>
      </c>
      <c r="S81" s="2" t="str">
        <f ca="1"/>
        <v/>
      </c>
      <c r="T81" s="2">
        <f ca="1"/>
        <v>-1.4594735470422075E-3</v>
      </c>
      <c r="U81" s="2">
        <f ca="1"/>
        <v>-5.9525943988239143E-3</v>
      </c>
      <c r="V81" s="2">
        <f ca="1"/>
        <v>-4.2201110117872677E-3</v>
      </c>
      <c r="W81" s="2">
        <f ca="1"/>
        <v>-7.5245960232509755E-3</v>
      </c>
      <c r="X81" s="2" t="str">
        <f ca="1"/>
        <v/>
      </c>
      <c r="Y81" s="2" t="str">
        <f ca="1"/>
        <v/>
      </c>
      <c r="Z81" s="2" t="str">
        <f ca="1"/>
        <v/>
      </c>
      <c r="AA81" s="2" t="str">
        <f ca="1"/>
        <v/>
      </c>
      <c r="AB81" s="2" t="str">
        <f ca="1"/>
        <v/>
      </c>
      <c r="AC81" s="2" t="str">
        <f ca="1"/>
        <v/>
      </c>
      <c r="AD81" s="2" t="str">
        <f ca="1"/>
        <v/>
      </c>
      <c r="AE81" s="2" t="str">
        <f ca="1"/>
        <v/>
      </c>
      <c r="AF81" s="2" t="str">
        <f ca="1"/>
        <v/>
      </c>
      <c r="AG81" s="2" t="str">
        <f ca="1"/>
        <v/>
      </c>
      <c r="AH81" s="2">
        <f ca="1"/>
        <v>2.9600000000000001E-2</v>
      </c>
    </row>
    <row r="82" spans="1:34" hidden="1" outlineLevel="1">
      <c r="A82" s="5">
        <f ca="1"/>
        <v>31289</v>
      </c>
      <c r="B82" s="2">
        <f ca="1"/>
        <v>3.2426247148778772E-2</v>
      </c>
      <c r="C82" s="2" t="str">
        <f ca="1"/>
        <v/>
      </c>
      <c r="D82" s="2" t="str">
        <f ca="1"/>
        <v/>
      </c>
      <c r="E82" s="2">
        <f ca="1"/>
        <v>1.8798063229848949E-2</v>
      </c>
      <c r="F82" s="2">
        <f ca="1"/>
        <v>2.117097963986583E-2</v>
      </c>
      <c r="G82" s="2">
        <f ca="1"/>
        <v>4.3700112986113676E-2</v>
      </c>
      <c r="H82" s="2" t="str">
        <f ca="1"/>
        <v/>
      </c>
      <c r="I82" s="2" t="str">
        <f ca="1"/>
        <v/>
      </c>
      <c r="J82" s="2" t="str">
        <f ca="1"/>
        <v/>
      </c>
      <c r="K82" s="2" t="str">
        <f ca="1"/>
        <v/>
      </c>
      <c r="L82" s="2" t="str">
        <f ca="1"/>
        <v/>
      </c>
      <c r="M82" s="2" t="str">
        <f ca="1"/>
        <v/>
      </c>
      <c r="N82" s="2" t="str">
        <f ca="1"/>
        <v/>
      </c>
      <c r="O82" s="2" t="str">
        <f ca="1"/>
        <v/>
      </c>
      <c r="P82" s="2" t="str">
        <f ca="1"/>
        <v/>
      </c>
      <c r="Q82" s="2">
        <f ca="1"/>
        <v>-5.308982798895732E-3</v>
      </c>
      <c r="R82" s="2">
        <f ca="1"/>
        <v>5.1513200257566052E-3</v>
      </c>
      <c r="S82" s="2" t="str">
        <f ca="1"/>
        <v/>
      </c>
      <c r="T82" s="2">
        <f ca="1"/>
        <v>-8.5899853341712719E-3</v>
      </c>
      <c r="U82" s="2">
        <f ca="1"/>
        <v>-3.2827098589515826E-3</v>
      </c>
      <c r="V82" s="2">
        <f ca="1"/>
        <v>-9.1649269311064735E-3</v>
      </c>
      <c r="W82" s="2">
        <f ca="1"/>
        <v>2.426126348111225E-3</v>
      </c>
      <c r="X82" s="2" t="str">
        <f ca="1"/>
        <v/>
      </c>
      <c r="Y82" s="2" t="str">
        <f ca="1"/>
        <v/>
      </c>
      <c r="Z82" s="2" t="str">
        <f ca="1"/>
        <v/>
      </c>
      <c r="AA82" s="2" t="str">
        <f ca="1"/>
        <v/>
      </c>
      <c r="AB82" s="2" t="str">
        <f ca="1"/>
        <v/>
      </c>
      <c r="AC82" s="2" t="str">
        <f ca="1"/>
        <v/>
      </c>
      <c r="AD82" s="2" t="str">
        <f ca="1"/>
        <v/>
      </c>
      <c r="AE82" s="2" t="str">
        <f ca="1"/>
        <v/>
      </c>
      <c r="AF82" s="2" t="str">
        <f ca="1"/>
        <v/>
      </c>
      <c r="AG82" s="2" t="str">
        <f ca="1"/>
        <v/>
      </c>
      <c r="AH82" s="2">
        <f ca="1"/>
        <v>2.5399999999999999E-2</v>
      </c>
    </row>
    <row r="83" spans="1:34" hidden="1" outlineLevel="1">
      <c r="A83" s="5">
        <f ca="1"/>
        <v>31320</v>
      </c>
      <c r="B83" s="2">
        <f ca="1"/>
        <v>5.8835510863182602E-2</v>
      </c>
      <c r="C83" s="2" t="str">
        <f ca="1"/>
        <v/>
      </c>
      <c r="D83" s="2" t="str">
        <f ca="1"/>
        <v/>
      </c>
      <c r="E83" s="2">
        <f ca="1"/>
        <v>6.0305922760494407E-3</v>
      </c>
      <c r="F83" s="2">
        <f ca="1"/>
        <v>4.0299699816016256E-2</v>
      </c>
      <c r="G83" s="2">
        <f ca="1"/>
        <v>7.7472412348093309E-2</v>
      </c>
      <c r="H83" s="2" t="str">
        <f ca="1"/>
        <v/>
      </c>
      <c r="I83" s="2" t="str">
        <f ca="1"/>
        <v/>
      </c>
      <c r="J83" s="2" t="str">
        <f ca="1"/>
        <v/>
      </c>
      <c r="K83" s="2" t="str">
        <f ca="1"/>
        <v/>
      </c>
      <c r="L83" s="2" t="str">
        <f ca="1"/>
        <v/>
      </c>
      <c r="M83" s="2" t="str">
        <f ca="1"/>
        <v/>
      </c>
      <c r="N83" s="2" t="str">
        <f ca="1"/>
        <v/>
      </c>
      <c r="O83" s="2" t="str">
        <f ca="1"/>
        <v/>
      </c>
      <c r="P83" s="2" t="str">
        <f ca="1"/>
        <v/>
      </c>
      <c r="Q83" s="2">
        <f ca="1"/>
        <v>-2.9888983774551785E-2</v>
      </c>
      <c r="R83" s="2">
        <f ca="1"/>
        <v>-3.1390134529147996E-2</v>
      </c>
      <c r="S83" s="2" t="str">
        <f ca="1"/>
        <v/>
      </c>
      <c r="T83" s="2">
        <f ca="1"/>
        <v>-3.1278163600699696E-2</v>
      </c>
      <c r="U83" s="2">
        <f ca="1"/>
        <v>-3.6228736880202644E-2</v>
      </c>
      <c r="V83" s="2">
        <f ca="1"/>
        <v>-3.527106466361854E-2</v>
      </c>
      <c r="W83" s="2">
        <f ca="1"/>
        <v>-3.717359653601076E-2</v>
      </c>
      <c r="X83" s="2" t="str">
        <f ca="1"/>
        <v/>
      </c>
      <c r="Y83" s="2" t="str">
        <f ca="1"/>
        <v/>
      </c>
      <c r="Z83" s="2" t="str">
        <f ca="1"/>
        <v/>
      </c>
      <c r="AA83" s="2" t="str">
        <f ca="1"/>
        <v/>
      </c>
      <c r="AB83" s="2" t="str">
        <f ca="1"/>
        <v/>
      </c>
      <c r="AC83" s="2" t="str">
        <f ca="1"/>
        <v/>
      </c>
      <c r="AD83" s="2" t="str">
        <f ca="1"/>
        <v/>
      </c>
      <c r="AE83" s="2" t="str">
        <f ca="1"/>
        <v/>
      </c>
      <c r="AF83" s="2" t="str">
        <f ca="1"/>
        <v/>
      </c>
      <c r="AG83" s="2" t="str">
        <f ca="1"/>
        <v/>
      </c>
      <c r="AH83" s="2">
        <f ca="1"/>
        <v>-3.7599999999999995E-2</v>
      </c>
    </row>
    <row r="84" spans="1:34" hidden="1" outlineLevel="1">
      <c r="A84" s="5">
        <f ca="1"/>
        <v>31351</v>
      </c>
      <c r="B84" s="2">
        <f ca="1"/>
        <v>6.8343896170516463E-2</v>
      </c>
      <c r="C84" s="2" t="str">
        <f ca="1"/>
        <v/>
      </c>
      <c r="D84" s="2" t="str">
        <f ca="1"/>
        <v/>
      </c>
      <c r="E84" s="2">
        <f ca="1"/>
        <v>2.0960698689956338E-2</v>
      </c>
      <c r="F84" s="2">
        <f ca="1"/>
        <v>7.0854286558675705E-2</v>
      </c>
      <c r="G84" s="2">
        <f ca="1"/>
        <v>6.8628563094524336E-2</v>
      </c>
      <c r="H84" s="2" t="str">
        <f ca="1"/>
        <v/>
      </c>
      <c r="I84" s="2" t="str">
        <f ca="1"/>
        <v/>
      </c>
      <c r="J84" s="2" t="str">
        <f ca="1"/>
        <v/>
      </c>
      <c r="K84" s="2" t="str">
        <f ca="1"/>
        <v/>
      </c>
      <c r="L84" s="2" t="str">
        <f ca="1"/>
        <v/>
      </c>
      <c r="M84" s="2" t="str">
        <f ca="1"/>
        <v/>
      </c>
      <c r="N84" s="2" t="str">
        <f ca="1"/>
        <v/>
      </c>
      <c r="O84" s="2" t="str">
        <f ca="1"/>
        <v/>
      </c>
      <c r="P84" s="2" t="str">
        <f ca="1"/>
        <v/>
      </c>
      <c r="Q84" s="2">
        <f ca="1"/>
        <v>4.3573943661971919E-2</v>
      </c>
      <c r="R84" s="2">
        <f ca="1"/>
        <v>6.9444444444444614E-2</v>
      </c>
      <c r="S84" s="2" t="str">
        <f ca="1"/>
        <v/>
      </c>
      <c r="T84" s="2">
        <f ca="1"/>
        <v>4.6188488576449763E-2</v>
      </c>
      <c r="U84" s="2">
        <f ca="1"/>
        <v>4.7279281985804861E-2</v>
      </c>
      <c r="V84" s="2">
        <f ca="1"/>
        <v>4.3200034944416571E-2</v>
      </c>
      <c r="W84" s="2">
        <f ca="1"/>
        <v>5.1393334773472583E-2</v>
      </c>
      <c r="X84" s="2" t="str">
        <f ca="1"/>
        <v/>
      </c>
      <c r="Y84" s="2" t="str">
        <f ca="1"/>
        <v/>
      </c>
      <c r="Z84" s="2" t="str">
        <f ca="1"/>
        <v/>
      </c>
      <c r="AA84" s="2" t="str">
        <f ca="1"/>
        <v/>
      </c>
      <c r="AB84" s="2" t="str">
        <f ca="1"/>
        <v/>
      </c>
      <c r="AC84" s="2" t="str">
        <f ca="1"/>
        <v/>
      </c>
      <c r="AD84" s="2" t="str">
        <f ca="1"/>
        <v/>
      </c>
      <c r="AE84" s="2" t="str">
        <f ca="1"/>
        <v/>
      </c>
      <c r="AF84" s="2" t="str">
        <f ca="1"/>
        <v/>
      </c>
      <c r="AG84" s="2" t="str">
        <f ca="1"/>
        <v/>
      </c>
      <c r="AH84" s="2">
        <f ca="1"/>
        <v>1.21E-2</v>
      </c>
    </row>
    <row r="85" spans="1:34" hidden="1" outlineLevel="1">
      <c r="A85" s="5">
        <f ca="1"/>
        <v>31380</v>
      </c>
      <c r="B85" s="2">
        <f ca="1"/>
        <v>4.1350681878275931E-2</v>
      </c>
      <c r="C85" s="2" t="str">
        <f ca="1"/>
        <v/>
      </c>
      <c r="D85" s="2" t="str">
        <f ca="1"/>
        <v/>
      </c>
      <c r="E85" s="2">
        <f ca="1"/>
        <v>2.4029862353215671E-2</v>
      </c>
      <c r="F85" s="2">
        <f ca="1"/>
        <v>3.4695496278589685E-2</v>
      </c>
      <c r="G85" s="2">
        <f ca="1"/>
        <v>4.7176392090258243E-2</v>
      </c>
      <c r="H85" s="2" t="str">
        <f ca="1"/>
        <v/>
      </c>
      <c r="I85" s="2" t="str">
        <f ca="1"/>
        <v/>
      </c>
      <c r="J85" s="2" t="str">
        <f ca="1"/>
        <v/>
      </c>
      <c r="K85" s="2" t="str">
        <f ca="1"/>
        <v/>
      </c>
      <c r="L85" s="2" t="str">
        <f ca="1"/>
        <v/>
      </c>
      <c r="M85" s="2" t="str">
        <f ca="1"/>
        <v/>
      </c>
      <c r="N85" s="2" t="str">
        <f ca="1"/>
        <v/>
      </c>
      <c r="O85" s="2" t="str">
        <f ca="1"/>
        <v/>
      </c>
      <c r="P85" s="2" t="str">
        <f ca="1"/>
        <v/>
      </c>
      <c r="Q85" s="2">
        <f ca="1"/>
        <v>7.6549978911851446E-2</v>
      </c>
      <c r="R85" s="2">
        <f ca="1"/>
        <v>6.5553494124922604E-2</v>
      </c>
      <c r="S85" s="2" t="str">
        <f ca="1"/>
        <v/>
      </c>
      <c r="T85" s="2">
        <f ca="1"/>
        <v>6.8591297018227707E-2</v>
      </c>
      <c r="U85" s="2">
        <f ca="1"/>
        <v>7.0567986230636856E-2</v>
      </c>
      <c r="V85" s="2">
        <f ca="1"/>
        <v>8.6171883178059239E-2</v>
      </c>
      <c r="W85" s="2">
        <f ca="1"/>
        <v>5.5306511263028241E-2</v>
      </c>
      <c r="X85" s="2" t="str">
        <f ca="1"/>
        <v/>
      </c>
      <c r="Y85" s="2" t="str">
        <f ca="1"/>
        <v/>
      </c>
      <c r="Z85" s="2" t="str">
        <f ca="1"/>
        <v/>
      </c>
      <c r="AA85" s="2" t="str">
        <f ca="1"/>
        <v/>
      </c>
      <c r="AB85" s="2" t="str">
        <f ca="1"/>
        <v/>
      </c>
      <c r="AC85" s="2" t="str">
        <f ca="1"/>
        <v/>
      </c>
      <c r="AD85" s="2" t="str">
        <f ca="1"/>
        <v/>
      </c>
      <c r="AE85" s="2" t="str">
        <f ca="1"/>
        <v/>
      </c>
      <c r="AF85" s="2" t="str">
        <f ca="1"/>
        <v/>
      </c>
      <c r="AG85" s="2" t="str">
        <f ca="1"/>
        <v/>
      </c>
      <c r="AH85" s="2">
        <f ca="1"/>
        <v>-1.1599999999999999E-2</v>
      </c>
    </row>
    <row r="86" spans="1:34" hidden="1" outlineLevel="1">
      <c r="A86" s="5">
        <f ca="1"/>
        <v>31412</v>
      </c>
      <c r="B86" s="2">
        <f ca="1"/>
        <v>4.7656359529558316E-2</v>
      </c>
      <c r="C86" s="2" t="str">
        <f ca="1"/>
        <v/>
      </c>
      <c r="D86" s="2" t="str">
        <f ca="1"/>
        <v/>
      </c>
      <c r="E86" s="2">
        <f ca="1"/>
        <v>3.0566524908870029E-2</v>
      </c>
      <c r="F86" s="2">
        <f ca="1"/>
        <v>4.252521837018864E-2</v>
      </c>
      <c r="G86" s="2">
        <f ca="1"/>
        <v>5.3261892694229367E-2</v>
      </c>
      <c r="H86" s="2" t="str">
        <f ca="1"/>
        <v/>
      </c>
      <c r="I86" s="2" t="str">
        <f ca="1"/>
        <v/>
      </c>
      <c r="J86" s="2" t="str">
        <f ca="1"/>
        <v/>
      </c>
      <c r="K86" s="2" t="str">
        <f ca="1"/>
        <v/>
      </c>
      <c r="L86" s="2" t="str">
        <f ca="1"/>
        <v/>
      </c>
      <c r="M86" s="2" t="str">
        <f ca="1"/>
        <v/>
      </c>
      <c r="N86" s="2" t="str">
        <f ca="1"/>
        <v/>
      </c>
      <c r="O86" s="2" t="str">
        <f ca="1"/>
        <v/>
      </c>
      <c r="P86" s="2" t="str">
        <f ca="1"/>
        <v/>
      </c>
      <c r="Q86" s="2">
        <f ca="1"/>
        <v>5.3672869735553422E-2</v>
      </c>
      <c r="R86" s="2">
        <f ca="1"/>
        <v>3.8595473012187992E-2</v>
      </c>
      <c r="S86" s="2" t="str">
        <f ca="1"/>
        <v/>
      </c>
      <c r="T86" s="2">
        <f ca="1"/>
        <v>4.8375129841222844E-2</v>
      </c>
      <c r="U86" s="2">
        <f ca="1"/>
        <v>4.3810289389067468E-2</v>
      </c>
      <c r="V86" s="2">
        <f ca="1"/>
        <v>5.1830149765810227E-2</v>
      </c>
      <c r="W86" s="2">
        <f ca="1"/>
        <v>3.5752845183100512E-2</v>
      </c>
      <c r="X86" s="2" t="str">
        <f ca="1"/>
        <v/>
      </c>
      <c r="Y86" s="2" t="str">
        <f ca="1"/>
        <v/>
      </c>
      <c r="Z86" s="2" t="str">
        <f ca="1"/>
        <v/>
      </c>
      <c r="AA86" s="2" t="str">
        <f ca="1"/>
        <v/>
      </c>
      <c r="AB86" s="2" t="str">
        <f ca="1"/>
        <v/>
      </c>
      <c r="AC86" s="2" t="str">
        <f ca="1"/>
        <v/>
      </c>
      <c r="AD86" s="2" t="str">
        <f ca="1"/>
        <v/>
      </c>
      <c r="AE86" s="2" t="str">
        <f ca="1"/>
        <v/>
      </c>
      <c r="AF86" s="2" t="str">
        <f ca="1"/>
        <v/>
      </c>
      <c r="AG86" s="2" t="str">
        <f ca="1"/>
        <v/>
      </c>
      <c r="AH86" s="2">
        <f ca="1"/>
        <v>2.5399999999999999E-2</v>
      </c>
    </row>
    <row r="87" spans="1:34" hidden="1" outlineLevel="1">
      <c r="A87" s="5">
        <f ca="1"/>
        <v>31443</v>
      </c>
      <c r="B87" s="2">
        <f ca="1"/>
        <v>2.5360460223361241E-2</v>
      </c>
      <c r="C87" s="2" t="str">
        <f ca="1"/>
        <v/>
      </c>
      <c r="D87" s="2" t="str">
        <f ca="1"/>
        <v/>
      </c>
      <c r="E87" s="2">
        <f ca="1"/>
        <v>5.5635385579012962E-3</v>
      </c>
      <c r="F87" s="2">
        <f ca="1"/>
        <v>2.2573022367538331E-2</v>
      </c>
      <c r="G87" s="2">
        <f ca="1"/>
        <v>2.5407999120069164E-2</v>
      </c>
      <c r="H87" s="2" t="str">
        <f ca="1"/>
        <v/>
      </c>
      <c r="I87" s="2" t="str">
        <f ca="1"/>
        <v/>
      </c>
      <c r="J87" s="2" t="str">
        <f ca="1"/>
        <v/>
      </c>
      <c r="K87" s="2" t="str">
        <f ca="1"/>
        <v/>
      </c>
      <c r="L87" s="2" t="str">
        <f ca="1"/>
        <v/>
      </c>
      <c r="M87" s="2" t="str">
        <f ca="1"/>
        <v/>
      </c>
      <c r="N87" s="2" t="str">
        <f ca="1"/>
        <v/>
      </c>
      <c r="O87" s="2" t="str">
        <f ca="1"/>
        <v/>
      </c>
      <c r="P87" s="2" t="str">
        <f ca="1"/>
        <v/>
      </c>
      <c r="Q87" s="2">
        <f ca="1"/>
        <v>5.5772448410486017E-3</v>
      </c>
      <c r="R87" s="2">
        <f ca="1"/>
        <v>2.3190835428890708E-2</v>
      </c>
      <c r="S87" s="2" t="str">
        <f ca="1"/>
        <v/>
      </c>
      <c r="T87" s="2">
        <f ca="1"/>
        <v>5.5850056796665996E-3</v>
      </c>
      <c r="U87" s="2">
        <f ca="1"/>
        <v>1.0813759466050586E-2</v>
      </c>
      <c r="V87" s="2">
        <f ca="1"/>
        <v>8.0813633864761317E-3</v>
      </c>
      <c r="W87" s="2">
        <f ca="1"/>
        <v>1.3448623523983648E-2</v>
      </c>
      <c r="X87" s="2" t="str">
        <f ca="1"/>
        <v/>
      </c>
      <c r="Y87" s="2" t="str">
        <f ca="1"/>
        <v/>
      </c>
      <c r="Z87" s="2" t="str">
        <f ca="1"/>
        <v/>
      </c>
      <c r="AA87" s="2" t="str">
        <f ca="1"/>
        <v/>
      </c>
      <c r="AB87" s="2" t="str">
        <f ca="1"/>
        <v/>
      </c>
      <c r="AC87" s="2" t="str">
        <f ca="1"/>
        <v/>
      </c>
      <c r="AD87" s="2" t="str">
        <f ca="1"/>
        <v/>
      </c>
      <c r="AE87" s="2" t="str">
        <f ca="1"/>
        <v/>
      </c>
      <c r="AF87" s="2" t="str">
        <f ca="1"/>
        <v/>
      </c>
      <c r="AG87" s="2" t="str">
        <f ca="1"/>
        <v/>
      </c>
      <c r="AH87" s="2">
        <f ca="1"/>
        <v>5.3499999999999999E-2</v>
      </c>
    </row>
    <row r="88" spans="1:34" hidden="1" outlineLevel="1">
      <c r="A88" s="5">
        <f ca="1"/>
        <v>31471</v>
      </c>
      <c r="B88" s="2">
        <f ca="1"/>
        <v>0.11108049750652189</v>
      </c>
      <c r="C88" s="2" t="str">
        <f ca="1"/>
        <v/>
      </c>
      <c r="D88" s="2" t="str">
        <f ca="1"/>
        <v/>
      </c>
      <c r="E88" s="2">
        <f ca="1"/>
        <v>3.9425472665982668E-2</v>
      </c>
      <c r="F88" s="2">
        <f ca="1"/>
        <v>0.11367746663672158</v>
      </c>
      <c r="G88" s="2">
        <f ca="1"/>
        <v>0.11135543905284198</v>
      </c>
      <c r="H88" s="2" t="str">
        <f ca="1"/>
        <v/>
      </c>
      <c r="I88" s="2" t="str">
        <f ca="1"/>
        <v/>
      </c>
      <c r="J88" s="2" t="str">
        <f ca="1"/>
        <v/>
      </c>
      <c r="K88" s="2" t="str">
        <f ca="1"/>
        <v/>
      </c>
      <c r="L88" s="2" t="str">
        <f ca="1"/>
        <v/>
      </c>
      <c r="M88" s="2" t="str">
        <f ca="1"/>
        <v/>
      </c>
      <c r="N88" s="2" t="str">
        <f ca="1"/>
        <v/>
      </c>
      <c r="O88" s="2" t="str">
        <f ca="1"/>
        <v/>
      </c>
      <c r="P88" s="2" t="str">
        <f ca="1"/>
        <v/>
      </c>
      <c r="Q88" s="2">
        <f ca="1"/>
        <v>8.726197078942502E-2</v>
      </c>
      <c r="R88" s="2">
        <f ca="1"/>
        <v>8.6018569087930249E-2</v>
      </c>
      <c r="S88" s="2" t="str">
        <f ca="1"/>
        <v/>
      </c>
      <c r="T88" s="2">
        <f ca="1"/>
        <v>7.4747379355935437E-2</v>
      </c>
      <c r="U88" s="2">
        <f ca="1"/>
        <v>7.7076918193073329E-2</v>
      </c>
      <c r="V88" s="2">
        <f ca="1"/>
        <v>7.9529548635727393E-2</v>
      </c>
      <c r="W88" s="2">
        <f ca="1"/>
        <v>7.4376960172663834E-2</v>
      </c>
      <c r="X88" s="2" t="str">
        <f ca="1"/>
        <v/>
      </c>
      <c r="Y88" s="2" t="str">
        <f ca="1"/>
        <v/>
      </c>
      <c r="Z88" s="2" t="str">
        <f ca="1"/>
        <v/>
      </c>
      <c r="AA88" s="2" t="str">
        <f ca="1"/>
        <v/>
      </c>
      <c r="AB88" s="2" t="str">
        <f ca="1"/>
        <v/>
      </c>
      <c r="AC88" s="2" t="str">
        <f ca="1"/>
        <v/>
      </c>
      <c r="AD88" s="2" t="str">
        <f ca="1"/>
        <v/>
      </c>
      <c r="AE88" s="2" t="str">
        <f ca="1"/>
        <v/>
      </c>
      <c r="AF88" s="2" t="str">
        <f ca="1"/>
        <v/>
      </c>
      <c r="AG88" s="2" t="str">
        <f ca="1"/>
        <v/>
      </c>
      <c r="AH88" s="2">
        <f ca="1"/>
        <v>-2.2400000000000003E-2</v>
      </c>
    </row>
    <row r="89" spans="1:34" hidden="1" outlineLevel="1">
      <c r="A89" s="5">
        <f ca="1"/>
        <v>31502</v>
      </c>
      <c r="B89" s="2">
        <f ca="1"/>
        <v>0.14089924301748888</v>
      </c>
      <c r="C89" s="2" t="str">
        <f ca="1"/>
        <v/>
      </c>
      <c r="D89" s="2" t="str">
        <f ca="1"/>
        <v/>
      </c>
      <c r="E89" s="2">
        <f ca="1"/>
        <v>3.1056119571348004E-2</v>
      </c>
      <c r="F89" s="2">
        <f ca="1"/>
        <v>0.14842666496844126</v>
      </c>
      <c r="G89" s="2">
        <f ca="1"/>
        <v>0.13098713896194766</v>
      </c>
      <c r="H89" s="2" t="str">
        <f ca="1"/>
        <v/>
      </c>
      <c r="I89" s="2" t="str">
        <f ca="1"/>
        <v/>
      </c>
      <c r="J89" s="2" t="str">
        <f ca="1"/>
        <v/>
      </c>
      <c r="K89" s="2" t="str">
        <f ca="1"/>
        <v/>
      </c>
      <c r="L89" s="2" t="str">
        <f ca="1"/>
        <v/>
      </c>
      <c r="M89" s="2" t="str">
        <f ca="1"/>
        <v/>
      </c>
      <c r="N89" s="2" t="str">
        <f ca="1"/>
        <v/>
      </c>
      <c r="O89" s="2" t="str">
        <f ca="1"/>
        <v/>
      </c>
      <c r="P89" s="2" t="str">
        <f ca="1"/>
        <v/>
      </c>
      <c r="Q89" s="2">
        <f ca="1"/>
        <v>8.0938615881652756E-2</v>
      </c>
      <c r="R89" s="2">
        <f ca="1"/>
        <v>8.6497359818958966E-2</v>
      </c>
      <c r="S89" s="2" t="str">
        <f ca="1"/>
        <v/>
      </c>
      <c r="T89" s="2">
        <f ca="1"/>
        <v>5.579058699101011E-2</v>
      </c>
      <c r="U89" s="2">
        <f ca="1"/>
        <v>5.3995107430221907E-2</v>
      </c>
      <c r="V89" s="2">
        <f ca="1"/>
        <v>6.2152695921597605E-2</v>
      </c>
      <c r="W89" s="2">
        <f ca="1"/>
        <v>4.6220004080543768E-2</v>
      </c>
      <c r="X89" s="2" t="str">
        <f ca="1"/>
        <v/>
      </c>
      <c r="Y89" s="2" t="str">
        <f ca="1"/>
        <v/>
      </c>
      <c r="Z89" s="2" t="str">
        <f ca="1"/>
        <v/>
      </c>
      <c r="AA89" s="2" t="str">
        <f ca="1"/>
        <v/>
      </c>
      <c r="AB89" s="2" t="str">
        <f ca="1"/>
        <v/>
      </c>
      <c r="AC89" s="2" t="str">
        <f ca="1"/>
        <v/>
      </c>
      <c r="AD89" s="2" t="str">
        <f ca="1"/>
        <v/>
      </c>
      <c r="AE89" s="2" t="str">
        <f ca="1"/>
        <v/>
      </c>
      <c r="AF89" s="2" t="str">
        <f ca="1"/>
        <v/>
      </c>
      <c r="AG89" s="2" t="str">
        <f ca="1"/>
        <v/>
      </c>
      <c r="AH89" s="2">
        <f ca="1"/>
        <v>-2.8999999999999998E-2</v>
      </c>
    </row>
    <row r="90" spans="1:34" hidden="1" outlineLevel="1">
      <c r="A90" s="5">
        <f ca="1"/>
        <v>31532</v>
      </c>
      <c r="B90" s="2">
        <f ca="1"/>
        <v>6.5749058807513874E-2</v>
      </c>
      <c r="C90" s="2" t="str">
        <f ca="1"/>
        <v/>
      </c>
      <c r="D90" s="2" t="str">
        <f ca="1"/>
        <v/>
      </c>
      <c r="E90" s="2">
        <f ca="1"/>
        <v>5.2993264726999599E-3</v>
      </c>
      <c r="F90" s="2">
        <f ca="1"/>
        <v>4.577780995408192E-2</v>
      </c>
      <c r="G90" s="2">
        <f ca="1"/>
        <v>8.6235772270996269E-2</v>
      </c>
      <c r="H90" s="2" t="str">
        <f ca="1"/>
        <v/>
      </c>
      <c r="I90" s="2" t="str">
        <f ca="1"/>
        <v/>
      </c>
      <c r="J90" s="2" t="str">
        <f ca="1"/>
        <v/>
      </c>
      <c r="K90" s="2" t="str">
        <f ca="1"/>
        <v/>
      </c>
      <c r="L90" s="2" t="str">
        <f ca="1"/>
        <v/>
      </c>
      <c r="M90" s="2" t="str">
        <f ca="1"/>
        <v/>
      </c>
      <c r="N90" s="2" t="str">
        <f ca="1"/>
        <v/>
      </c>
      <c r="O90" s="2" t="str">
        <f ca="1"/>
        <v/>
      </c>
      <c r="P90" s="2" t="str">
        <f ca="1"/>
        <v/>
      </c>
      <c r="Q90" s="2">
        <f ca="1"/>
        <v>-7.550731477111796E-3</v>
      </c>
      <c r="R90" s="2">
        <f ca="1"/>
        <v>-1.8282804906271675E-2</v>
      </c>
      <c r="S90" s="2" t="str">
        <f ca="1"/>
        <v/>
      </c>
      <c r="T90" s="2">
        <f ca="1"/>
        <v>-1.1259941398074479E-2</v>
      </c>
      <c r="U90" s="2">
        <f ca="1"/>
        <v>-1.0709991331338722E-2</v>
      </c>
      <c r="V90" s="2">
        <f ca="1"/>
        <v>1.2841447754332494E-3</v>
      </c>
      <c r="W90" s="2">
        <f ca="1"/>
        <v>-2.287660136209543E-2</v>
      </c>
      <c r="X90" s="2" t="str">
        <f ca="1"/>
        <v/>
      </c>
      <c r="Y90" s="2" t="str">
        <f ca="1"/>
        <v/>
      </c>
      <c r="Z90" s="2" t="str">
        <f ca="1"/>
        <v/>
      </c>
      <c r="AA90" s="2" t="str">
        <f ca="1"/>
        <v/>
      </c>
      <c r="AB90" s="2" t="str">
        <f ca="1"/>
        <v/>
      </c>
      <c r="AC90" s="2" t="str">
        <f ca="1"/>
        <v/>
      </c>
      <c r="AD90" s="2" t="str">
        <f ca="1"/>
        <v/>
      </c>
      <c r="AE90" s="2" t="str">
        <f ca="1"/>
        <v/>
      </c>
      <c r="AF90" s="2" t="str">
        <f ca="1"/>
        <v/>
      </c>
      <c r="AG90" s="2" t="str">
        <f ca="1"/>
        <v/>
      </c>
      <c r="AH90" s="2">
        <f ca="1"/>
        <v>5.1299999999999998E-2</v>
      </c>
    </row>
    <row r="91" spans="1:34" hidden="1" outlineLevel="1">
      <c r="A91" s="5">
        <f ca="1"/>
        <v>31562</v>
      </c>
      <c r="B91" s="2">
        <f ca="1"/>
        <v>-4.4234204063406932E-2</v>
      </c>
      <c r="C91" s="2" t="str">
        <f ca="1"/>
        <v/>
      </c>
      <c r="D91" s="2" t="str">
        <f ca="1"/>
        <v/>
      </c>
      <c r="E91" s="2">
        <f ca="1"/>
        <v>-1.9113045844102856E-2</v>
      </c>
      <c r="F91" s="2">
        <f ca="1"/>
        <v>-3.6217816532139194E-2</v>
      </c>
      <c r="G91" s="2">
        <f ca="1"/>
        <v>-5.1783908000824948E-2</v>
      </c>
      <c r="H91" s="2" t="str">
        <f ca="1"/>
        <v/>
      </c>
      <c r="I91" s="2" t="str">
        <f ca="1"/>
        <v/>
      </c>
      <c r="J91" s="2" t="str">
        <f ca="1"/>
        <v/>
      </c>
      <c r="K91" s="2" t="str">
        <f ca="1"/>
        <v/>
      </c>
      <c r="L91" s="2" t="str">
        <f ca="1"/>
        <v/>
      </c>
      <c r="M91" s="2" t="str">
        <f ca="1"/>
        <v/>
      </c>
      <c r="N91" s="2" t="str">
        <f ca="1"/>
        <v/>
      </c>
      <c r="O91" s="2" t="str">
        <f ca="1"/>
        <v/>
      </c>
      <c r="P91" s="2" t="str">
        <f ca="1"/>
        <v/>
      </c>
      <c r="Q91" s="2">
        <f ca="1"/>
        <v>6.292597876050085E-2</v>
      </c>
      <c r="R91" s="2">
        <f ca="1"/>
        <v>6.9542668552569437E-2</v>
      </c>
      <c r="S91" s="2" t="str">
        <f ca="1"/>
        <v/>
      </c>
      <c r="T91" s="2">
        <f ca="1"/>
        <v>5.3201426630434707E-2</v>
      </c>
      <c r="U91" s="2">
        <f ca="1"/>
        <v>5.3960088190400914E-2</v>
      </c>
      <c r="V91" s="2">
        <f ca="1"/>
        <v>5.7680737198771342E-2</v>
      </c>
      <c r="W91" s="2">
        <f ca="1"/>
        <v>5.0017655096181834E-2</v>
      </c>
      <c r="X91" s="2" t="str">
        <f ca="1"/>
        <v/>
      </c>
      <c r="Y91" s="2" t="str">
        <f ca="1"/>
        <v/>
      </c>
      <c r="Z91" s="2" t="str">
        <f ca="1"/>
        <v/>
      </c>
      <c r="AA91" s="2" t="str">
        <f ca="1"/>
        <v/>
      </c>
      <c r="AB91" s="2" t="str">
        <f ca="1"/>
        <v/>
      </c>
      <c r="AC91" s="2" t="str">
        <f ca="1"/>
        <v/>
      </c>
      <c r="AD91" s="2" t="str">
        <f ca="1"/>
        <v/>
      </c>
      <c r="AE91" s="2" t="str">
        <f ca="1"/>
        <v/>
      </c>
      <c r="AF91" s="2" t="str">
        <f ca="1"/>
        <v/>
      </c>
      <c r="AG91" s="2" t="str">
        <f ca="1"/>
        <v/>
      </c>
      <c r="AH91" s="2">
        <f ca="1"/>
        <v>-1.15E-2</v>
      </c>
    </row>
    <row r="92" spans="1:34" hidden="1" outlineLevel="1">
      <c r="A92" s="5">
        <f ca="1"/>
        <v>31593</v>
      </c>
      <c r="B92" s="2">
        <f ca="1"/>
        <v>6.8439459043015488E-2</v>
      </c>
      <c r="C92" s="2" t="str">
        <f ca="1"/>
        <v/>
      </c>
      <c r="D92" s="2" t="str">
        <f ca="1"/>
        <v/>
      </c>
      <c r="E92" s="2">
        <f ca="1"/>
        <v>2.6177102836141775E-2</v>
      </c>
      <c r="F92" s="2">
        <f ca="1"/>
        <v>6.2161199759754586E-2</v>
      </c>
      <c r="G92" s="2">
        <f ca="1"/>
        <v>7.4466101870456006E-2</v>
      </c>
      <c r="H92" s="2" t="str">
        <f ca="1"/>
        <v/>
      </c>
      <c r="I92" s="2" t="str">
        <f ca="1"/>
        <v/>
      </c>
      <c r="J92" s="2" t="str">
        <f ca="1"/>
        <v/>
      </c>
      <c r="K92" s="2" t="str">
        <f ca="1"/>
        <v/>
      </c>
      <c r="L92" s="2" t="str">
        <f ca="1"/>
        <v/>
      </c>
      <c r="M92" s="2" t="str">
        <f ca="1"/>
        <v/>
      </c>
      <c r="N92" s="2" t="str">
        <f ca="1"/>
        <v/>
      </c>
      <c r="O92" s="2" t="str">
        <f ca="1"/>
        <v/>
      </c>
      <c r="P92" s="2" t="str">
        <f ca="1"/>
        <v/>
      </c>
      <c r="Q92" s="2">
        <f ca="1"/>
        <v>3.5639725618848803E-2</v>
      </c>
      <c r="R92" s="2">
        <f ca="1"/>
        <v>4.7608551906546261E-2</v>
      </c>
      <c r="S92" s="2" t="str">
        <f ca="1"/>
        <v/>
      </c>
      <c r="T92" s="2">
        <f ca="1"/>
        <v>1.6899130786334978E-2</v>
      </c>
      <c r="U92" s="2">
        <f ca="1"/>
        <v>1.6788693110199239E-2</v>
      </c>
      <c r="V92" s="2">
        <f ca="1"/>
        <v>2.1631412703402544E-2</v>
      </c>
      <c r="W92" s="2">
        <f ca="1"/>
        <v>1.1477447181811696E-2</v>
      </c>
      <c r="X92" s="2" t="str">
        <f ca="1"/>
        <v/>
      </c>
      <c r="Y92" s="2" t="str">
        <f ca="1"/>
        <v/>
      </c>
      <c r="Z92" s="2" t="str">
        <f ca="1"/>
        <v/>
      </c>
      <c r="AA92" s="2" t="str">
        <f ca="1"/>
        <v/>
      </c>
      <c r="AB92" s="2" t="str">
        <f ca="1"/>
        <v/>
      </c>
      <c r="AC92" s="2" t="str">
        <f ca="1"/>
        <v/>
      </c>
      <c r="AD92" s="2" t="str">
        <f ca="1"/>
        <v/>
      </c>
      <c r="AE92" s="2" t="str">
        <f ca="1"/>
        <v/>
      </c>
      <c r="AF92" s="2" t="str">
        <f ca="1"/>
        <v/>
      </c>
      <c r="AG92" s="2" t="str">
        <f ca="1"/>
        <v/>
      </c>
      <c r="AH92" s="2">
        <f ca="1"/>
        <v>1.0500000000000001E-2</v>
      </c>
    </row>
    <row r="93" spans="1:34" hidden="1" outlineLevel="1">
      <c r="A93" s="5">
        <f ca="1"/>
        <v>31624</v>
      </c>
      <c r="B93" s="2">
        <f ca="1"/>
        <v>6.190282983764335E-2</v>
      </c>
      <c r="C93" s="2" t="str">
        <f ca="1"/>
        <v/>
      </c>
      <c r="D93" s="2" t="str">
        <f ca="1"/>
        <v/>
      </c>
      <c r="E93" s="2">
        <f ca="1"/>
        <v>8.8522485387030701E-3</v>
      </c>
      <c r="F93" s="2">
        <f ca="1"/>
        <v>9.7492823792634645E-2</v>
      </c>
      <c r="G93" s="2">
        <f ca="1"/>
        <v>3.0719848858729071E-2</v>
      </c>
      <c r="H93" s="2" t="str">
        <f ca="1"/>
        <v/>
      </c>
      <c r="I93" s="2" t="str">
        <f ca="1"/>
        <v/>
      </c>
      <c r="J93" s="2" t="str">
        <f ca="1"/>
        <v/>
      </c>
      <c r="K93" s="2" t="str">
        <f ca="1"/>
        <v/>
      </c>
      <c r="L93" s="2" t="str">
        <f ca="1"/>
        <v/>
      </c>
      <c r="M93" s="2" t="str">
        <f ca="1"/>
        <v/>
      </c>
      <c r="N93" s="2" t="str">
        <f ca="1"/>
        <v/>
      </c>
      <c r="O93" s="2" t="str">
        <f ca="1"/>
        <v/>
      </c>
      <c r="P93" s="2" t="str">
        <f ca="1"/>
        <v/>
      </c>
      <c r="Q93" s="2">
        <f ca="1"/>
        <v>-4.8956083513319017E-2</v>
      </c>
      <c r="R93" s="2">
        <f ca="1"/>
        <v>-5.3650326109825459E-2</v>
      </c>
      <c r="S93" s="2" t="str">
        <f ca="1"/>
        <v/>
      </c>
      <c r="T93" s="2">
        <f ca="1"/>
        <v>-5.5932068250677709E-2</v>
      </c>
      <c r="U93" s="2">
        <f ca="1"/>
        <v>-5.5785614433044022E-2</v>
      </c>
      <c r="V93" s="2">
        <f ca="1"/>
        <v>-6.8648712012425575E-2</v>
      </c>
      <c r="W93" s="2">
        <f ca="1"/>
        <v>-4.3003758311650889E-2</v>
      </c>
      <c r="X93" s="2" t="str">
        <f ca="1"/>
        <v/>
      </c>
      <c r="Y93" s="2" t="str">
        <f ca="1"/>
        <v/>
      </c>
      <c r="Z93" s="2" t="str">
        <f ca="1"/>
        <v/>
      </c>
      <c r="AA93" s="2" t="str">
        <f ca="1"/>
        <v/>
      </c>
      <c r="AB93" s="2" t="str">
        <f ca="1"/>
        <v/>
      </c>
      <c r="AC93" s="2" t="str">
        <f ca="1"/>
        <v/>
      </c>
      <c r="AD93" s="2" t="str">
        <f ca="1"/>
        <v/>
      </c>
      <c r="AE93" s="2" t="str">
        <f ca="1"/>
        <v/>
      </c>
      <c r="AF93" s="2" t="str">
        <f ca="1"/>
        <v/>
      </c>
      <c r="AG93" s="2" t="str">
        <f ca="1"/>
        <v/>
      </c>
      <c r="AH93" s="2">
        <f ca="1"/>
        <v>4.3099999999999999E-2</v>
      </c>
    </row>
    <row r="94" spans="1:34" hidden="1" outlineLevel="1">
      <c r="A94" s="5">
        <f ca="1"/>
        <v>31653</v>
      </c>
      <c r="B94" s="2">
        <f ca="1"/>
        <v>9.8812773817277544E-2</v>
      </c>
      <c r="C94" s="2" t="str">
        <f ca="1"/>
        <v/>
      </c>
      <c r="D94" s="2" t="str">
        <f ca="1"/>
        <v/>
      </c>
      <c r="E94" s="2">
        <f ca="1"/>
        <v>2.4850128939348327E-2</v>
      </c>
      <c r="F94" s="2">
        <f ca="1"/>
        <v>8.4256839935864636E-2</v>
      </c>
      <c r="G94" s="2">
        <f ca="1"/>
        <v>0.11000551757675521</v>
      </c>
      <c r="H94" s="2" t="str">
        <f ca="1"/>
        <v/>
      </c>
      <c r="I94" s="2" t="str">
        <f ca="1"/>
        <v/>
      </c>
      <c r="J94" s="2" t="str">
        <f ca="1"/>
        <v/>
      </c>
      <c r="K94" s="2" t="str">
        <f ca="1"/>
        <v/>
      </c>
      <c r="L94" s="2" t="str">
        <f ca="1"/>
        <v/>
      </c>
      <c r="M94" s="2" t="str">
        <f ca="1"/>
        <v/>
      </c>
      <c r="N94" s="2" t="str">
        <f ca="1"/>
        <v/>
      </c>
      <c r="O94" s="2" t="str">
        <f ca="1"/>
        <v/>
      </c>
      <c r="P94" s="2" t="str">
        <f ca="1"/>
        <v/>
      </c>
      <c r="Q94" s="2">
        <f ca="1"/>
        <v>5.9197577592732732E-2</v>
      </c>
      <c r="R94" s="2">
        <f ca="1"/>
        <v>3.7127612272120983E-2</v>
      </c>
      <c r="S94" s="2" t="str">
        <f ca="1"/>
        <v/>
      </c>
      <c r="T94" s="2">
        <f ca="1"/>
        <v>7.4157208199220795E-2</v>
      </c>
      <c r="U94" s="2">
        <f ca="1"/>
        <v>7.1707916643387784E-2</v>
      </c>
      <c r="V94" s="2">
        <f ca="1"/>
        <v>4.6128915529963267E-2</v>
      </c>
      <c r="W94" s="2">
        <f ca="1"/>
        <v>9.6699645041915278E-2</v>
      </c>
      <c r="X94" s="2" t="str">
        <f ca="1"/>
        <v/>
      </c>
      <c r="Y94" s="2" t="str">
        <f ca="1"/>
        <v/>
      </c>
      <c r="Z94" s="2" t="str">
        <f ca="1"/>
        <v/>
      </c>
      <c r="AA94" s="2" t="str">
        <f ca="1"/>
        <v/>
      </c>
      <c r="AB94" s="2" t="str">
        <f ca="1"/>
        <v/>
      </c>
      <c r="AC94" s="2" t="str">
        <f ca="1"/>
        <v/>
      </c>
      <c r="AD94" s="2" t="str">
        <f ca="1"/>
        <v/>
      </c>
      <c r="AE94" s="2" t="str">
        <f ca="1"/>
        <v/>
      </c>
      <c r="AF94" s="2" t="str">
        <f ca="1"/>
        <v/>
      </c>
      <c r="AG94" s="2" t="str">
        <f ca="1"/>
        <v/>
      </c>
      <c r="AH94" s="2">
        <f ca="1"/>
        <v>7.3899999999999993E-2</v>
      </c>
    </row>
    <row r="95" spans="1:34" hidden="1" outlineLevel="1">
      <c r="A95" s="5">
        <f ca="1"/>
        <v>31685</v>
      </c>
      <c r="B95" s="2">
        <f ca="1"/>
        <v>-1.0031709426347622E-2</v>
      </c>
      <c r="C95" s="2" t="str">
        <f ca="1"/>
        <v/>
      </c>
      <c r="D95" s="2" t="str">
        <f ca="1"/>
        <v/>
      </c>
      <c r="E95" s="2">
        <f ca="1"/>
        <v>-9.8689585307669084E-3</v>
      </c>
      <c r="F95" s="2">
        <f ca="1"/>
        <v>-1.1225697706615584E-2</v>
      </c>
      <c r="G95" s="2">
        <f ca="1"/>
        <v>-8.7536016984852642E-3</v>
      </c>
      <c r="H95" s="2" t="str">
        <f ca="1"/>
        <v/>
      </c>
      <c r="I95" s="2" t="str">
        <f ca="1"/>
        <v/>
      </c>
      <c r="J95" s="2" t="str">
        <f ca="1"/>
        <v/>
      </c>
      <c r="K95" s="2" t="str">
        <f ca="1"/>
        <v/>
      </c>
      <c r="L95" s="2" t="str">
        <f ca="1"/>
        <v/>
      </c>
      <c r="M95" s="2" t="str">
        <f ca="1"/>
        <v/>
      </c>
      <c r="N95" s="2" t="str">
        <f ca="1"/>
        <v/>
      </c>
      <c r="O95" s="2" t="str">
        <f ca="1"/>
        <v/>
      </c>
      <c r="P95" s="2" t="str">
        <f ca="1"/>
        <v/>
      </c>
      <c r="Q95" s="2">
        <f ca="1"/>
        <v>-0.10606060606060601</v>
      </c>
      <c r="R95" s="2">
        <f ca="1"/>
        <v>-0.12261521972132902</v>
      </c>
      <c r="S95" s="2" t="str">
        <f ca="1"/>
        <v/>
      </c>
      <c r="T95" s="2">
        <f ca="1"/>
        <v>-8.2671094769303816E-2</v>
      </c>
      <c r="U95" s="2">
        <f ca="1"/>
        <v>-8.3096572396715751E-2</v>
      </c>
      <c r="V95" s="2">
        <f ca="1"/>
        <v>-9.9017941738228046E-2</v>
      </c>
      <c r="W95" s="2">
        <f ca="1"/>
        <v>-6.8271654248212896E-2</v>
      </c>
      <c r="X95" s="2" t="str">
        <f ca="1"/>
        <v/>
      </c>
      <c r="Y95" s="2" t="str">
        <f ca="1"/>
        <v/>
      </c>
      <c r="Z95" s="2" t="str">
        <f ca="1"/>
        <v/>
      </c>
      <c r="AA95" s="2" t="str">
        <f ca="1"/>
        <v/>
      </c>
      <c r="AB95" s="2" t="str">
        <f ca="1"/>
        <v/>
      </c>
      <c r="AC95" s="2" t="str">
        <f ca="1"/>
        <v/>
      </c>
      <c r="AD95" s="2" t="str">
        <f ca="1"/>
        <v/>
      </c>
      <c r="AE95" s="2" t="str">
        <f ca="1"/>
        <v/>
      </c>
      <c r="AF95" s="2" t="str">
        <f ca="1"/>
        <v/>
      </c>
      <c r="AG95" s="2" t="str">
        <f ca="1"/>
        <v/>
      </c>
      <c r="AH95" s="2">
        <f ca="1"/>
        <v>9.2899999999999996E-2</v>
      </c>
    </row>
    <row r="96" spans="1:34" hidden="1" outlineLevel="1">
      <c r="A96" s="5">
        <f ca="1"/>
        <v>31716</v>
      </c>
      <c r="B96" s="2">
        <f ca="1"/>
        <v>-6.6577550812416258E-2</v>
      </c>
      <c r="C96" s="2" t="str">
        <f ca="1"/>
        <v/>
      </c>
      <c r="D96" s="2" t="str">
        <f ca="1"/>
        <v/>
      </c>
      <c r="E96" s="2">
        <f ca="1"/>
        <v>1.44559226377108E-2</v>
      </c>
      <c r="F96" s="2">
        <f ca="1"/>
        <v>-7.8037583751453615E-2</v>
      </c>
      <c r="G96" s="2">
        <f ca="1"/>
        <v>-5.5127278908673583E-2</v>
      </c>
      <c r="H96" s="2" t="str">
        <f ca="1"/>
        <v/>
      </c>
      <c r="I96" s="2" t="str">
        <f ca="1"/>
        <v/>
      </c>
      <c r="J96" s="2" t="str">
        <f ca="1"/>
        <v/>
      </c>
      <c r="K96" s="2" t="str">
        <f ca="1"/>
        <v/>
      </c>
      <c r="L96" s="2" t="str">
        <f ca="1"/>
        <v/>
      </c>
      <c r="M96" s="2" t="str">
        <f ca="1"/>
        <v/>
      </c>
      <c r="N96" s="2" t="str">
        <f ca="1"/>
        <v/>
      </c>
      <c r="O96" s="2" t="str">
        <f ca="1"/>
        <v/>
      </c>
      <c r="P96" s="2" t="str">
        <f ca="1"/>
        <v/>
      </c>
      <c r="Q96" s="2">
        <f ca="1"/>
        <v>6.6357531180044754E-2</v>
      </c>
      <c r="R96" s="2">
        <f ca="1"/>
        <v>8.2580014659174264E-2</v>
      </c>
      <c r="S96" s="2" t="str">
        <f ca="1"/>
        <v/>
      </c>
      <c r="T96" s="2">
        <f ca="1"/>
        <v>5.7669029915268837E-2</v>
      </c>
      <c r="U96" s="2">
        <f ca="1"/>
        <v>5.4211558688916035E-2</v>
      </c>
      <c r="V96" s="2">
        <f ca="1"/>
        <v>5.7453804937488528E-2</v>
      </c>
      <c r="W96" s="2">
        <f ca="1"/>
        <v>5.0997782705099609E-2</v>
      </c>
      <c r="X96" s="2" t="str">
        <f ca="1"/>
        <v/>
      </c>
      <c r="Y96" s="2" t="str">
        <f ca="1"/>
        <v/>
      </c>
      <c r="Z96" s="2" t="str">
        <f ca="1"/>
        <v/>
      </c>
      <c r="AA96" s="2" t="str">
        <f ca="1"/>
        <v/>
      </c>
      <c r="AB96" s="2" t="str">
        <f ca="1"/>
        <v/>
      </c>
      <c r="AC96" s="2" t="str">
        <f ca="1"/>
        <v/>
      </c>
      <c r="AD96" s="2" t="str">
        <f ca="1"/>
        <v/>
      </c>
      <c r="AE96" s="2" t="str">
        <f ca="1"/>
        <v/>
      </c>
      <c r="AF96" s="2" t="str">
        <f ca="1"/>
        <v/>
      </c>
      <c r="AG96" s="2" t="str">
        <f ca="1"/>
        <v/>
      </c>
      <c r="AH96" s="2">
        <f ca="1"/>
        <v>-4.7500000000000001E-2</v>
      </c>
    </row>
    <row r="97" spans="1:34" hidden="1" outlineLevel="1">
      <c r="A97" s="5">
        <f ca="1"/>
        <v>31744</v>
      </c>
      <c r="B97" s="2">
        <f ca="1"/>
        <v>5.7864315802916608E-2</v>
      </c>
      <c r="C97" s="2" t="str">
        <f ca="1"/>
        <v/>
      </c>
      <c r="D97" s="2" t="str">
        <f ca="1"/>
        <v/>
      </c>
      <c r="E97" s="2">
        <f ca="1"/>
        <v>1.3989654162735503E-2</v>
      </c>
      <c r="F97" s="2">
        <f ca="1"/>
        <v>6.3797530811797259E-2</v>
      </c>
      <c r="G97" s="2">
        <f ca="1"/>
        <v>5.2739522708668683E-2</v>
      </c>
      <c r="H97" s="2" t="str">
        <f ca="1"/>
        <v/>
      </c>
      <c r="I97" s="2" t="str">
        <f ca="1"/>
        <v/>
      </c>
      <c r="J97" s="2" t="str">
        <f ca="1"/>
        <v/>
      </c>
      <c r="K97" s="2" t="str">
        <f ca="1"/>
        <v/>
      </c>
      <c r="L97" s="2" t="str">
        <f ca="1"/>
        <v/>
      </c>
      <c r="M97" s="2" t="str">
        <f ca="1"/>
        <v/>
      </c>
      <c r="N97" s="2" t="str">
        <f ca="1"/>
        <v/>
      </c>
      <c r="O97" s="2" t="str">
        <f ca="1"/>
        <v/>
      </c>
      <c r="P97" s="2" t="str">
        <f ca="1"/>
        <v/>
      </c>
      <c r="Q97" s="2">
        <f ca="1"/>
        <v>2.2642075273654298E-2</v>
      </c>
      <c r="R97" s="2">
        <f ca="1"/>
        <v>2.4599413225005556E-2</v>
      </c>
      <c r="S97" s="2" t="str">
        <f ca="1"/>
        <v/>
      </c>
      <c r="T97" s="2">
        <f ca="1"/>
        <v>2.430527092384626E-2</v>
      </c>
      <c r="U97" s="2">
        <f ca="1"/>
        <v>1.8040125121346128E-2</v>
      </c>
      <c r="V97" s="2">
        <f ca="1"/>
        <v>1.8215971334311951E-2</v>
      </c>
      <c r="W97" s="2">
        <f ca="1"/>
        <v>1.7918424753867807E-2</v>
      </c>
      <c r="X97" s="2" t="str">
        <f ca="1"/>
        <v/>
      </c>
      <c r="Y97" s="2" t="str">
        <f ca="1"/>
        <v/>
      </c>
      <c r="Z97" s="2" t="str">
        <f ca="1"/>
        <v/>
      </c>
      <c r="AA97" s="2" t="str">
        <f ca="1"/>
        <v/>
      </c>
      <c r="AB97" s="2" t="str">
        <f ca="1"/>
        <v/>
      </c>
      <c r="AC97" s="2" t="str">
        <f ca="1"/>
        <v/>
      </c>
      <c r="AD97" s="2" t="str">
        <f ca="1"/>
        <v/>
      </c>
      <c r="AE97" s="2" t="str">
        <f ca="1"/>
        <v/>
      </c>
      <c r="AF97" s="2" t="str">
        <f ca="1"/>
        <v/>
      </c>
      <c r="AG97" s="2" t="str">
        <f ca="1"/>
        <v/>
      </c>
      <c r="AH97" s="2">
        <f ca="1"/>
        <v>-3.6000000000000004E-2</v>
      </c>
    </row>
    <row r="98" spans="1:34" hidden="1" outlineLevel="1">
      <c r="A98" s="5">
        <f ca="1"/>
        <v>31777</v>
      </c>
      <c r="B98" s="2">
        <f ca="1"/>
        <v>5.3246831039455905E-2</v>
      </c>
      <c r="C98" s="2" t="str">
        <f ca="1"/>
        <v/>
      </c>
      <c r="D98" s="2" t="str">
        <f ca="1"/>
        <v/>
      </c>
      <c r="E98" s="2">
        <f ca="1"/>
        <v>3.7539705457694324E-3</v>
      </c>
      <c r="F98" s="2">
        <f ca="1"/>
        <v>5.6339468175170333E-2</v>
      </c>
      <c r="G98" s="2">
        <f ca="1"/>
        <v>4.9354022831362365E-2</v>
      </c>
      <c r="H98" s="2" t="str">
        <f ca="1"/>
        <v/>
      </c>
      <c r="I98" s="2" t="str">
        <f ca="1"/>
        <v/>
      </c>
      <c r="J98" s="2" t="str">
        <f ca="1"/>
        <v/>
      </c>
      <c r="K98" s="2" t="str">
        <f ca="1"/>
        <v/>
      </c>
      <c r="L98" s="2" t="str">
        <f ca="1"/>
        <v/>
      </c>
      <c r="M98" s="2" t="str">
        <f ca="1"/>
        <v/>
      </c>
      <c r="N98" s="2" t="str">
        <f ca="1"/>
        <v/>
      </c>
      <c r="O98" s="2" t="str">
        <f ca="1"/>
        <v/>
      </c>
      <c r="P98" s="2" t="str">
        <f ca="1"/>
        <v/>
      </c>
      <c r="Q98" s="2">
        <f ca="1"/>
        <v>-1.3489736070381259E-2</v>
      </c>
      <c r="R98" s="2">
        <f ca="1"/>
        <v>-1.8502202643171727E-2</v>
      </c>
      <c r="S98" s="2" t="str">
        <f ca="1"/>
        <v/>
      </c>
      <c r="T98" s="2">
        <f ca="1"/>
        <v>-2.5519621218200738E-2</v>
      </c>
      <c r="U98" s="2">
        <f ca="1"/>
        <v>-2.7017720446057238E-2</v>
      </c>
      <c r="V98" s="2">
        <f ca="1"/>
        <v>-2.4060150375939737E-2</v>
      </c>
      <c r="W98" s="2">
        <f ca="1"/>
        <v>-2.9886423301185464E-2</v>
      </c>
      <c r="X98" s="2" t="str">
        <f ca="1"/>
        <v/>
      </c>
      <c r="Y98" s="2" t="str">
        <f ca="1"/>
        <v/>
      </c>
      <c r="Z98" s="2" t="str">
        <f ca="1"/>
        <v/>
      </c>
      <c r="AA98" s="2" t="str">
        <f ca="1"/>
        <v/>
      </c>
      <c r="AB98" s="2" t="str">
        <f ca="1"/>
        <v/>
      </c>
      <c r="AC98" s="2" t="str">
        <f ca="1"/>
        <v/>
      </c>
      <c r="AD98" s="2" t="str">
        <f ca="1"/>
        <v/>
      </c>
      <c r="AE98" s="2" t="str">
        <f ca="1"/>
        <v/>
      </c>
      <c r="AF98" s="2" t="str">
        <f ca="1"/>
        <v/>
      </c>
      <c r="AG98" s="2" t="str">
        <f ca="1"/>
        <v/>
      </c>
      <c r="AH98" s="2">
        <f ca="1"/>
        <v>4.1200000000000001E-2</v>
      </c>
    </row>
    <row r="99" spans="1:34" hidden="1" outlineLevel="1">
      <c r="A99" s="5">
        <f ca="1"/>
        <v>31807</v>
      </c>
      <c r="B99" s="2">
        <f ca="1"/>
        <v>0.1064304869565979</v>
      </c>
      <c r="C99" s="2" t="str">
        <f ca="1"/>
        <v/>
      </c>
      <c r="D99" s="2" t="str">
        <f ca="1"/>
        <v/>
      </c>
      <c r="E99" s="2">
        <f ca="1"/>
        <v>1.4096662830840129E-2</v>
      </c>
      <c r="F99" s="2">
        <f ca="1"/>
        <v>0.1545896741920901</v>
      </c>
      <c r="G99" s="2">
        <f ca="1"/>
        <v>5.8847957787766261E-2</v>
      </c>
      <c r="H99" s="2" t="str">
        <f ca="1"/>
        <v/>
      </c>
      <c r="I99" s="2" t="str">
        <f ca="1"/>
        <v/>
      </c>
      <c r="J99" s="2" t="str">
        <f ca="1"/>
        <v/>
      </c>
      <c r="K99" s="2" t="str">
        <f ca="1"/>
        <v/>
      </c>
      <c r="L99" s="2" t="str">
        <f ca="1"/>
        <v/>
      </c>
      <c r="M99" s="2" t="str">
        <f ca="1"/>
        <v/>
      </c>
      <c r="N99" s="2" t="str">
        <f ca="1"/>
        <v/>
      </c>
      <c r="O99" s="2" t="str">
        <f ca="1"/>
        <v/>
      </c>
      <c r="P99" s="2" t="str">
        <f ca="1"/>
        <v/>
      </c>
      <c r="Q99" s="2">
        <f ca="1"/>
        <v>0.1428359096313912</v>
      </c>
      <c r="R99" s="2">
        <f ca="1"/>
        <v>0.14317773788150798</v>
      </c>
      <c r="S99" s="2" t="str">
        <f ca="1"/>
        <v/>
      </c>
      <c r="T99" s="2">
        <f ca="1"/>
        <v>0.13465747202378489</v>
      </c>
      <c r="U99" s="2">
        <f ca="1"/>
        <v>0.12936596520839583</v>
      </c>
      <c r="V99" s="2">
        <f ca="1"/>
        <v>0.1434244595174177</v>
      </c>
      <c r="W99" s="2">
        <f ca="1"/>
        <v>0.11538078078933499</v>
      </c>
      <c r="X99" s="2" t="str">
        <f ca="1"/>
        <v/>
      </c>
      <c r="Y99" s="2" t="str">
        <f ca="1"/>
        <v/>
      </c>
      <c r="Z99" s="2" t="str">
        <f ca="1"/>
        <v/>
      </c>
      <c r="AA99" s="2" t="str">
        <f ca="1"/>
        <v/>
      </c>
      <c r="AB99" s="2" t="str">
        <f ca="1"/>
        <v/>
      </c>
      <c r="AC99" s="2" t="str">
        <f ca="1"/>
        <v/>
      </c>
      <c r="AD99" s="2" t="str">
        <f ca="1"/>
        <v/>
      </c>
      <c r="AE99" s="2" t="str">
        <f ca="1"/>
        <v/>
      </c>
      <c r="AF99" s="2" t="str">
        <f ca="1"/>
        <v/>
      </c>
      <c r="AG99" s="2" t="str">
        <f ca="1"/>
        <v/>
      </c>
      <c r="AH99" s="2">
        <f ca="1"/>
        <v>-4.6999999999999993E-3</v>
      </c>
    </row>
    <row r="100" spans="1:34" hidden="1" outlineLevel="1">
      <c r="A100" s="5">
        <f ca="1"/>
        <v>31835</v>
      </c>
      <c r="B100" s="2">
        <f ca="1"/>
        <v>3.0182925864888459E-2</v>
      </c>
      <c r="C100" s="2" t="str">
        <f ca="1"/>
        <v/>
      </c>
      <c r="D100" s="2" t="str">
        <f ca="1"/>
        <v/>
      </c>
      <c r="E100" s="2">
        <f ca="1"/>
        <v>6.9345941686366867E-3</v>
      </c>
      <c r="F100" s="2">
        <f ca="1"/>
        <v>2.6607359730440414E-2</v>
      </c>
      <c r="G100" s="2">
        <f ca="1"/>
        <v>3.3652478178951818E-2</v>
      </c>
      <c r="H100" s="2" t="str">
        <f ca="1"/>
        <v/>
      </c>
      <c r="I100" s="2" t="str">
        <f ca="1"/>
        <v/>
      </c>
      <c r="J100" s="2" t="str">
        <f ca="1"/>
        <v/>
      </c>
      <c r="K100" s="2" t="str">
        <f ca="1"/>
        <v/>
      </c>
      <c r="L100" s="2" t="str">
        <f ca="1"/>
        <v/>
      </c>
      <c r="M100" s="2" t="str">
        <f ca="1"/>
        <v/>
      </c>
      <c r="N100" s="2" t="str">
        <f ca="1"/>
        <v/>
      </c>
      <c r="O100" s="2" t="str">
        <f ca="1"/>
        <v/>
      </c>
      <c r="P100" s="2" t="str">
        <f ca="1"/>
        <v/>
      </c>
      <c r="Q100" s="2">
        <f ca="1"/>
        <v>4.3828846403953757E-2</v>
      </c>
      <c r="R100" s="2">
        <f ca="1"/>
        <v>1.3545347467609048E-2</v>
      </c>
      <c r="S100" s="2" t="str">
        <f ca="1"/>
        <v/>
      </c>
      <c r="T100" s="2">
        <f ca="1"/>
        <v>3.9514010507880962E-2</v>
      </c>
      <c r="U100" s="2">
        <f ca="1"/>
        <v>4.3702543087863067E-2</v>
      </c>
      <c r="V100" s="2">
        <f ca="1"/>
        <v>6.8044788975021475E-2</v>
      </c>
      <c r="W100" s="2">
        <f ca="1"/>
        <v>1.8898763918684287E-2</v>
      </c>
      <c r="X100" s="2" t="str">
        <f ca="1"/>
        <v/>
      </c>
      <c r="Y100" s="2" t="str">
        <f ca="1"/>
        <v/>
      </c>
      <c r="Z100" s="2" t="str">
        <f ca="1"/>
        <v/>
      </c>
      <c r="AA100" s="2" t="str">
        <f ca="1"/>
        <v/>
      </c>
      <c r="AB100" s="2" t="str">
        <f ca="1"/>
        <v/>
      </c>
      <c r="AC100" s="2" t="str">
        <f ca="1"/>
        <v/>
      </c>
      <c r="AD100" s="2" t="str">
        <f ca="1"/>
        <v/>
      </c>
      <c r="AE100" s="2" t="str">
        <f ca="1"/>
        <v/>
      </c>
      <c r="AF100" s="2" t="str">
        <f ca="1"/>
        <v/>
      </c>
      <c r="AG100" s="2" t="str">
        <f ca="1"/>
        <v/>
      </c>
      <c r="AH100" s="2">
        <f ca="1"/>
        <v>5.6999999999999993E-3</v>
      </c>
    </row>
    <row r="101" spans="1:34" hidden="1" outlineLevel="1">
      <c r="A101" s="5">
        <f ca="1"/>
        <v>31867</v>
      </c>
      <c r="B101" s="2">
        <f ca="1"/>
        <v>8.218855260208606E-2</v>
      </c>
      <c r="C101" s="2" t="str">
        <f ca="1"/>
        <v/>
      </c>
      <c r="D101" s="2" t="str">
        <f ca="1"/>
        <v/>
      </c>
      <c r="E101" s="2">
        <f ca="1"/>
        <v>-4.5077476913444915E-3</v>
      </c>
      <c r="F101" s="2">
        <f ca="1"/>
        <v>0.10843793410773576</v>
      </c>
      <c r="G101" s="2">
        <f ca="1"/>
        <v>5.5121976623937141E-2</v>
      </c>
      <c r="H101" s="2" t="str">
        <f ca="1"/>
        <v/>
      </c>
      <c r="I101" s="2" t="str">
        <f ca="1"/>
        <v/>
      </c>
      <c r="J101" s="2" t="str">
        <f ca="1"/>
        <v/>
      </c>
      <c r="K101" s="2" t="str">
        <f ca="1"/>
        <v/>
      </c>
      <c r="L101" s="2" t="str">
        <f ca="1"/>
        <v/>
      </c>
      <c r="M101" s="2" t="str">
        <f ca="1"/>
        <v/>
      </c>
      <c r="N101" s="2" t="str">
        <f ca="1"/>
        <v/>
      </c>
      <c r="O101" s="2" t="str">
        <f ca="1"/>
        <v/>
      </c>
      <c r="P101" s="2" t="str">
        <f ca="1"/>
        <v/>
      </c>
      <c r="Q101" s="2">
        <f ca="1"/>
        <v>1.7941689509095412E-2</v>
      </c>
      <c r="R101" s="2">
        <f ca="1"/>
        <v>2.5566531086577575E-2</v>
      </c>
      <c r="S101" s="2" t="str">
        <f ca="1"/>
        <v/>
      </c>
      <c r="T101" s="2">
        <f ca="1"/>
        <v>2.8852920478536256E-2</v>
      </c>
      <c r="U101" s="2">
        <f ca="1"/>
        <v>1.9931636565199307E-2</v>
      </c>
      <c r="V101" s="2">
        <f ca="1"/>
        <v>1.6077003121748236E-2</v>
      </c>
      <c r="W101" s="2">
        <f ca="1"/>
        <v>2.4275616603168206E-2</v>
      </c>
      <c r="X101" s="2" t="str">
        <f ca="1"/>
        <v/>
      </c>
      <c r="Y101" s="2" t="str">
        <f ca="1"/>
        <v/>
      </c>
      <c r="Z101" s="2" t="str">
        <f ca="1"/>
        <v/>
      </c>
      <c r="AA101" s="2" t="str">
        <f ca="1"/>
        <v/>
      </c>
      <c r="AB101" s="2" t="str">
        <f ca="1"/>
        <v/>
      </c>
      <c r="AC101" s="2" t="str">
        <f ca="1"/>
        <v/>
      </c>
      <c r="AD101" s="2" t="str">
        <f ca="1"/>
        <v/>
      </c>
      <c r="AE101" s="2" t="str">
        <f ca="1"/>
        <v/>
      </c>
      <c r="AF101" s="2" t="str">
        <f ca="1"/>
        <v/>
      </c>
      <c r="AG101" s="2" t="str">
        <f ca="1"/>
        <v/>
      </c>
      <c r="AH101" s="2">
        <f ca="1"/>
        <v>2.6000000000000002E-2</v>
      </c>
    </row>
    <row r="102" spans="1:34" hidden="1" outlineLevel="1">
      <c r="A102" s="5">
        <f ca="1"/>
        <v>31897</v>
      </c>
      <c r="B102" s="2">
        <f ca="1"/>
        <v>0.10598506305535646</v>
      </c>
      <c r="C102" s="2" t="str">
        <f ca="1"/>
        <v/>
      </c>
      <c r="D102" s="2" t="str">
        <f ca="1"/>
        <v/>
      </c>
      <c r="E102" s="2">
        <f ca="1"/>
        <v>-2.7420521367252509E-2</v>
      </c>
      <c r="F102" s="2">
        <f ca="1"/>
        <v>0.1229096854758291</v>
      </c>
      <c r="G102" s="2">
        <f ca="1"/>
        <v>8.8210407558877379E-2</v>
      </c>
      <c r="H102" s="2" t="str">
        <f ca="1"/>
        <v/>
      </c>
      <c r="I102" s="2" t="str">
        <f ca="1"/>
        <v/>
      </c>
      <c r="J102" s="2" t="str">
        <f ca="1"/>
        <v/>
      </c>
      <c r="K102" s="2" t="str">
        <f ca="1"/>
        <v/>
      </c>
      <c r="L102" s="2" t="str">
        <f ca="1"/>
        <v/>
      </c>
      <c r="M102" s="2" t="str">
        <f ca="1"/>
        <v/>
      </c>
      <c r="N102" s="2" t="str">
        <f ca="1"/>
        <v/>
      </c>
      <c r="O102" s="2" t="str">
        <f ca="1"/>
        <v/>
      </c>
      <c r="P102" s="2" t="str">
        <f ca="1"/>
        <v/>
      </c>
      <c r="Q102" s="2">
        <f ca="1"/>
        <v>-2.1419828641370868E-2</v>
      </c>
      <c r="R102" s="2">
        <f ca="1"/>
        <v>-1.3975448536355089E-2</v>
      </c>
      <c r="S102" s="2" t="str">
        <f ca="1"/>
        <v/>
      </c>
      <c r="T102" s="2">
        <f ca="1"/>
        <v>-8.8789852588275504E-3</v>
      </c>
      <c r="U102" s="2">
        <f ca="1"/>
        <v>-1.5624646181019528E-2</v>
      </c>
      <c r="V102" s="2">
        <f ca="1"/>
        <v>-1.9176609145373606E-2</v>
      </c>
      <c r="W102" s="2">
        <f ca="1"/>
        <v>-1.1966376683918737E-2</v>
      </c>
      <c r="X102" s="2" t="str">
        <f ca="1"/>
        <v/>
      </c>
      <c r="Y102" s="2" t="str">
        <f ca="1"/>
        <v/>
      </c>
      <c r="Z102" s="2" t="str">
        <f ca="1"/>
        <v/>
      </c>
      <c r="AA102" s="2" t="str">
        <f ca="1"/>
        <v/>
      </c>
      <c r="AB102" s="2" t="str">
        <f ca="1"/>
        <v/>
      </c>
      <c r="AC102" s="2" t="str">
        <f ca="1"/>
        <v/>
      </c>
      <c r="AD102" s="2" t="str">
        <f ca="1"/>
        <v/>
      </c>
      <c r="AE102" s="2" t="str">
        <f ca="1"/>
        <v/>
      </c>
      <c r="AF102" s="2" t="str">
        <f ca="1"/>
        <v/>
      </c>
      <c r="AG102" s="2" t="str">
        <f ca="1"/>
        <v/>
      </c>
      <c r="AH102" s="2">
        <f ca="1"/>
        <v>9.2100000000000015E-2</v>
      </c>
    </row>
    <row r="103" spans="1:34" hidden="1" outlineLevel="1">
      <c r="A103" s="5">
        <f ca="1"/>
        <v>31926</v>
      </c>
      <c r="B103" s="2">
        <f ca="1"/>
        <v>1.795781196887993E-4</v>
      </c>
      <c r="C103" s="2" t="str">
        <f ca="1"/>
        <v/>
      </c>
      <c r="D103" s="2" t="str">
        <f ca="1"/>
        <v/>
      </c>
      <c r="E103" s="2">
        <f ca="1"/>
        <v>-3.9121859743284177E-3</v>
      </c>
      <c r="F103" s="2">
        <f ca="1"/>
        <v>-3.12731514446501E-2</v>
      </c>
      <c r="G103" s="2">
        <f ca="1"/>
        <v>3.4030972591200664E-2</v>
      </c>
      <c r="H103" s="2" t="str">
        <f ca="1"/>
        <v/>
      </c>
      <c r="I103" s="2" t="str">
        <f ca="1"/>
        <v/>
      </c>
      <c r="J103" s="2" t="str">
        <f ca="1"/>
        <v/>
      </c>
      <c r="K103" s="2" t="str">
        <f ca="1"/>
        <v/>
      </c>
      <c r="L103" s="2" t="str">
        <f ca="1"/>
        <v/>
      </c>
      <c r="M103" s="2" t="str">
        <f ca="1"/>
        <v/>
      </c>
      <c r="N103" s="2" t="str">
        <f ca="1"/>
        <v/>
      </c>
      <c r="O103" s="2" t="str">
        <f ca="1"/>
        <v/>
      </c>
      <c r="P103" s="2" t="str">
        <f ca="1"/>
        <v/>
      </c>
      <c r="Q103" s="2">
        <f ca="1"/>
        <v>4.3777360850530871E-3</v>
      </c>
      <c r="R103" s="2">
        <f ca="1"/>
        <v>3.6391495882014502E-3</v>
      </c>
      <c r="S103" s="2" t="str">
        <f ca="1"/>
        <v/>
      </c>
      <c r="T103" s="2">
        <f ca="1"/>
        <v>8.6697184075463229E-3</v>
      </c>
      <c r="U103" s="2">
        <f ca="1"/>
        <v>7.131190908881836E-3</v>
      </c>
      <c r="V103" s="2">
        <f ca="1"/>
        <v>1.0806860006786956E-2</v>
      </c>
      <c r="W103" s="2">
        <f ca="1"/>
        <v>3.2816931059677346E-3</v>
      </c>
      <c r="X103" s="2" t="str">
        <f ca="1"/>
        <v/>
      </c>
      <c r="Y103" s="2" t="str">
        <f ca="1"/>
        <v/>
      </c>
      <c r="Z103" s="2" t="str">
        <f ca="1"/>
        <v/>
      </c>
      <c r="AA103" s="2" t="str">
        <f ca="1"/>
        <v/>
      </c>
      <c r="AB103" s="2" t="str">
        <f ca="1"/>
        <v/>
      </c>
      <c r="AC103" s="2" t="str">
        <f ca="1"/>
        <v/>
      </c>
      <c r="AD103" s="2" t="str">
        <f ca="1"/>
        <v/>
      </c>
      <c r="AE103" s="2" t="str">
        <f ca="1"/>
        <v/>
      </c>
      <c r="AF103" s="2" t="str">
        <f ca="1"/>
        <v/>
      </c>
      <c r="AG103" s="2" t="str">
        <f ca="1"/>
        <v/>
      </c>
      <c r="AH103" s="2">
        <f ca="1"/>
        <v>-1.38E-2</v>
      </c>
    </row>
    <row r="104" spans="1:34" hidden="1" outlineLevel="1">
      <c r="A104" s="5">
        <f ca="1"/>
        <v>31958</v>
      </c>
      <c r="B104" s="2">
        <f ca="1"/>
        <v>-3.1676381381092612E-2</v>
      </c>
      <c r="C104" s="2" t="str">
        <f ca="1"/>
        <v/>
      </c>
      <c r="D104" s="2" t="str">
        <f ca="1"/>
        <v/>
      </c>
      <c r="E104" s="2">
        <f ca="1"/>
        <v>1.376265904959754E-2</v>
      </c>
      <c r="F104" s="2">
        <f ca="1"/>
        <v>-6.5489625736992643E-2</v>
      </c>
      <c r="G104" s="2">
        <f ca="1"/>
        <v>1.9676404607036511E-3</v>
      </c>
      <c r="H104" s="2" t="str">
        <f ca="1"/>
        <v/>
      </c>
      <c r="I104" s="2" t="str">
        <f ca="1"/>
        <v/>
      </c>
      <c r="J104" s="2" t="str">
        <f ca="1"/>
        <v/>
      </c>
      <c r="K104" s="2" t="str">
        <f ca="1"/>
        <v/>
      </c>
      <c r="L104" s="2" t="str">
        <f ca="1"/>
        <v/>
      </c>
      <c r="M104" s="2" t="str">
        <f ca="1"/>
        <v/>
      </c>
      <c r="N104" s="2" t="str">
        <f ca="1"/>
        <v/>
      </c>
      <c r="O104" s="2" t="str">
        <f ca="1"/>
        <v/>
      </c>
      <c r="P104" s="2" t="str">
        <f ca="1"/>
        <v/>
      </c>
      <c r="Q104" s="2">
        <f ca="1"/>
        <v>6.3760896637609019E-2</v>
      </c>
      <c r="R104" s="2">
        <f ca="1"/>
        <v>4.9809160305343499E-2</v>
      </c>
      <c r="S104" s="2" t="str">
        <f ca="1"/>
        <v/>
      </c>
      <c r="T104" s="2">
        <f ca="1"/>
        <v>5.0499827645639227E-2</v>
      </c>
      <c r="U104" s="2">
        <f ca="1"/>
        <v>4.7417829652132183E-2</v>
      </c>
      <c r="V104" s="2">
        <f ca="1"/>
        <v>4.727164734137336E-2</v>
      </c>
      <c r="W104" s="2">
        <f ca="1"/>
        <v>4.7583193443270333E-2</v>
      </c>
      <c r="X104" s="2" t="str">
        <f ca="1"/>
        <v/>
      </c>
      <c r="Y104" s="2" t="str">
        <f ca="1"/>
        <v/>
      </c>
      <c r="Z104" s="2" t="str">
        <f ca="1"/>
        <v/>
      </c>
      <c r="AA104" s="2" t="str">
        <f ca="1"/>
        <v/>
      </c>
      <c r="AB104" s="2" t="str">
        <f ca="1"/>
        <v/>
      </c>
      <c r="AC104" s="2" t="str">
        <f ca="1"/>
        <v/>
      </c>
      <c r="AD104" s="2" t="str">
        <f ca="1"/>
        <v/>
      </c>
      <c r="AE104" s="2" t="str">
        <f ca="1"/>
        <v/>
      </c>
      <c r="AF104" s="2" t="str">
        <f ca="1"/>
        <v/>
      </c>
      <c r="AG104" s="2" t="str">
        <f ca="1"/>
        <v/>
      </c>
      <c r="AH104" s="2">
        <f ca="1"/>
        <v>4.4000000000000003E-3</v>
      </c>
    </row>
    <row r="105" spans="1:34" hidden="1" outlineLevel="1">
      <c r="A105" s="5">
        <f ca="1"/>
        <v>31989</v>
      </c>
      <c r="B105" s="2">
        <f ca="1"/>
        <v>-1.5714284768267742E-3</v>
      </c>
      <c r="C105" s="2" t="str">
        <f ca="1"/>
        <v/>
      </c>
      <c r="D105" s="2" t="str">
        <f ca="1"/>
        <v/>
      </c>
      <c r="E105" s="2">
        <f ca="1"/>
        <v>-7.6844262295084882E-4</v>
      </c>
      <c r="F105" s="2">
        <f ca="1"/>
        <v>-1.5058292444959761E-2</v>
      </c>
      <c r="G105" s="2">
        <f ca="1"/>
        <v>1.1075949367088632E-2</v>
      </c>
      <c r="H105" s="2" t="str">
        <f ca="1"/>
        <v/>
      </c>
      <c r="I105" s="2" t="str">
        <f ca="1"/>
        <v/>
      </c>
      <c r="J105" s="2" t="str">
        <f ca="1"/>
        <v/>
      </c>
      <c r="K105" s="2" t="str">
        <f ca="1"/>
        <v/>
      </c>
      <c r="L105" s="2" t="str">
        <f ca="1"/>
        <v/>
      </c>
      <c r="M105" s="2" t="str">
        <f ca="1"/>
        <v/>
      </c>
      <c r="N105" s="2" t="str">
        <f ca="1"/>
        <v/>
      </c>
      <c r="O105" s="2" t="str">
        <f ca="1"/>
        <v/>
      </c>
      <c r="P105" s="2" t="str">
        <f ca="1"/>
        <v/>
      </c>
      <c r="Q105" s="2">
        <f ca="1"/>
        <v>5.2446733785998643E-2</v>
      </c>
      <c r="R105" s="2">
        <f ca="1"/>
        <v>5.8353026722414124E-2</v>
      </c>
      <c r="S105" s="2" t="str">
        <f ca="1"/>
        <v/>
      </c>
      <c r="T105" s="2">
        <f ca="1"/>
        <v>5.065789473684229E-2</v>
      </c>
      <c r="U105" s="2">
        <f ca="1"/>
        <v>4.3810105327430994E-2</v>
      </c>
      <c r="V105" s="2">
        <f ca="1"/>
        <v>4.7702417793778588E-2</v>
      </c>
      <c r="W105" s="2">
        <f ca="1"/>
        <v>3.9836928986343986E-2</v>
      </c>
      <c r="X105" s="2" t="str">
        <f ca="1"/>
        <v/>
      </c>
      <c r="Y105" s="2" t="str">
        <f ca="1"/>
        <v/>
      </c>
      <c r="Z105" s="2" t="str">
        <f ca="1"/>
        <v/>
      </c>
      <c r="AA105" s="2" t="str">
        <f ca="1"/>
        <v/>
      </c>
      <c r="AB105" s="2" t="str">
        <f ca="1"/>
        <v/>
      </c>
      <c r="AC105" s="2" t="str">
        <f ca="1"/>
        <v/>
      </c>
      <c r="AD105" s="2" t="str">
        <f ca="1"/>
        <v/>
      </c>
      <c r="AE105" s="2" t="str">
        <f ca="1"/>
        <v/>
      </c>
      <c r="AF105" s="2" t="str">
        <f ca="1"/>
        <v/>
      </c>
      <c r="AG105" s="2" t="str">
        <f ca="1"/>
        <v/>
      </c>
      <c r="AH105" s="2">
        <f ca="1"/>
        <v>2.63E-2</v>
      </c>
    </row>
    <row r="106" spans="1:34" hidden="1" outlineLevel="1">
      <c r="A106" s="5">
        <f ca="1"/>
        <v>32020</v>
      </c>
      <c r="B106" s="2">
        <f ca="1"/>
        <v>7.5188463625160559E-2</v>
      </c>
      <c r="C106" s="2" t="str">
        <f ca="1"/>
        <v/>
      </c>
      <c r="D106" s="2" t="str">
        <f ca="1"/>
        <v/>
      </c>
      <c r="E106" s="2">
        <f ca="1"/>
        <v>-5.3511920020506256E-3</v>
      </c>
      <c r="F106" s="2">
        <f ca="1"/>
        <v>9.1450223733217609E-2</v>
      </c>
      <c r="G106" s="2">
        <f ca="1"/>
        <v>6.001224739742804E-2</v>
      </c>
      <c r="H106" s="2" t="str">
        <f ca="1"/>
        <v/>
      </c>
      <c r="I106" s="2" t="str">
        <f ca="1"/>
        <v/>
      </c>
      <c r="J106" s="2" t="str">
        <f ca="1"/>
        <v/>
      </c>
      <c r="K106" s="2" t="str">
        <f ca="1"/>
        <v/>
      </c>
      <c r="L106" s="2" t="str">
        <f ca="1"/>
        <v/>
      </c>
      <c r="M106" s="2" t="str">
        <f ca="1"/>
        <v/>
      </c>
      <c r="N106" s="2" t="str">
        <f ca="1"/>
        <v/>
      </c>
      <c r="O106" s="2" t="str">
        <f ca="1"/>
        <v/>
      </c>
      <c r="P106" s="2" t="str">
        <f ca="1"/>
        <v/>
      </c>
      <c r="Q106" s="2">
        <f ca="1"/>
        <v>4.5272525027808597E-2</v>
      </c>
      <c r="R106" s="2">
        <f ca="1"/>
        <v>3.9161800068704934E-2</v>
      </c>
      <c r="S106" s="2" t="str">
        <f ca="1"/>
        <v/>
      </c>
      <c r="T106" s="2">
        <f ca="1"/>
        <v>3.7312496077323641E-2</v>
      </c>
      <c r="U106" s="2">
        <f ca="1"/>
        <v>4.1386370283708687E-2</v>
      </c>
      <c r="V106" s="2">
        <f ca="1"/>
        <v>4.6071832046695613E-2</v>
      </c>
      <c r="W106" s="2">
        <f ca="1"/>
        <v>3.6803698499750771E-2</v>
      </c>
      <c r="X106" s="2" t="str">
        <f ca="1"/>
        <v/>
      </c>
      <c r="Y106" s="2" t="str">
        <f ca="1"/>
        <v/>
      </c>
      <c r="Z106" s="2" t="str">
        <f ca="1"/>
        <v/>
      </c>
      <c r="AA106" s="2" t="str">
        <f ca="1"/>
        <v/>
      </c>
      <c r="AB106" s="2" t="str">
        <f ca="1"/>
        <v/>
      </c>
      <c r="AC106" s="2" t="str">
        <f ca="1"/>
        <v/>
      </c>
      <c r="AD106" s="2" t="str">
        <f ca="1"/>
        <v/>
      </c>
      <c r="AE106" s="2" t="str">
        <f ca="1"/>
        <v/>
      </c>
      <c r="AF106" s="2" t="str">
        <f ca="1"/>
        <v/>
      </c>
      <c r="AG106" s="2" t="str">
        <f ca="1"/>
        <v/>
      </c>
      <c r="AH106" s="2">
        <f ca="1"/>
        <v>-2.35E-2</v>
      </c>
    </row>
    <row r="107" spans="1:34" hidden="1" outlineLevel="1">
      <c r="A107" s="5">
        <f ca="1"/>
        <v>32050</v>
      </c>
      <c r="B107" s="2">
        <f ca="1"/>
        <v>-1.5559987440479491E-2</v>
      </c>
      <c r="C107" s="2" t="str">
        <f ca="1"/>
        <v/>
      </c>
      <c r="D107" s="2" t="str">
        <f ca="1"/>
        <v/>
      </c>
      <c r="E107" s="2">
        <f ca="1"/>
        <v>-2.129441706130606E-2</v>
      </c>
      <c r="F107" s="2">
        <f ca="1"/>
        <v>-4.5123469070664772E-2</v>
      </c>
      <c r="G107" s="2">
        <f ca="1"/>
        <v>1.3520531718105284E-2</v>
      </c>
      <c r="H107" s="2" t="str">
        <f ca="1"/>
        <v/>
      </c>
      <c r="I107" s="2" t="str">
        <f ca="1"/>
        <v/>
      </c>
      <c r="J107" s="2" t="str">
        <f ca="1"/>
        <v/>
      </c>
      <c r="K107" s="2" t="str">
        <f ca="1"/>
        <v/>
      </c>
      <c r="L107" s="2" t="str">
        <f ca="1"/>
        <v/>
      </c>
      <c r="M107" s="2" t="str">
        <f ca="1"/>
        <v/>
      </c>
      <c r="N107" s="2" t="str">
        <f ca="1"/>
        <v/>
      </c>
      <c r="O107" s="2" t="str">
        <f ca="1"/>
        <v/>
      </c>
      <c r="P107" s="2" t="str">
        <f ca="1"/>
        <v/>
      </c>
      <c r="Q107" s="2">
        <f ca="1"/>
        <v>-3.0222411407896176E-2</v>
      </c>
      <c r="R107" s="2">
        <f ca="1"/>
        <v>8.2644628099168857E-4</v>
      </c>
      <c r="S107" s="2" t="str">
        <f ca="1"/>
        <v/>
      </c>
      <c r="T107" s="2">
        <f ca="1"/>
        <v>-2.1922377198302156E-2</v>
      </c>
      <c r="U107" s="2">
        <f ca="1"/>
        <v>-2.1967219692258403E-2</v>
      </c>
      <c r="V107" s="2">
        <f ca="1"/>
        <v>-2.5953133613076711E-2</v>
      </c>
      <c r="W107" s="2">
        <f ca="1"/>
        <v>-1.8251366120218597E-2</v>
      </c>
      <c r="X107" s="2" t="str">
        <f ca="1"/>
        <v/>
      </c>
      <c r="Y107" s="2" t="str">
        <f ca="1"/>
        <v/>
      </c>
      <c r="Z107" s="2" t="str">
        <f ca="1"/>
        <v/>
      </c>
      <c r="AA107" s="2" t="str">
        <f ca="1"/>
        <v/>
      </c>
      <c r="AB107" s="2" t="str">
        <f ca="1"/>
        <v/>
      </c>
      <c r="AC107" s="2" t="str">
        <f ca="1"/>
        <v/>
      </c>
      <c r="AD107" s="2" t="str">
        <f ca="1"/>
        <v/>
      </c>
      <c r="AE107" s="2" t="str">
        <f ca="1"/>
        <v/>
      </c>
      <c r="AF107" s="2" t="str">
        <f ca="1"/>
        <v/>
      </c>
      <c r="AG107" s="2" t="str">
        <f ca="1"/>
        <v/>
      </c>
      <c r="AH107" s="2">
        <f ca="1"/>
        <v>-1.1000000000000001E-3</v>
      </c>
    </row>
    <row r="108" spans="1:34" hidden="1" outlineLevel="1">
      <c r="A108" s="5">
        <f ca="1"/>
        <v>32080</v>
      </c>
      <c r="B108" s="2">
        <f ca="1"/>
        <v>-0.13993296391844626</v>
      </c>
      <c r="C108" s="2" t="str">
        <f ca="1"/>
        <v/>
      </c>
      <c r="D108" s="2" t="str">
        <f ca="1"/>
        <v/>
      </c>
      <c r="E108" s="2">
        <f ca="1"/>
        <v>3.56155365371955E-2</v>
      </c>
      <c r="F108" s="2">
        <f ca="1"/>
        <v>-0.12825250165945065</v>
      </c>
      <c r="G108" s="2">
        <f ca="1"/>
        <v>-0.12906624598413222</v>
      </c>
      <c r="H108" s="2" t="str">
        <f ca="1"/>
        <v/>
      </c>
      <c r="I108" s="2" t="str">
        <f ca="1"/>
        <v/>
      </c>
      <c r="J108" s="2" t="str">
        <f ca="1"/>
        <v/>
      </c>
      <c r="K108" s="2" t="str">
        <f ca="1"/>
        <v/>
      </c>
      <c r="L108" s="2" t="str">
        <f ca="1"/>
        <v/>
      </c>
      <c r="M108" s="2" t="str">
        <f ca="1"/>
        <v/>
      </c>
      <c r="N108" s="2" t="str">
        <f ca="1"/>
        <v/>
      </c>
      <c r="O108" s="2" t="str">
        <f ca="1"/>
        <v/>
      </c>
      <c r="P108" s="2" t="str">
        <f ca="1"/>
        <v/>
      </c>
      <c r="Q108" s="2">
        <f ca="1"/>
        <v>-0.20037309338307904</v>
      </c>
      <c r="R108" s="2">
        <f ca="1"/>
        <v>-0.23170933113129635</v>
      </c>
      <c r="S108" s="2" t="str">
        <f ca="1"/>
        <v/>
      </c>
      <c r="T108" s="2">
        <f ca="1"/>
        <v>-0.21536214771773923</v>
      </c>
      <c r="U108" s="2">
        <f ca="1"/>
        <v>-0.21687315392189033</v>
      </c>
      <c r="V108" s="2">
        <f ca="1"/>
        <v>-0.23230619975977093</v>
      </c>
      <c r="W108" s="2">
        <f ca="1"/>
        <v>-0.20160302794166762</v>
      </c>
      <c r="X108" s="2" t="str">
        <f ca="1"/>
        <v/>
      </c>
      <c r="Y108" s="2" t="str">
        <f ca="1"/>
        <v/>
      </c>
      <c r="Z108" s="2" t="str">
        <f ca="1"/>
        <v/>
      </c>
      <c r="AA108" s="2" t="str">
        <f ca="1"/>
        <v/>
      </c>
      <c r="AB108" s="2" t="str">
        <f ca="1"/>
        <v/>
      </c>
      <c r="AC108" s="2" t="str">
        <f ca="1"/>
        <v/>
      </c>
      <c r="AD108" s="2" t="str">
        <f ca="1"/>
        <v/>
      </c>
      <c r="AE108" s="2" t="str">
        <f ca="1"/>
        <v/>
      </c>
      <c r="AF108" s="2" t="str">
        <f ca="1"/>
        <v/>
      </c>
      <c r="AG108" s="2" t="str">
        <f ca="1"/>
        <v/>
      </c>
      <c r="AH108" s="2">
        <f ca="1"/>
        <v>4.0899999999999999E-2</v>
      </c>
    </row>
    <row r="109" spans="1:34" hidden="1" outlineLevel="1">
      <c r="A109" s="5">
        <f ca="1"/>
        <v>32111</v>
      </c>
      <c r="B109" s="2">
        <f ca="1"/>
        <v>1.0076179707171447E-2</v>
      </c>
      <c r="C109" s="2" t="str">
        <f ca="1"/>
        <v/>
      </c>
      <c r="D109" s="2" t="str">
        <f ca="1"/>
        <v/>
      </c>
      <c r="E109" s="2">
        <f ca="1"/>
        <v>8.0096624499395516E-3</v>
      </c>
      <c r="F109" s="2">
        <f ca="1"/>
        <v>5.1888283163467044E-3</v>
      </c>
      <c r="G109" s="2">
        <f ca="1"/>
        <v>1.4979936404682953E-2</v>
      </c>
      <c r="H109" s="2" t="str">
        <f ca="1"/>
        <v/>
      </c>
      <c r="I109" s="2" t="str">
        <f ca="1"/>
        <v/>
      </c>
      <c r="J109" s="2" t="str">
        <f ca="1"/>
        <v/>
      </c>
      <c r="K109" s="2" t="str">
        <f ca="1"/>
        <v/>
      </c>
      <c r="L109" s="2" t="str">
        <f ca="1"/>
        <v/>
      </c>
      <c r="M109" s="2" t="str">
        <f ca="1"/>
        <v/>
      </c>
      <c r="N109" s="2" t="str">
        <f ca="1"/>
        <v/>
      </c>
      <c r="O109" s="2" t="str">
        <f ca="1"/>
        <v/>
      </c>
      <c r="P109" s="2" t="str">
        <f ca="1"/>
        <v/>
      </c>
      <c r="Q109" s="2">
        <f ca="1"/>
        <v>-9.2356250857691821E-2</v>
      </c>
      <c r="R109" s="2">
        <f ca="1"/>
        <v>-8.7274290627687073E-2</v>
      </c>
      <c r="S109" s="2" t="str">
        <f ca="1"/>
        <v/>
      </c>
      <c r="T109" s="2">
        <f ca="1"/>
        <v>-8.2409944795265797E-2</v>
      </c>
      <c r="U109" s="2">
        <f ca="1"/>
        <v>-7.721522302836642E-2</v>
      </c>
      <c r="V109" s="2">
        <f ca="1"/>
        <v>-8.6309613359410287E-2</v>
      </c>
      <c r="W109" s="2">
        <f ca="1"/>
        <v>-6.8349135527049659E-2</v>
      </c>
      <c r="X109" s="2" t="str">
        <f ca="1"/>
        <v/>
      </c>
      <c r="Y109" s="2" t="str">
        <f ca="1"/>
        <v/>
      </c>
      <c r="Z109" s="2" t="str">
        <f ca="1"/>
        <v/>
      </c>
      <c r="AA109" s="2" t="str">
        <f ca="1"/>
        <v/>
      </c>
      <c r="AB109" s="2" t="str">
        <f ca="1"/>
        <v/>
      </c>
      <c r="AC109" s="2" t="str">
        <f ca="1"/>
        <v/>
      </c>
      <c r="AD109" s="2" t="str">
        <f ca="1"/>
        <v/>
      </c>
      <c r="AE109" s="2" t="str">
        <f ca="1"/>
        <v/>
      </c>
      <c r="AF109" s="2" t="str">
        <f ca="1"/>
        <v/>
      </c>
      <c r="AG109" s="2" t="str">
        <f ca="1"/>
        <v/>
      </c>
      <c r="AH109" s="2">
        <f ca="1"/>
        <v>4.2000000000000003E-2</v>
      </c>
    </row>
    <row r="110" spans="1:34" hidden="1" outlineLevel="1">
      <c r="A110" s="5">
        <f ca="1"/>
        <v>32142</v>
      </c>
      <c r="B110" s="2">
        <f ca="1"/>
        <v>2.9939972907743539E-2</v>
      </c>
      <c r="C110" s="2" t="str">
        <f ca="1"/>
        <v/>
      </c>
      <c r="D110" s="2" t="str">
        <f ca="1"/>
        <v/>
      </c>
      <c r="E110" s="2">
        <f ca="1"/>
        <v>1.362174434003908E-2</v>
      </c>
      <c r="F110" s="2">
        <f ca="1"/>
        <v>8.8739199893104626E-3</v>
      </c>
      <c r="G110" s="2">
        <f ca="1"/>
        <v>4.9721561858859648E-2</v>
      </c>
      <c r="H110" s="2" t="str">
        <f ca="1"/>
        <v/>
      </c>
      <c r="I110" s="2" t="str">
        <f ca="1"/>
        <v/>
      </c>
      <c r="J110" s="2" t="str">
        <f ca="1"/>
        <v/>
      </c>
      <c r="K110" s="2" t="str">
        <f ca="1"/>
        <v/>
      </c>
      <c r="L110" s="2" t="str">
        <f ca="1"/>
        <v/>
      </c>
      <c r="M110" s="2" t="str">
        <f ca="1"/>
        <v/>
      </c>
      <c r="N110" s="2" t="str">
        <f ca="1"/>
        <v/>
      </c>
      <c r="O110" s="2" t="str">
        <f ca="1"/>
        <v/>
      </c>
      <c r="P110" s="2" t="str">
        <f ca="1"/>
        <v/>
      </c>
      <c r="Q110" s="2">
        <f ca="1"/>
        <v>6.1384941034169985E-2</v>
      </c>
      <c r="R110" s="2">
        <f ca="1"/>
        <v>5.4404145077720262E-2</v>
      </c>
      <c r="S110" s="2" t="str">
        <f ca="1"/>
        <v/>
      </c>
      <c r="T110" s="2">
        <f ca="1"/>
        <v>7.6074685193226174E-2</v>
      </c>
      <c r="U110" s="2">
        <f ca="1"/>
        <v>7.31458090885867E-2</v>
      </c>
      <c r="V110" s="2">
        <f ca="1"/>
        <v>9.1548252185797013E-2</v>
      </c>
      <c r="W110" s="2">
        <f ca="1"/>
        <v>5.6017839504325331E-2</v>
      </c>
      <c r="X110" s="2" t="str">
        <f ca="1"/>
        <v/>
      </c>
      <c r="Y110" s="2" t="str">
        <f ca="1"/>
        <v/>
      </c>
      <c r="Z110" s="2" t="str">
        <f ca="1"/>
        <v/>
      </c>
      <c r="AA110" s="2" t="str">
        <f ca="1"/>
        <v/>
      </c>
      <c r="AB110" s="2" t="str">
        <f ca="1"/>
        <v/>
      </c>
      <c r="AC110" s="2" t="str">
        <f ca="1"/>
        <v/>
      </c>
      <c r="AD110" s="2" t="str">
        <f ca="1"/>
        <v/>
      </c>
      <c r="AE110" s="2" t="str">
        <f ca="1"/>
        <v/>
      </c>
      <c r="AF110" s="2" t="str">
        <f ca="1"/>
        <v/>
      </c>
      <c r="AG110" s="2" t="str">
        <f ca="1"/>
        <v/>
      </c>
      <c r="AH110" s="2">
        <f ca="1"/>
        <v>-4.3E-3</v>
      </c>
    </row>
    <row r="111" spans="1:34" collapsed="1">
      <c r="A111" s="5">
        <f ca="1"/>
        <v>32171</v>
      </c>
      <c r="B111" s="2">
        <f ca="1"/>
        <v>1.8080625709967636E-2</v>
      </c>
      <c r="C111" s="2">
        <f ca="1"/>
        <v>9.8400000000000043E-2</v>
      </c>
      <c r="D111" s="2">
        <f ca="1"/>
        <v>2.5330000000000012E-2</v>
      </c>
      <c r="E111" s="2">
        <f ca="1"/>
        <v>3.5152118459528439E-2</v>
      </c>
      <c r="F111" s="2">
        <f ca="1"/>
        <v>2.9838943716974209E-2</v>
      </c>
      <c r="G111" s="2">
        <f ca="1"/>
        <v>8.0040206243135233E-3</v>
      </c>
      <c r="H111" s="2" t="str">
        <f ca="1"/>
        <v/>
      </c>
      <c r="I111" s="2" t="str">
        <f ca="1"/>
        <v/>
      </c>
      <c r="J111" s="2" t="str">
        <f ca="1"/>
        <v/>
      </c>
      <c r="K111" s="2" t="str">
        <f ca="1"/>
        <v/>
      </c>
      <c r="L111" s="2" t="str">
        <f ca="1"/>
        <v/>
      </c>
      <c r="M111" s="2" t="str">
        <f ca="1"/>
        <v/>
      </c>
      <c r="N111" s="2" t="str">
        <f ca="1"/>
        <v/>
      </c>
      <c r="O111" s="2" t="str">
        <f ca="1"/>
        <v/>
      </c>
      <c r="P111" s="2" t="str">
        <f ca="1"/>
        <v/>
      </c>
      <c r="Q111" s="2">
        <f ca="1"/>
        <v>4.0455840455840504E-2</v>
      </c>
      <c r="R111" s="2">
        <f ca="1"/>
        <v>4.4672771945490327E-4</v>
      </c>
      <c r="S111" s="2" t="str">
        <f ca="1"/>
        <v/>
      </c>
      <c r="T111" s="2">
        <f ca="1"/>
        <v>4.2062161194673278E-2</v>
      </c>
      <c r="U111" s="2">
        <f ca="1"/>
        <v>4.49375793482861E-2</v>
      </c>
      <c r="V111" s="2">
        <f ca="1"/>
        <v>1.16754408459413E-2</v>
      </c>
      <c r="W111" s="2">
        <f ca="1"/>
        <v>7.7691642692138699E-2</v>
      </c>
      <c r="X111" s="2" t="str">
        <f ca="1"/>
        <v/>
      </c>
      <c r="Y111" s="2" t="str">
        <f ca="1"/>
        <v/>
      </c>
      <c r="Z111" s="2" t="str">
        <f ca="1"/>
        <v/>
      </c>
      <c r="AA111" s="2" t="str">
        <f ca="1"/>
        <v/>
      </c>
      <c r="AB111" s="2" t="str">
        <f ca="1"/>
        <v/>
      </c>
      <c r="AC111" s="2" t="str">
        <f ca="1"/>
        <v/>
      </c>
      <c r="AD111" s="2" t="str">
        <f ca="1"/>
        <v/>
      </c>
      <c r="AE111" s="2" t="str">
        <f ca="1"/>
        <v/>
      </c>
      <c r="AF111" s="2" t="str">
        <f ca="1"/>
        <v/>
      </c>
      <c r="AG111" s="26" t="str">
        <f ca="1"/>
        <v/>
      </c>
      <c r="AH111" s="26">
        <f ca="1"/>
        <v>-7.0999999999999994E-2</v>
      </c>
    </row>
    <row r="112" spans="1:34">
      <c r="A112" s="5">
        <f ca="1"/>
        <v>32202</v>
      </c>
      <c r="B112" s="2">
        <f ca="1"/>
        <v>6.6914815240293815E-2</v>
      </c>
      <c r="C112" s="2">
        <f ca="1"/>
        <v>3.3685360524398247E-3</v>
      </c>
      <c r="D112" s="2">
        <f ca="1"/>
        <v>5.8078862415027341E-2</v>
      </c>
      <c r="E112" s="2">
        <f ca="1"/>
        <v>1.1870417117441967E-2</v>
      </c>
      <c r="F112" s="2">
        <f ca="1"/>
        <v>6.8421709601829042E-2</v>
      </c>
      <c r="G112" s="2">
        <f ca="1"/>
        <v>6.5216454613163971E-2</v>
      </c>
      <c r="H112" s="2" t="str">
        <f ca="1"/>
        <v/>
      </c>
      <c r="I112" s="2" t="str">
        <f ca="1"/>
        <v/>
      </c>
      <c r="J112" s="2" t="str">
        <f ca="1"/>
        <v/>
      </c>
      <c r="K112" s="2" t="str">
        <f ca="1"/>
        <v/>
      </c>
      <c r="L112" s="2" t="str">
        <f ca="1"/>
        <v/>
      </c>
      <c r="M112" s="2" t="str">
        <f ca="1"/>
        <v/>
      </c>
      <c r="N112" s="2" t="str">
        <f ca="1"/>
        <v/>
      </c>
      <c r="O112" s="2" t="str">
        <f ca="1"/>
        <v/>
      </c>
      <c r="P112" s="2" t="str">
        <f ca="1"/>
        <v/>
      </c>
      <c r="Q112" s="2">
        <f ca="1"/>
        <v>4.1073384446878428E-2</v>
      </c>
      <c r="R112" s="2">
        <f ca="1"/>
        <v>5.5592766242464883E-2</v>
      </c>
      <c r="S112" s="2" t="str">
        <f ca="1"/>
        <v/>
      </c>
      <c r="T112" s="2">
        <f ca="1"/>
        <v>4.6614927548461131E-2</v>
      </c>
      <c r="U112" s="2">
        <f ca="1"/>
        <v>4.9155845799478612E-2</v>
      </c>
      <c r="V112" s="2">
        <f ca="1"/>
        <v>5.4497741064905264E-2</v>
      </c>
      <c r="W112" s="2">
        <f ca="1"/>
        <v>4.4317031153426223E-2</v>
      </c>
      <c r="X112" s="2" t="str">
        <f ca="1"/>
        <v/>
      </c>
      <c r="Y112" s="2" t="str">
        <f ca="1"/>
        <v/>
      </c>
      <c r="Z112" s="2" t="str">
        <f ca="1"/>
        <v/>
      </c>
      <c r="AA112" s="2" t="str">
        <f ca="1"/>
        <v/>
      </c>
      <c r="AB112" s="2" t="str">
        <f ca="1"/>
        <v/>
      </c>
      <c r="AC112" s="2" t="str">
        <f ca="1"/>
        <v/>
      </c>
      <c r="AD112" s="2" t="str">
        <f ca="1"/>
        <v/>
      </c>
      <c r="AE112" s="2" t="str">
        <f ca="1"/>
        <v/>
      </c>
      <c r="AF112" s="2" t="str">
        <f ca="1"/>
        <v/>
      </c>
      <c r="AG112" s="26" t="str">
        <f ca="1"/>
        <v/>
      </c>
      <c r="AH112" s="26">
        <f ca="1"/>
        <v>-4.9100000000000005E-2</v>
      </c>
    </row>
    <row r="113" spans="1:34">
      <c r="A113" s="5">
        <f ca="1"/>
        <v>32233</v>
      </c>
      <c r="B113" s="2">
        <f ca="1"/>
        <v>6.1675477264917025E-2</v>
      </c>
      <c r="C113" s="2">
        <f ca="1"/>
        <v>0.10743126758007444</v>
      </c>
      <c r="D113" s="2">
        <f ca="1"/>
        <v>3.1100213848536205E-2</v>
      </c>
      <c r="E113" s="2">
        <f ca="1"/>
        <v>-9.3849306524901796E-3</v>
      </c>
      <c r="F113" s="2">
        <f ca="1"/>
        <v>5.2903904177667604E-2</v>
      </c>
      <c r="G113" s="2">
        <f ca="1"/>
        <v>6.9897257503438254E-2</v>
      </c>
      <c r="H113" s="2" t="str">
        <f ca="1"/>
        <v/>
      </c>
      <c r="I113" s="2" t="str">
        <f ca="1"/>
        <v/>
      </c>
      <c r="J113" s="2" t="str">
        <f ca="1"/>
        <v/>
      </c>
      <c r="K113" s="2" t="str">
        <f ca="1"/>
        <v/>
      </c>
      <c r="L113" s="2" t="str">
        <f ca="1"/>
        <v/>
      </c>
      <c r="M113" s="2" t="str">
        <f ca="1"/>
        <v/>
      </c>
      <c r="N113" s="2" t="str">
        <f ca="1"/>
        <v/>
      </c>
      <c r="O113" s="2" t="str">
        <f ca="1"/>
        <v/>
      </c>
      <c r="P113" s="2" t="str">
        <f ca="1"/>
        <v/>
      </c>
      <c r="Q113" s="2">
        <f ca="1"/>
        <v>-3.0641767490794482E-2</v>
      </c>
      <c r="R113" s="2">
        <f ca="1"/>
        <v>-4.0186125211505892E-2</v>
      </c>
      <c r="S113" s="2" t="str">
        <f ca="1"/>
        <v/>
      </c>
      <c r="T113" s="2">
        <f ca="1"/>
        <v>-3.0892848658342562E-2</v>
      </c>
      <c r="U113" s="2">
        <f ca="1"/>
        <v>-2.6273251465656556E-2</v>
      </c>
      <c r="V113" s="2">
        <f ca="1"/>
        <v>-3.36104748168886E-2</v>
      </c>
      <c r="W113" s="2">
        <f ca="1"/>
        <v>-1.9367106141311836E-2</v>
      </c>
      <c r="X113" s="2" t="str">
        <f ca="1"/>
        <v/>
      </c>
      <c r="Y113" s="2" t="str">
        <f ca="1"/>
        <v/>
      </c>
      <c r="Z113" s="2" t="str">
        <f ca="1"/>
        <v/>
      </c>
      <c r="AA113" s="2" t="str">
        <f ca="1"/>
        <v/>
      </c>
      <c r="AB113" s="2" t="str">
        <f ca="1"/>
        <v/>
      </c>
      <c r="AC113" s="2" t="str">
        <f ca="1"/>
        <v/>
      </c>
      <c r="AD113" s="2" t="str">
        <f ca="1"/>
        <v/>
      </c>
      <c r="AE113" s="2" t="str">
        <f ca="1"/>
        <v/>
      </c>
      <c r="AF113" s="2" t="str">
        <f ca="1"/>
        <v/>
      </c>
      <c r="AG113" s="26" t="str">
        <f ca="1"/>
        <v/>
      </c>
      <c r="AH113" s="26">
        <f ca="1"/>
        <v>5.21E-2</v>
      </c>
    </row>
    <row r="114" spans="1:34">
      <c r="A114" s="5">
        <f ca="1"/>
        <v>32262</v>
      </c>
      <c r="B114" s="2">
        <f ca="1"/>
        <v>1.471672446147583E-2</v>
      </c>
      <c r="C114" s="2">
        <f ca="1"/>
        <v>5.3338795575583825E-2</v>
      </c>
      <c r="D114" s="2">
        <f ca="1"/>
        <v>1.2980279272675244E-2</v>
      </c>
      <c r="E114" s="2">
        <f ca="1"/>
        <v>-5.3964922800180219E-3</v>
      </c>
      <c r="F114" s="2">
        <f ca="1"/>
        <v>3.2111256256236212E-4</v>
      </c>
      <c r="G114" s="2">
        <f ca="1"/>
        <v>2.8047529030515831E-2</v>
      </c>
      <c r="H114" s="2" t="str">
        <f ca="1"/>
        <v/>
      </c>
      <c r="I114" s="2" t="str">
        <f ca="1"/>
        <v/>
      </c>
      <c r="J114" s="2" t="str">
        <f ca="1"/>
        <v/>
      </c>
      <c r="K114" s="2" t="str">
        <f ca="1"/>
        <v/>
      </c>
      <c r="L114" s="2" t="str">
        <f ca="1"/>
        <v/>
      </c>
      <c r="M114" s="2" t="str">
        <f ca="1"/>
        <v/>
      </c>
      <c r="N114" s="2" t="str">
        <f ca="1"/>
        <v/>
      </c>
      <c r="O114" s="2" t="str">
        <f ca="1"/>
        <v/>
      </c>
      <c r="P114" s="2" t="str">
        <f ca="1"/>
        <v/>
      </c>
      <c r="Q114" s="2">
        <f ca="1"/>
        <v>-4.7483380816713385E-3</v>
      </c>
      <c r="R114" s="2">
        <f ca="1"/>
        <v>3.9665050683120248E-3</v>
      </c>
      <c r="S114" s="2" t="str">
        <f ca="1"/>
        <v/>
      </c>
      <c r="T114" s="2">
        <f ca="1"/>
        <v>1.1060502251036814E-2</v>
      </c>
      <c r="U114" s="2">
        <f ca="1"/>
        <v>8.2011892963330078E-3</v>
      </c>
      <c r="V114" s="2">
        <f ca="1"/>
        <v>1.5655863633038162E-3</v>
      </c>
      <c r="W114" s="2">
        <f ca="1"/>
        <v>1.4510433386837825E-2</v>
      </c>
      <c r="X114" s="2" t="str">
        <f ca="1"/>
        <v/>
      </c>
      <c r="Y114" s="2" t="str">
        <f ca="1"/>
        <v/>
      </c>
      <c r="Z114" s="2" t="str">
        <f ca="1"/>
        <v/>
      </c>
      <c r="AA114" s="2" t="str">
        <f ca="1"/>
        <v/>
      </c>
      <c r="AB114" s="2" t="str">
        <f ca="1"/>
        <v/>
      </c>
      <c r="AC114" s="2" t="str">
        <f ca="1"/>
        <v/>
      </c>
      <c r="AD114" s="2" t="str">
        <f ca="1"/>
        <v/>
      </c>
      <c r="AE114" s="2" t="str">
        <f ca="1"/>
        <v/>
      </c>
      <c r="AF114" s="2" t="str">
        <f ca="1"/>
        <v/>
      </c>
      <c r="AG114" s="26" t="str">
        <f ca="1"/>
        <v/>
      </c>
      <c r="AH114" s="26">
        <f ca="1"/>
        <v>-4.0000000000000001E-3</v>
      </c>
    </row>
    <row r="115" spans="1:34">
      <c r="A115" s="5">
        <f ca="1"/>
        <v>32294</v>
      </c>
      <c r="B115" s="2">
        <f ca="1"/>
        <v>-3.1832651749425359E-2</v>
      </c>
      <c r="C115" s="2">
        <f ca="1"/>
        <v>2.9947106409458572E-2</v>
      </c>
      <c r="D115" s="2">
        <f ca="1"/>
        <v>-1.952097710785948E-2</v>
      </c>
      <c r="E115" s="2">
        <f ca="1"/>
        <v>-6.7219291635268073E-3</v>
      </c>
      <c r="F115" s="2">
        <f ca="1"/>
        <v>-4.0196773770668187E-2</v>
      </c>
      <c r="G115" s="2">
        <f ca="1"/>
        <v>-2.3972512779561164E-2</v>
      </c>
      <c r="H115" s="2" t="str">
        <f ca="1"/>
        <v/>
      </c>
      <c r="I115" s="2" t="str">
        <f ca="1"/>
        <v/>
      </c>
      <c r="J115" s="2" t="str">
        <f ca="1"/>
        <v/>
      </c>
      <c r="K115" s="2" t="str">
        <f ca="1"/>
        <v/>
      </c>
      <c r="L115" s="2" t="str">
        <f ca="1"/>
        <v/>
      </c>
      <c r="M115" s="2" t="str">
        <f ca="1"/>
        <v/>
      </c>
      <c r="N115" s="2" t="str">
        <f ca="1"/>
        <v/>
      </c>
      <c r="O115" s="2" t="str">
        <f ca="1"/>
        <v/>
      </c>
      <c r="P115" s="2" t="str">
        <f ca="1"/>
        <v/>
      </c>
      <c r="Q115" s="2">
        <f ca="1"/>
        <v>2.8625954198472432E-3</v>
      </c>
      <c r="R115" s="2">
        <f ca="1"/>
        <v>6.3652326602282516E-3</v>
      </c>
      <c r="S115" s="2" t="str">
        <f ca="1"/>
        <v/>
      </c>
      <c r="T115" s="2">
        <f ca="1"/>
        <v>8.6492377406537629E-3</v>
      </c>
      <c r="U115" s="2">
        <f ca="1"/>
        <v>6.0209874419404497E-3</v>
      </c>
      <c r="V115" s="2">
        <f ca="1"/>
        <v>-3.6083679074387877E-3</v>
      </c>
      <c r="W115" s="2">
        <f ca="1"/>
        <v>1.4556040756914192E-2</v>
      </c>
      <c r="X115" s="2" t="str">
        <f ca="1"/>
        <v/>
      </c>
      <c r="Y115" s="2" t="str">
        <f ca="1"/>
        <v/>
      </c>
      <c r="Z115" s="2" t="str">
        <f ca="1"/>
        <v/>
      </c>
      <c r="AA115" s="2" t="str">
        <f ca="1"/>
        <v/>
      </c>
      <c r="AB115" s="2" t="str">
        <f ca="1"/>
        <v/>
      </c>
      <c r="AC115" s="2" t="str">
        <f ca="1"/>
        <v/>
      </c>
      <c r="AD115" s="2" t="str">
        <f ca="1"/>
        <v/>
      </c>
      <c r="AE115" s="2" t="str">
        <f ca="1"/>
        <v/>
      </c>
      <c r="AF115" s="2" t="str">
        <f ca="1"/>
        <v/>
      </c>
      <c r="AG115" s="26" t="str">
        <f ca="1"/>
        <v/>
      </c>
      <c r="AH115" s="26">
        <f ca="1"/>
        <v>5.3E-3</v>
      </c>
    </row>
    <row r="116" spans="1:34">
      <c r="A116" s="5">
        <f ca="1"/>
        <v>32324</v>
      </c>
      <c r="B116" s="2">
        <f ca="1"/>
        <v>-2.6152966448761351E-2</v>
      </c>
      <c r="C116" s="2">
        <f ca="1"/>
        <v>3.3985348538630014E-2</v>
      </c>
      <c r="D116" s="2">
        <f ca="1"/>
        <v>-7.9206494932591734E-4</v>
      </c>
      <c r="E116" s="2">
        <f ca="1"/>
        <v>2.4126001456664381E-2</v>
      </c>
      <c r="F116" s="2">
        <f ca="1"/>
        <v>-3.8560204244231677E-2</v>
      </c>
      <c r="G116" s="2">
        <f ca="1"/>
        <v>-1.485628162342551E-2</v>
      </c>
      <c r="H116" s="2" t="str">
        <f ca="1"/>
        <v/>
      </c>
      <c r="I116" s="2" t="str">
        <f ca="1"/>
        <v/>
      </c>
      <c r="J116" s="2" t="str">
        <f ca="1"/>
        <v/>
      </c>
      <c r="K116" s="2" t="str">
        <f ca="1"/>
        <v/>
      </c>
      <c r="L116" s="2" t="str">
        <f ca="1"/>
        <v/>
      </c>
      <c r="M116" s="2" t="str">
        <f ca="1"/>
        <v/>
      </c>
      <c r="N116" s="2" t="str">
        <f ca="1"/>
        <v/>
      </c>
      <c r="O116" s="2" t="str">
        <f ca="1"/>
        <v/>
      </c>
      <c r="P116" s="2" t="str">
        <f ca="1"/>
        <v/>
      </c>
      <c r="Q116" s="2">
        <f ca="1"/>
        <v>4.00978659779802E-2</v>
      </c>
      <c r="R116" s="2">
        <f ca="1"/>
        <v>3.6205016357688038E-2</v>
      </c>
      <c r="S116" s="2">
        <f ca="1"/>
        <v>3.5935779284762007E-2</v>
      </c>
      <c r="T116" s="2">
        <f ca="1"/>
        <v>4.5890268419826581E-2</v>
      </c>
      <c r="U116" s="2">
        <f ca="1"/>
        <v>5.129958960328318E-2</v>
      </c>
      <c r="V116" s="2">
        <f ca="1"/>
        <v>5.5904992302617147E-2</v>
      </c>
      <c r="W116" s="2">
        <f ca="1"/>
        <v>4.7245960950658E-2</v>
      </c>
      <c r="X116" s="2" t="str">
        <f ca="1"/>
        <v/>
      </c>
      <c r="Y116" s="2" t="str">
        <f ca="1"/>
        <v/>
      </c>
      <c r="Z116" s="2" t="str">
        <f ca="1"/>
        <v/>
      </c>
      <c r="AA116" s="2" t="str">
        <f ca="1"/>
        <v/>
      </c>
      <c r="AB116" s="2" t="str">
        <f ca="1"/>
        <v/>
      </c>
      <c r="AC116" s="2" t="str">
        <f ca="1"/>
        <v/>
      </c>
      <c r="AD116" s="2" t="str">
        <f ca="1"/>
        <v/>
      </c>
      <c r="AE116" s="2" t="str">
        <f ca="1"/>
        <v/>
      </c>
      <c r="AF116" s="2" t="str">
        <f ca="1"/>
        <v/>
      </c>
      <c r="AG116" s="26" t="str">
        <f ca="1"/>
        <v/>
      </c>
      <c r="AH116" s="26">
        <f ca="1"/>
        <v>-3.7999999999999999E-2</v>
      </c>
    </row>
    <row r="117" spans="1:34">
      <c r="A117" s="5">
        <f ca="1"/>
        <v>32353</v>
      </c>
      <c r="B117" s="2">
        <f ca="1"/>
        <v>3.1579922913249479E-2</v>
      </c>
      <c r="C117" s="2">
        <f ca="1"/>
        <v>-2.5418157913958003E-2</v>
      </c>
      <c r="D117" s="2">
        <f ca="1"/>
        <v>1.874538346514857E-2</v>
      </c>
      <c r="E117" s="2">
        <f ca="1"/>
        <v>-5.244910658725334E-3</v>
      </c>
      <c r="F117" s="2">
        <f ca="1"/>
        <v>1.3851855899173145E-2</v>
      </c>
      <c r="G117" s="2">
        <f ca="1"/>
        <v>4.6945688995738089E-2</v>
      </c>
      <c r="H117" s="2" t="str">
        <f ca="1"/>
        <v/>
      </c>
      <c r="I117" s="2" t="str">
        <f ca="1"/>
        <v/>
      </c>
      <c r="J117" s="2" t="str">
        <f ca="1"/>
        <v/>
      </c>
      <c r="K117" s="2" t="str">
        <f ca="1"/>
        <v/>
      </c>
      <c r="L117" s="2" t="str">
        <f ca="1"/>
        <v/>
      </c>
      <c r="M117" s="2" t="str">
        <f ca="1"/>
        <v/>
      </c>
      <c r="N117" s="2" t="str">
        <f ca="1"/>
        <v/>
      </c>
      <c r="O117" s="2" t="str">
        <f ca="1"/>
        <v/>
      </c>
      <c r="P117" s="2" t="str">
        <f ca="1"/>
        <v/>
      </c>
      <c r="Q117" s="2">
        <f ca="1"/>
        <v>4.4432828018819061E-3</v>
      </c>
      <c r="R117" s="2">
        <f ca="1"/>
        <v>-9.4716901704903333E-3</v>
      </c>
      <c r="S117" s="2">
        <f ca="1"/>
        <v>-3.468919599395603E-3</v>
      </c>
      <c r="T117" s="2">
        <f ca="1"/>
        <v>-3.7918710671695018E-3</v>
      </c>
      <c r="U117" s="2">
        <f ca="1"/>
        <v>-7.8074170461939155E-3</v>
      </c>
      <c r="V117" s="2">
        <f ca="1"/>
        <v>-1.641256352578525E-2</v>
      </c>
      <c r="W117" s="2">
        <f ca="1"/>
        <v>3.097376760145155E-4</v>
      </c>
      <c r="X117" s="2" t="str">
        <f ca="1"/>
        <v/>
      </c>
      <c r="Y117" s="2" t="str">
        <f ca="1"/>
        <v/>
      </c>
      <c r="Z117" s="2" t="str">
        <f ca="1"/>
        <v/>
      </c>
      <c r="AA117" s="2" t="str">
        <f ca="1"/>
        <v/>
      </c>
      <c r="AB117" s="2" t="str">
        <f ca="1"/>
        <v/>
      </c>
      <c r="AC117" s="2" t="str">
        <f ca="1"/>
        <v/>
      </c>
      <c r="AD117" s="2" t="str">
        <f ca="1"/>
        <v/>
      </c>
      <c r="AE117" s="2" t="str">
        <f ca="1"/>
        <v/>
      </c>
      <c r="AF117" s="2" t="str">
        <f ca="1"/>
        <v/>
      </c>
      <c r="AG117" s="26" t="str">
        <f ca="1"/>
        <v/>
      </c>
      <c r="AH117" s="26">
        <f ca="1"/>
        <v>-3.7000000000000002E-3</v>
      </c>
    </row>
    <row r="118" spans="1:34">
      <c r="A118" s="5">
        <f ca="1"/>
        <v>32386</v>
      </c>
      <c r="B118" s="2">
        <f ca="1"/>
        <v>-6.4822985161692895E-2</v>
      </c>
      <c r="C118" s="2">
        <f ca="1"/>
        <v>-2.6755602188413347E-2</v>
      </c>
      <c r="D118" s="2">
        <f ca="1"/>
        <v>-5.4715062558026467E-2</v>
      </c>
      <c r="E118" s="2">
        <f ca="1"/>
        <v>2.621388144176335E-3</v>
      </c>
      <c r="F118" s="2">
        <f ca="1"/>
        <v>-5.2736338070169579E-2</v>
      </c>
      <c r="G118" s="2">
        <f ca="1"/>
        <v>-7.420725215539728E-2</v>
      </c>
      <c r="H118" s="2" t="str">
        <f ca="1"/>
        <v/>
      </c>
      <c r="I118" s="2" t="str">
        <f ca="1"/>
        <v/>
      </c>
      <c r="J118" s="2" t="str">
        <f ca="1"/>
        <v/>
      </c>
      <c r="K118" s="2" t="str">
        <f ca="1"/>
        <v/>
      </c>
      <c r="L118" s="2" t="str">
        <f ca="1"/>
        <v/>
      </c>
      <c r="M118" s="2" t="str">
        <f ca="1"/>
        <v/>
      </c>
      <c r="N118" s="2" t="str">
        <f ca="1"/>
        <v/>
      </c>
      <c r="O118" s="2" t="str">
        <f ca="1"/>
        <v/>
      </c>
      <c r="P118" s="2" t="str">
        <f ca="1"/>
        <v/>
      </c>
      <c r="Q118" s="2">
        <f ca="1"/>
        <v>-2.4069737184491208E-2</v>
      </c>
      <c r="R118" s="2">
        <f ca="1"/>
        <v>-4.4836379090522724E-2</v>
      </c>
      <c r="S118" s="2">
        <f ca="1"/>
        <v>-1.9482342372691187E-2</v>
      </c>
      <c r="T118" s="2">
        <f ca="1"/>
        <v>-3.3967305019881322E-2</v>
      </c>
      <c r="U118" s="2">
        <f ca="1"/>
        <v>-2.7892271662763528E-2</v>
      </c>
      <c r="V118" s="2">
        <f ca="1"/>
        <v>-3.6605680727313843E-2</v>
      </c>
      <c r="W118" s="2">
        <f ca="1"/>
        <v>-1.9709889481707328E-2</v>
      </c>
      <c r="X118" s="2" t="str">
        <f ca="1"/>
        <v/>
      </c>
      <c r="Y118" s="2" t="str">
        <f ca="1"/>
        <v/>
      </c>
      <c r="Z118" s="2" t="str">
        <f ca="1"/>
        <v/>
      </c>
      <c r="AA118" s="2" t="str">
        <f ca="1"/>
        <v/>
      </c>
      <c r="AB118" s="2" t="str">
        <f ca="1"/>
        <v/>
      </c>
      <c r="AC118" s="2" t="str">
        <f ca="1"/>
        <v/>
      </c>
      <c r="AD118" s="2" t="str">
        <f ca="1"/>
        <v/>
      </c>
      <c r="AE118" s="2" t="str">
        <f ca="1"/>
        <v/>
      </c>
      <c r="AF118" s="2" t="str">
        <f ca="1"/>
        <v/>
      </c>
      <c r="AG118" s="26" t="str">
        <f ca="1"/>
        <v/>
      </c>
      <c r="AH118" s="26">
        <f ca="1"/>
        <v>-4.5999999999999999E-3</v>
      </c>
    </row>
    <row r="119" spans="1:34">
      <c r="A119" s="5">
        <f ca="1"/>
        <v>32416</v>
      </c>
      <c r="B119" s="2">
        <f ca="1"/>
        <v>4.3894055230616721E-2</v>
      </c>
      <c r="C119" s="2">
        <f ca="1"/>
        <v>6.4762051440012292E-2</v>
      </c>
      <c r="D119" s="2">
        <f ca="1"/>
        <v>4.3205776983733533E-2</v>
      </c>
      <c r="E119" s="2">
        <f ca="1"/>
        <v>2.263949135421001E-2</v>
      </c>
      <c r="F119" s="2">
        <f ca="1"/>
        <v>5.1118035155857465E-2</v>
      </c>
      <c r="G119" s="2">
        <f ca="1"/>
        <v>3.681092264069042E-2</v>
      </c>
      <c r="H119" s="2" t="str">
        <f ca="1"/>
        <v/>
      </c>
      <c r="I119" s="2" t="str">
        <f ca="1"/>
        <v/>
      </c>
      <c r="J119" s="2" t="str">
        <f ca="1"/>
        <v/>
      </c>
      <c r="K119" s="2" t="str">
        <f ca="1"/>
        <v/>
      </c>
      <c r="L119" s="2" t="str">
        <f ca="1"/>
        <v/>
      </c>
      <c r="M119" s="2" t="str">
        <f ca="1"/>
        <v/>
      </c>
      <c r="N119" s="2" t="str">
        <f ca="1"/>
        <v/>
      </c>
      <c r="O119" s="2" t="str">
        <f ca="1"/>
        <v/>
      </c>
      <c r="P119" s="2" t="str">
        <f ca="1"/>
        <v/>
      </c>
      <c r="Q119" s="2">
        <f ca="1"/>
        <v>5.4659378749499984E-2</v>
      </c>
      <c r="R119" s="2">
        <f ca="1"/>
        <v>4.3826473859844242E-2</v>
      </c>
      <c r="S119" s="2">
        <f ca="1"/>
        <v>5.783325698579949E-2</v>
      </c>
      <c r="T119" s="2">
        <f ca="1"/>
        <v>4.2605413465435567E-2</v>
      </c>
      <c r="U119" s="2">
        <f ca="1"/>
        <v>4.1436796839239794E-2</v>
      </c>
      <c r="V119" s="2">
        <f ca="1"/>
        <v>5.0818398956669605E-2</v>
      </c>
      <c r="W119" s="2">
        <f ca="1"/>
        <v>3.2558648087179336E-2</v>
      </c>
      <c r="X119" s="2" t="str">
        <f ca="1"/>
        <v/>
      </c>
      <c r="Y119" s="2" t="str">
        <f ca="1"/>
        <v/>
      </c>
      <c r="Z119" s="2" t="str">
        <f ca="1"/>
        <v/>
      </c>
      <c r="AA119" s="2" t="str">
        <f ca="1"/>
        <v/>
      </c>
      <c r="AB119" s="2" t="str">
        <f ca="1"/>
        <v/>
      </c>
      <c r="AC119" s="2" t="str">
        <f ca="1"/>
        <v/>
      </c>
      <c r="AD119" s="2" t="str">
        <f ca="1"/>
        <v/>
      </c>
      <c r="AE119" s="2" t="str">
        <f ca="1"/>
        <v/>
      </c>
      <c r="AF119" s="2" t="str">
        <f ca="1"/>
        <v/>
      </c>
      <c r="AG119" s="26" t="str">
        <f ca="1"/>
        <v/>
      </c>
      <c r="AH119" s="26">
        <f ca="1"/>
        <v>-9.1499999999999998E-2</v>
      </c>
    </row>
    <row r="120" spans="1:34">
      <c r="A120" s="5">
        <f ca="1"/>
        <v>32447</v>
      </c>
      <c r="B120" s="2">
        <f ca="1"/>
        <v>8.5797380619509075E-2</v>
      </c>
      <c r="C120" s="2">
        <f ca="1"/>
        <v>-6.4366818543430586E-3</v>
      </c>
      <c r="D120" s="2">
        <f ca="1"/>
        <v>6.5661818768717684E-2</v>
      </c>
      <c r="E120" s="2">
        <f ca="1"/>
        <v>1.8826263800116264E-2</v>
      </c>
      <c r="F120" s="2">
        <f ca="1"/>
        <v>9.711527358803744E-2</v>
      </c>
      <c r="G120" s="2">
        <f ca="1"/>
        <v>7.5112954877856547E-2</v>
      </c>
      <c r="H120" s="2" t="str">
        <f ca="1"/>
        <v/>
      </c>
      <c r="I120" s="2" t="str">
        <f ca="1"/>
        <v/>
      </c>
      <c r="J120" s="2" t="str">
        <f ca="1"/>
        <v/>
      </c>
      <c r="K120" s="2" t="str">
        <f ca="1"/>
        <v/>
      </c>
      <c r="L120" s="2" t="str">
        <f ca="1"/>
        <v/>
      </c>
      <c r="M120" s="2" t="str">
        <f ca="1"/>
        <v/>
      </c>
      <c r="N120" s="2" t="str">
        <f ca="1"/>
        <v/>
      </c>
      <c r="O120" s="2" t="str">
        <f ca="1"/>
        <v/>
      </c>
      <c r="P120" s="2" t="str">
        <f ca="1"/>
        <v/>
      </c>
      <c r="Q120" s="2">
        <f ca="1"/>
        <v>2.4396410061939159E-2</v>
      </c>
      <c r="R120" s="2">
        <f ca="1"/>
        <v>1.9820971867007667E-2</v>
      </c>
      <c r="S120" s="2">
        <f ca="1"/>
        <v>2.1597921403052833E-2</v>
      </c>
      <c r="T120" s="2">
        <f ca="1"/>
        <v>2.7843378913858956E-2</v>
      </c>
      <c r="U120" s="2">
        <f ca="1"/>
        <v>2.1096948807513484E-2</v>
      </c>
      <c r="V120" s="2">
        <f ca="1"/>
        <v>1.9480972235779805E-2</v>
      </c>
      <c r="W120" s="2">
        <f ca="1"/>
        <v>2.2672455378678326E-2</v>
      </c>
      <c r="X120" s="2" t="str">
        <f ca="1"/>
        <v/>
      </c>
      <c r="Y120" s="2" t="str">
        <f ca="1"/>
        <v/>
      </c>
      <c r="Z120" s="2" t="str">
        <f ca="1"/>
        <v/>
      </c>
      <c r="AA120" s="2" t="str">
        <f ca="1"/>
        <v/>
      </c>
      <c r="AB120" s="2" t="str">
        <f ca="1"/>
        <v/>
      </c>
      <c r="AC120" s="2" t="str">
        <f ca="1"/>
        <v/>
      </c>
      <c r="AD120" s="2" t="str">
        <f ca="1"/>
        <v/>
      </c>
      <c r="AE120" s="2" t="str">
        <f ca="1"/>
        <v/>
      </c>
      <c r="AF120" s="2" t="str">
        <f ca="1"/>
        <v/>
      </c>
      <c r="AG120" s="26" t="str">
        <f ca="1"/>
        <v/>
      </c>
      <c r="AH120" s="26">
        <f ca="1"/>
        <v>5.2499999999999998E-2</v>
      </c>
    </row>
    <row r="121" spans="1:34">
      <c r="A121" s="5">
        <f ca="1"/>
        <v>32477</v>
      </c>
      <c r="B121" s="2">
        <f ca="1"/>
        <v>5.9776570041298091E-2</v>
      </c>
      <c r="C121" s="2">
        <f ca="1"/>
        <v>-4.2946571553355902E-3</v>
      </c>
      <c r="D121" s="2">
        <f ca="1"/>
        <v>3.3731878265698491E-2</v>
      </c>
      <c r="E121" s="2">
        <f ca="1"/>
        <v>-1.214782707881827E-2</v>
      </c>
      <c r="F121" s="2">
        <f ca="1"/>
        <v>6.3742874222053686E-2</v>
      </c>
      <c r="G121" s="2">
        <f ca="1"/>
        <v>5.6180400327706201E-2</v>
      </c>
      <c r="H121" s="2" t="str">
        <f ca="1"/>
        <v/>
      </c>
      <c r="I121" s="2" t="str">
        <f ca="1"/>
        <v/>
      </c>
      <c r="J121" s="2" t="str">
        <f ca="1"/>
        <v/>
      </c>
      <c r="K121" s="2" t="str">
        <f ca="1"/>
        <v/>
      </c>
      <c r="L121" s="2" t="str">
        <f ca="1"/>
        <v/>
      </c>
      <c r="M121" s="2" t="str">
        <f ca="1"/>
        <v/>
      </c>
      <c r="N121" s="2" t="str">
        <f ca="1"/>
        <v/>
      </c>
      <c r="O121" s="2" t="str">
        <f ca="1"/>
        <v/>
      </c>
      <c r="P121" s="2" t="str">
        <f ca="1"/>
        <v/>
      </c>
      <c r="Q121" s="2">
        <f ca="1"/>
        <v>-1.5547877591312993E-2</v>
      </c>
      <c r="R121" s="2">
        <f ca="1"/>
        <v>-2.1734587251828613E-2</v>
      </c>
      <c r="S121" s="2">
        <f ca="1"/>
        <v>-1.3935251417368706E-2</v>
      </c>
      <c r="T121" s="2">
        <f ca="1"/>
        <v>-1.425148453237352E-2</v>
      </c>
      <c r="U121" s="2">
        <f ca="1"/>
        <v>-1.5314560159489017E-2</v>
      </c>
      <c r="V121" s="2">
        <f ca="1"/>
        <v>-1.8862504787437829E-2</v>
      </c>
      <c r="W121" s="2">
        <f ca="1"/>
        <v>-1.2114588127013316E-2</v>
      </c>
      <c r="X121" s="2" t="str">
        <f ca="1"/>
        <v/>
      </c>
      <c r="Y121" s="2" t="str">
        <f ca="1"/>
        <v/>
      </c>
      <c r="Z121" s="2" t="str">
        <f ca="1"/>
        <v/>
      </c>
      <c r="AA121" s="2" t="str">
        <f ca="1"/>
        <v/>
      </c>
      <c r="AB121" s="2" t="str">
        <f ca="1"/>
        <v/>
      </c>
      <c r="AC121" s="2" t="str">
        <f ca="1"/>
        <v/>
      </c>
      <c r="AD121" s="2" t="str">
        <f ca="1"/>
        <v/>
      </c>
      <c r="AE121" s="2" t="str">
        <f ca="1"/>
        <v/>
      </c>
      <c r="AF121" s="2" t="str">
        <f ca="1"/>
        <v/>
      </c>
      <c r="AG121" s="26" t="str">
        <f ca="1"/>
        <v/>
      </c>
      <c r="AH121" s="26">
        <f ca="1"/>
        <v>2.3399999999999997E-2</v>
      </c>
    </row>
    <row r="122" spans="1:34">
      <c r="A122" s="5">
        <f ca="1"/>
        <v>32507</v>
      </c>
      <c r="B122" s="2">
        <f ca="1"/>
        <v>5.7532747324258518E-3</v>
      </c>
      <c r="C122" s="2">
        <f ca="1"/>
        <v>2.6610132319614122E-2</v>
      </c>
      <c r="D122" s="2">
        <f ca="1"/>
        <v>9.2220286835207766E-3</v>
      </c>
      <c r="E122" s="2">
        <f ca="1"/>
        <v>1.125801050747608E-3</v>
      </c>
      <c r="F122" s="2">
        <f ca="1"/>
        <v>4.5620875222036877E-3</v>
      </c>
      <c r="G122" s="2">
        <f ca="1"/>
        <v>8.3649753168588761E-3</v>
      </c>
      <c r="H122" s="2" t="str">
        <f ca="1"/>
        <v/>
      </c>
      <c r="I122" s="2" t="str">
        <f ca="1"/>
        <v/>
      </c>
      <c r="J122" s="2" t="str">
        <f ca="1"/>
        <v/>
      </c>
      <c r="K122" s="2" t="str">
        <f ca="1"/>
        <v/>
      </c>
      <c r="L122" s="2" t="str">
        <f ca="1"/>
        <v/>
      </c>
      <c r="M122" s="2" t="str">
        <f ca="1"/>
        <v/>
      </c>
      <c r="N122" s="2" t="str">
        <f ca="1"/>
        <v/>
      </c>
      <c r="O122" s="2" t="str">
        <f ca="1"/>
        <v/>
      </c>
      <c r="P122" s="2" t="str">
        <f ca="1"/>
        <v/>
      </c>
      <c r="Q122" s="2">
        <f ca="1"/>
        <v>1.917773878164955E-2</v>
      </c>
      <c r="R122" s="2">
        <f ca="1"/>
        <v>-2.990813928647737E-3</v>
      </c>
      <c r="S122" s="2">
        <f ca="1"/>
        <v>1.0263299301450817E-2</v>
      </c>
      <c r="T122" s="2">
        <f ca="1"/>
        <v>1.7445244159206216E-2</v>
      </c>
      <c r="U122" s="2">
        <f ca="1"/>
        <v>1.9947083860577513E-2</v>
      </c>
      <c r="V122" s="2">
        <f ca="1"/>
        <v>2.8342790224316544E-2</v>
      </c>
      <c r="W122" s="2">
        <f ca="1"/>
        <v>1.2065170554462148E-2</v>
      </c>
      <c r="X122" s="2" t="str">
        <f ca="1"/>
        <v/>
      </c>
      <c r="Y122" s="2" t="str">
        <f ca="1"/>
        <v/>
      </c>
      <c r="Z122" s="2" t="str">
        <f ca="1"/>
        <v/>
      </c>
      <c r="AA122" s="2" t="str">
        <f ca="1"/>
        <v/>
      </c>
      <c r="AB122" s="2" t="str">
        <f ca="1"/>
        <v/>
      </c>
      <c r="AC122" s="2" t="str">
        <f ca="1"/>
        <v/>
      </c>
      <c r="AD122" s="2" t="str">
        <f ca="1"/>
        <v/>
      </c>
      <c r="AE122" s="2" t="str">
        <f ca="1"/>
        <v/>
      </c>
      <c r="AF122" s="2" t="str">
        <f ca="1"/>
        <v/>
      </c>
      <c r="AG122" s="26" t="str">
        <f ca="1"/>
        <v/>
      </c>
      <c r="AH122" s="26">
        <f ca="1"/>
        <v>-2.9399999999999999E-2</v>
      </c>
    </row>
    <row r="123" spans="1:34">
      <c r="A123" s="5">
        <f ca="1"/>
        <v>32539</v>
      </c>
      <c r="B123" s="2">
        <f ca="1"/>
        <v>1.7799955557298415E-2</v>
      </c>
      <c r="C123" s="2">
        <f ca="1"/>
        <v>-1.2604144413586912E-2</v>
      </c>
      <c r="D123" s="2">
        <f ca="1"/>
        <v>3.6220370833366933E-2</v>
      </c>
      <c r="E123" s="2">
        <f ca="1"/>
        <v>1.4388281768115132E-2</v>
      </c>
      <c r="F123" s="2">
        <f ca="1"/>
        <v>9.6405993191793198E-3</v>
      </c>
      <c r="G123" s="2">
        <f ca="1"/>
        <v>2.583169511002217E-2</v>
      </c>
      <c r="H123" s="2" t="str">
        <f ca="1"/>
        <v/>
      </c>
      <c r="I123" s="2" t="str">
        <f ca="1"/>
        <v/>
      </c>
      <c r="J123" s="2" t="str">
        <f ca="1"/>
        <v/>
      </c>
      <c r="K123" s="2" t="str">
        <f ca="1"/>
        <v/>
      </c>
      <c r="L123" s="2" t="str">
        <f ca="1"/>
        <v/>
      </c>
      <c r="M123" s="2" t="str">
        <f ca="1"/>
        <v/>
      </c>
      <c r="N123" s="2" t="str">
        <f ca="1"/>
        <v/>
      </c>
      <c r="O123" s="2" t="str">
        <f ca="1"/>
        <v/>
      </c>
      <c r="P123" s="2" t="str">
        <f ca="1"/>
        <v/>
      </c>
      <c r="Q123" s="2">
        <f ca="1"/>
        <v>7.1823883901119212E-2</v>
      </c>
      <c r="R123" s="2">
        <f ca="1"/>
        <v>7.5637454467538057E-2</v>
      </c>
      <c r="S123" s="2">
        <f ca="1"/>
        <v>6.3666826232647203E-2</v>
      </c>
      <c r="T123" s="2">
        <f ca="1"/>
        <v>7.3094672559216672E-2</v>
      </c>
      <c r="U123" s="2">
        <f ca="1"/>
        <v>6.9340431291166668E-2</v>
      </c>
      <c r="V123" s="2">
        <f ca="1"/>
        <v>6.990049076760399E-2</v>
      </c>
      <c r="W123" s="2">
        <f ca="1"/>
        <v>6.8570705269092994E-2</v>
      </c>
      <c r="X123" s="2" t="str">
        <f ca="1"/>
        <v/>
      </c>
      <c r="Y123" s="2" t="str">
        <f ca="1"/>
        <v/>
      </c>
      <c r="Z123" s="2" t="str">
        <f ca="1"/>
        <v/>
      </c>
      <c r="AA123" s="2" t="str">
        <f ca="1"/>
        <v/>
      </c>
      <c r="AB123" s="2" t="str">
        <f ca="1"/>
        <v/>
      </c>
      <c r="AC123" s="2" t="str">
        <f ca="1"/>
        <v/>
      </c>
      <c r="AD123" s="2" t="str">
        <f ca="1"/>
        <v/>
      </c>
      <c r="AE123" s="2" t="str">
        <f ca="1"/>
        <v/>
      </c>
      <c r="AF123" s="2" t="str">
        <f ca="1"/>
        <v/>
      </c>
      <c r="AG123" s="26" t="str">
        <f ca="1"/>
        <v/>
      </c>
      <c r="AH123" s="26">
        <f ca="1"/>
        <v>-5.0199999999999995E-2</v>
      </c>
    </row>
    <row r="124" spans="1:34">
      <c r="A124" s="5">
        <f ca="1"/>
        <v>32567</v>
      </c>
      <c r="B124" s="2">
        <f ca="1"/>
        <v>5.3335002894977605E-3</v>
      </c>
      <c r="C124" s="2">
        <f ca="1"/>
        <v>7.6445982979950922E-2</v>
      </c>
      <c r="D124" s="2">
        <f ca="1"/>
        <v>-5.9074422876356251E-3</v>
      </c>
      <c r="E124" s="2">
        <f ca="1"/>
        <v>-7.2484366117112325E-3</v>
      </c>
      <c r="F124" s="2">
        <f ca="1"/>
        <v>-4.0049171694723053E-3</v>
      </c>
      <c r="G124" s="2">
        <f ca="1"/>
        <v>1.3109047649906825E-2</v>
      </c>
      <c r="H124" s="2" t="str">
        <f ca="1"/>
        <v/>
      </c>
      <c r="I124" s="2" t="str">
        <f ca="1"/>
        <v/>
      </c>
      <c r="J124" s="2" t="str">
        <f ca="1"/>
        <v/>
      </c>
      <c r="K124" s="2" t="str">
        <f ca="1"/>
        <v/>
      </c>
      <c r="L124" s="2" t="str">
        <f ca="1"/>
        <v/>
      </c>
      <c r="M124" s="2" t="str">
        <f ca="1"/>
        <v/>
      </c>
      <c r="N124" s="2" t="str">
        <f ca="1"/>
        <v/>
      </c>
      <c r="O124" s="2" t="str">
        <f ca="1"/>
        <v/>
      </c>
      <c r="P124" s="2" t="str">
        <f ca="1"/>
        <v/>
      </c>
      <c r="Q124" s="2">
        <f ca="1"/>
        <v>-2.5358577165806171E-2</v>
      </c>
      <c r="R124" s="2">
        <f ca="1"/>
        <v>-1.6135458167330721E-2</v>
      </c>
      <c r="S124" s="2">
        <f ca="1"/>
        <v>-1.9101910191019068E-2</v>
      </c>
      <c r="T124" s="2">
        <f ca="1"/>
        <v>-2.4920571912601545E-2</v>
      </c>
      <c r="U124" s="2">
        <f ca="1"/>
        <v>-1.9702147407501109E-2</v>
      </c>
      <c r="V124" s="2">
        <f ca="1"/>
        <v>-2.3315339973136714E-2</v>
      </c>
      <c r="W124" s="2">
        <f ca="1"/>
        <v>-1.5819172535590384E-2</v>
      </c>
      <c r="X124" s="2" t="str">
        <f ca="1"/>
        <v/>
      </c>
      <c r="Y124" s="2" t="str">
        <f ca="1"/>
        <v/>
      </c>
      <c r="Z124" s="2" t="str">
        <f ca="1"/>
        <v/>
      </c>
      <c r="AA124" s="2" t="str">
        <f ca="1"/>
        <v/>
      </c>
      <c r="AB124" s="2" t="str">
        <f ca="1"/>
        <v/>
      </c>
      <c r="AC124" s="2" t="str">
        <f ca="1"/>
        <v/>
      </c>
      <c r="AD124" s="2" t="str">
        <f ca="1"/>
        <v/>
      </c>
      <c r="AE124" s="2" t="str">
        <f ca="1"/>
        <v/>
      </c>
      <c r="AF124" s="2" t="str">
        <f ca="1"/>
        <v/>
      </c>
      <c r="AG124" s="26" t="str">
        <f ca="1"/>
        <v/>
      </c>
      <c r="AH124" s="26">
        <f ca="1"/>
        <v>-3.0999999999999999E-3</v>
      </c>
    </row>
    <row r="125" spans="1:34">
      <c r="A125" s="5">
        <f ca="1"/>
        <v>32598</v>
      </c>
      <c r="B125" s="2">
        <f ca="1"/>
        <v>-1.9434498257058893E-2</v>
      </c>
      <c r="C125" s="2">
        <f ca="1"/>
        <v>9.9691812943856331E-2</v>
      </c>
      <c r="D125" s="2">
        <f ca="1"/>
        <v>-5.5040987136224717E-3</v>
      </c>
      <c r="E125" s="2">
        <f ca="1"/>
        <v>4.3235504652827227E-3</v>
      </c>
      <c r="F125" s="2">
        <f ca="1"/>
        <v>-2.0783819809286556E-2</v>
      </c>
      <c r="G125" s="2">
        <f ca="1"/>
        <v>-1.8783182403845126E-2</v>
      </c>
      <c r="H125" s="2" t="str">
        <f ca="1"/>
        <v/>
      </c>
      <c r="I125" s="2" t="str">
        <f ca="1"/>
        <v/>
      </c>
      <c r="J125" s="2" t="str">
        <f ca="1"/>
        <v/>
      </c>
      <c r="K125" s="2" t="str">
        <f ca="1"/>
        <v/>
      </c>
      <c r="L125" s="2" t="str">
        <f ca="1"/>
        <v/>
      </c>
      <c r="M125" s="2" t="str">
        <f ca="1"/>
        <v/>
      </c>
      <c r="N125" s="2" t="str">
        <f ca="1"/>
        <v/>
      </c>
      <c r="O125" s="2" t="str">
        <f ca="1"/>
        <v/>
      </c>
      <c r="P125" s="2" t="str">
        <f ca="1"/>
        <v/>
      </c>
      <c r="Q125" s="2">
        <f ca="1"/>
        <v>3.2375794678596657E-2</v>
      </c>
      <c r="R125" s="2">
        <f ca="1"/>
        <v>4.5960720793682859E-2</v>
      </c>
      <c r="S125" s="2">
        <f ca="1"/>
        <v>2.9363784665579075E-2</v>
      </c>
      <c r="T125" s="2">
        <f ca="1"/>
        <v>2.3328521157534574E-2</v>
      </c>
      <c r="U125" s="2">
        <f ca="1"/>
        <v>2.2701841969357792E-2</v>
      </c>
      <c r="V125" s="2">
        <f ca="1"/>
        <v>2.3469731959832863E-2</v>
      </c>
      <c r="W125" s="2">
        <f ca="1"/>
        <v>2.1992931624960393E-2</v>
      </c>
      <c r="X125" s="2" t="str">
        <f ca="1"/>
        <v/>
      </c>
      <c r="Y125" s="2" t="str">
        <f ca="1"/>
        <v/>
      </c>
      <c r="Z125" s="2" t="str">
        <f ca="1"/>
        <v/>
      </c>
      <c r="AA125" s="2" t="str">
        <f ca="1"/>
        <v/>
      </c>
      <c r="AB125" s="2" t="str">
        <f ca="1"/>
        <v/>
      </c>
      <c r="AC125" s="2" t="str">
        <f ca="1"/>
        <v/>
      </c>
      <c r="AD125" s="2" t="str">
        <f ca="1"/>
        <v/>
      </c>
      <c r="AE125" s="2" t="str">
        <f ca="1"/>
        <v/>
      </c>
      <c r="AF125" s="2" t="str">
        <f ca="1"/>
        <v/>
      </c>
      <c r="AG125" s="26" t="str">
        <f ca="1"/>
        <v/>
      </c>
      <c r="AH125" s="26">
        <f ca="1"/>
        <v>-1.3600000000000001E-2</v>
      </c>
    </row>
    <row r="126" spans="1:34">
      <c r="A126" s="5">
        <f ca="1"/>
        <v>32626</v>
      </c>
      <c r="B126" s="2">
        <f ca="1"/>
        <v>9.472323715713063E-3</v>
      </c>
      <c r="C126" s="2">
        <f ca="1"/>
        <v>0.18977701961739984</v>
      </c>
      <c r="D126" s="2">
        <f ca="1"/>
        <v>2.5169264682727267E-2</v>
      </c>
      <c r="E126" s="2">
        <f ca="1"/>
        <v>2.0925989280419756E-2</v>
      </c>
      <c r="F126" s="2">
        <f ca="1"/>
        <v>2.8678148344951026E-3</v>
      </c>
      <c r="G126" s="2">
        <f ca="1"/>
        <v>1.6898325999394642E-2</v>
      </c>
      <c r="H126" s="2" t="str">
        <f ca="1"/>
        <v/>
      </c>
      <c r="I126" s="2" t="str">
        <f ca="1"/>
        <v/>
      </c>
      <c r="J126" s="2" t="str">
        <f ca="1"/>
        <v/>
      </c>
      <c r="K126" s="2" t="str">
        <f ca="1"/>
        <v/>
      </c>
      <c r="L126" s="2" t="str">
        <f ca="1"/>
        <v/>
      </c>
      <c r="M126" s="2" t="str">
        <f ca="1"/>
        <v/>
      </c>
      <c r="N126" s="2" t="str">
        <f ca="1"/>
        <v/>
      </c>
      <c r="O126" s="2" t="str">
        <f ca="1"/>
        <v/>
      </c>
      <c r="P126" s="2" t="str">
        <f ca="1"/>
        <v/>
      </c>
      <c r="Q126" s="2">
        <f ca="1"/>
        <v>5.6676930094651599E-2</v>
      </c>
      <c r="R126" s="2">
        <f ca="1"/>
        <v>6.2330623306233179E-2</v>
      </c>
      <c r="S126" s="2">
        <f ca="1"/>
        <v>5.398177496038039E-2</v>
      </c>
      <c r="T126" s="2">
        <f ca="1"/>
        <v>5.1920351037499854E-2</v>
      </c>
      <c r="U126" s="2">
        <f ca="1"/>
        <v>5.0581774570244334E-2</v>
      </c>
      <c r="V126" s="2">
        <f ca="1"/>
        <v>6.0174680238822616E-2</v>
      </c>
      <c r="W126" s="2">
        <f ca="1"/>
        <v>4.0972988019656736E-2</v>
      </c>
      <c r="X126" s="2" t="str">
        <f ca="1"/>
        <v/>
      </c>
      <c r="Y126" s="2" t="str">
        <f ca="1"/>
        <v/>
      </c>
      <c r="Z126" s="2" t="str">
        <f ca="1"/>
        <v/>
      </c>
      <c r="AA126" s="2" t="str">
        <f ca="1"/>
        <v/>
      </c>
      <c r="AB126" s="2" t="str">
        <f ca="1"/>
        <v/>
      </c>
      <c r="AC126" s="2" t="str">
        <f ca="1"/>
        <v/>
      </c>
      <c r="AD126" s="2" t="str">
        <f ca="1"/>
        <v/>
      </c>
      <c r="AE126" s="2" t="str">
        <f ca="1"/>
        <v/>
      </c>
      <c r="AF126" s="2" t="str">
        <f ca="1"/>
        <v/>
      </c>
      <c r="AG126" s="26" t="str">
        <f ca="1"/>
        <v/>
      </c>
      <c r="AH126" s="26">
        <f ca="1"/>
        <v>-1.1899999999999999E-2</v>
      </c>
    </row>
    <row r="127" spans="1:34">
      <c r="A127" s="5">
        <f ca="1"/>
        <v>32659</v>
      </c>
      <c r="B127" s="2">
        <f ca="1"/>
        <v>-5.4233061007421257E-2</v>
      </c>
      <c r="C127" s="2">
        <f ca="1"/>
        <v>1.3467151415843082E-2</v>
      </c>
      <c r="D127" s="2">
        <f ca="1"/>
        <v>-2.3583710268244636E-2</v>
      </c>
      <c r="E127" s="2">
        <f ca="1"/>
        <v>2.6277576096062464E-2</v>
      </c>
      <c r="F127" s="2">
        <f ca="1"/>
        <v>-6.4023406758662707E-2</v>
      </c>
      <c r="G127" s="2">
        <f ca="1"/>
        <v>-4.4646127921459444E-2</v>
      </c>
      <c r="H127" s="2" t="str">
        <f ca="1"/>
        <v/>
      </c>
      <c r="I127" s="2" t="str">
        <f ca="1"/>
        <v/>
      </c>
      <c r="J127" s="2" t="str">
        <f ca="1"/>
        <v/>
      </c>
      <c r="K127" s="2" t="str">
        <f ca="1"/>
        <v/>
      </c>
      <c r="L127" s="2" t="str">
        <f ca="1"/>
        <v/>
      </c>
      <c r="M127" s="2" t="str">
        <f ca="1"/>
        <v/>
      </c>
      <c r="N127" s="2" t="str">
        <f ca="1"/>
        <v/>
      </c>
      <c r="O127" s="2" t="str">
        <f ca="1"/>
        <v/>
      </c>
      <c r="P127" s="2" t="str">
        <f ca="1"/>
        <v/>
      </c>
      <c r="Q127" s="2">
        <f ca="1"/>
        <v>4.8132959205698336E-2</v>
      </c>
      <c r="R127" s="2">
        <f ca="1"/>
        <v>6.5415451895043664E-2</v>
      </c>
      <c r="S127" s="2">
        <f ca="1"/>
        <v>4.2994079503806064E-2</v>
      </c>
      <c r="T127" s="2">
        <f ca="1"/>
        <v>4.045830360172329E-2</v>
      </c>
      <c r="U127" s="2">
        <f ca="1"/>
        <v>4.2638841601409995E-2</v>
      </c>
      <c r="V127" s="2">
        <f ca="1"/>
        <v>4.5352368653896823E-2</v>
      </c>
      <c r="W127" s="2">
        <f ca="1"/>
        <v>3.9864239432273893E-2</v>
      </c>
      <c r="X127" s="2" t="str">
        <f ca="1"/>
        <v/>
      </c>
      <c r="Y127" s="2" t="str">
        <f ca="1"/>
        <v/>
      </c>
      <c r="Z127" s="2" t="str">
        <f ca="1"/>
        <v/>
      </c>
      <c r="AA127" s="2" t="str">
        <f ca="1"/>
        <v/>
      </c>
      <c r="AB127" s="2" t="str">
        <f ca="1"/>
        <v/>
      </c>
      <c r="AC127" s="2" t="str">
        <f ca="1"/>
        <v/>
      </c>
      <c r="AD127" s="2" t="str">
        <f ca="1"/>
        <v/>
      </c>
      <c r="AE127" s="2" t="str">
        <f ca="1"/>
        <v/>
      </c>
      <c r="AF127" s="2" t="str">
        <f ca="1"/>
        <v/>
      </c>
      <c r="AG127" s="26" t="str">
        <f ca="1"/>
        <v/>
      </c>
      <c r="AH127" s="26">
        <f ca="1"/>
        <v>-4.5199999999999997E-2</v>
      </c>
    </row>
    <row r="128" spans="1:34">
      <c r="A128" s="5">
        <f ca="1"/>
        <v>32689</v>
      </c>
      <c r="B128" s="2">
        <f ca="1"/>
        <v>-1.6611288125339789E-2</v>
      </c>
      <c r="C128" s="2">
        <f ca="1"/>
        <v>-0.1213116410670978</v>
      </c>
      <c r="D128" s="2">
        <f ca="1"/>
        <v>-1.3881679329275013E-2</v>
      </c>
      <c r="E128" s="2">
        <f ca="1"/>
        <v>3.0448151070719163E-2</v>
      </c>
      <c r="F128" s="2">
        <f ca="1"/>
        <v>-2.1051877961044713E-2</v>
      </c>
      <c r="G128" s="2">
        <f ca="1"/>
        <v>-1.2428463241849501E-2</v>
      </c>
      <c r="H128" s="2" t="str">
        <f ca="1"/>
        <v/>
      </c>
      <c r="I128" s="2" t="str">
        <f ca="1"/>
        <v/>
      </c>
      <c r="J128" s="2" t="str">
        <f ca="1"/>
        <v/>
      </c>
      <c r="K128" s="2" t="str">
        <f ca="1"/>
        <v/>
      </c>
      <c r="L128" s="2" t="str">
        <f ca="1"/>
        <v/>
      </c>
      <c r="M128" s="2" t="str">
        <f ca="1"/>
        <v/>
      </c>
      <c r="N128" s="2" t="str">
        <f ca="1"/>
        <v/>
      </c>
      <c r="O128" s="2" t="str">
        <f ca="1"/>
        <v/>
      </c>
      <c r="P128" s="2" t="str">
        <f ca="1"/>
        <v/>
      </c>
      <c r="Q128" s="2">
        <f ca="1"/>
        <v>-1.4312191103789132E-2</v>
      </c>
      <c r="R128" s="2">
        <f ca="1"/>
        <v>1.5392508978964155E-3</v>
      </c>
      <c r="S128" s="2">
        <f ca="1"/>
        <v>9.2354822723792022E-3</v>
      </c>
      <c r="T128" s="2">
        <f ca="1"/>
        <v>-5.6718359658015438E-3</v>
      </c>
      <c r="U128" s="2">
        <f ca="1"/>
        <v>-5.0902804456396025E-3</v>
      </c>
      <c r="V128" s="2">
        <f ca="1"/>
        <v>-6.7599254234962667E-3</v>
      </c>
      <c r="W128" s="2">
        <f ca="1"/>
        <v>-3.807884794176319E-3</v>
      </c>
      <c r="X128" s="2" t="str">
        <f ca="1"/>
        <v/>
      </c>
      <c r="Y128" s="2" t="str">
        <f ca="1"/>
        <v/>
      </c>
      <c r="Z128" s="2" t="str">
        <f ca="1"/>
        <v/>
      </c>
      <c r="AA128" s="2" t="str">
        <f ca="1"/>
        <v/>
      </c>
      <c r="AB128" s="2" t="str">
        <f ca="1"/>
        <v/>
      </c>
      <c r="AC128" s="2" t="str">
        <f ca="1"/>
        <v/>
      </c>
      <c r="AD128" s="2" t="str">
        <f ca="1"/>
        <v/>
      </c>
      <c r="AE128" s="2" t="str">
        <f ca="1"/>
        <v/>
      </c>
      <c r="AF128" s="2" t="str">
        <f ca="1"/>
        <v/>
      </c>
      <c r="AG128" s="26" t="str">
        <f ca="1"/>
        <v/>
      </c>
      <c r="AH128" s="26">
        <f ca="1"/>
        <v>3.85E-2</v>
      </c>
    </row>
    <row r="129" spans="1:34">
      <c r="A129" s="5">
        <f ca="1"/>
        <v>32720</v>
      </c>
      <c r="B129" s="2">
        <f ca="1"/>
        <v>0.12578429082532955</v>
      </c>
      <c r="C129" s="2">
        <f ca="1"/>
        <v>6.5781151170145463E-2</v>
      </c>
      <c r="D129" s="2">
        <f ca="1"/>
        <v>0.11301552866861796</v>
      </c>
      <c r="E129" s="2">
        <f ca="1"/>
        <v>2.1256931608133117E-2</v>
      </c>
      <c r="F129" s="2">
        <f ca="1"/>
        <v>0.13480166845956626</v>
      </c>
      <c r="G129" s="2">
        <f ca="1"/>
        <v>0.11712717371785225</v>
      </c>
      <c r="H129" s="2" t="str">
        <f ca="1"/>
        <v/>
      </c>
      <c r="I129" s="2" t="str">
        <f ca="1"/>
        <v/>
      </c>
      <c r="J129" s="2" t="str">
        <f ca="1"/>
        <v/>
      </c>
      <c r="K129" s="2" t="str">
        <f ca="1"/>
        <v/>
      </c>
      <c r="L129" s="2" t="str">
        <f ca="1"/>
        <v/>
      </c>
      <c r="M129" s="2" t="str">
        <f ca="1"/>
        <v/>
      </c>
      <c r="N129" s="2" t="str">
        <f ca="1"/>
        <v/>
      </c>
      <c r="O129" s="2" t="str">
        <f ca="1"/>
        <v/>
      </c>
      <c r="P129" s="2" t="str">
        <f ca="1"/>
        <v/>
      </c>
      <c r="Q129" s="2">
        <f ca="1"/>
        <v>0.11563773111877147</v>
      </c>
      <c r="R129" s="2">
        <f ca="1"/>
        <v>0.11612021857923494</v>
      </c>
      <c r="S129" s="2">
        <f ca="1"/>
        <v>8.4456744933488023E-2</v>
      </c>
      <c r="T129" s="2">
        <f ca="1"/>
        <v>9.0291097465873951E-2</v>
      </c>
      <c r="U129" s="2">
        <f ca="1"/>
        <v>8.3888406216816161E-2</v>
      </c>
      <c r="V129" s="2">
        <f ca="1"/>
        <v>0.10109862269104976</v>
      </c>
      <c r="W129" s="2">
        <f ca="1"/>
        <v>6.7453659117760911E-2</v>
      </c>
      <c r="X129" s="2" t="str">
        <f ca="1"/>
        <v/>
      </c>
      <c r="Y129" s="2" t="str">
        <f ca="1"/>
        <v/>
      </c>
      <c r="Z129" s="2" t="str">
        <f ca="1"/>
        <v/>
      </c>
      <c r="AA129" s="2" t="str">
        <f ca="1"/>
        <v/>
      </c>
      <c r="AB129" s="2" t="str">
        <f ca="1"/>
        <v/>
      </c>
      <c r="AC129" s="2" t="str">
        <f ca="1"/>
        <v/>
      </c>
      <c r="AD129" s="2" t="str">
        <f ca="1"/>
        <v/>
      </c>
      <c r="AE129" s="2" t="str">
        <f ca="1"/>
        <v/>
      </c>
      <c r="AF129" s="2" t="str">
        <f ca="1"/>
        <v/>
      </c>
      <c r="AG129" s="26" t="str">
        <f ca="1"/>
        <v/>
      </c>
      <c r="AH129" s="26">
        <f ca="1"/>
        <v>-1.8000000000000002E-2</v>
      </c>
    </row>
    <row r="130" spans="1:34">
      <c r="A130" s="5">
        <f ca="1"/>
        <v>32751</v>
      </c>
      <c r="B130" s="2">
        <f ca="1"/>
        <v>-4.4787670962019778E-2</v>
      </c>
      <c r="C130" s="2">
        <f ca="1"/>
        <v>2.3199352576207241E-2</v>
      </c>
      <c r="D130" s="2">
        <f ca="1"/>
        <v>-2.3503951960215274E-2</v>
      </c>
      <c r="E130" s="2">
        <f ca="1"/>
        <v>-1.4815772462831334E-2</v>
      </c>
      <c r="F130" s="2">
        <f ca="1"/>
        <v>-4.8286451452392798E-2</v>
      </c>
      <c r="G130" s="2">
        <f ca="1"/>
        <v>-4.1459939002667479E-2</v>
      </c>
      <c r="H130" s="2" t="str">
        <f ca="1"/>
        <v/>
      </c>
      <c r="I130" s="2" t="str">
        <f ca="1"/>
        <v/>
      </c>
      <c r="J130" s="2" t="str">
        <f ca="1"/>
        <v/>
      </c>
      <c r="K130" s="2" t="str">
        <f ca="1"/>
        <v/>
      </c>
      <c r="L130" s="2" t="str">
        <f ca="1"/>
        <v/>
      </c>
      <c r="M130" s="2" t="str">
        <f ca="1"/>
        <v/>
      </c>
      <c r="N130" s="2" t="str">
        <f ca="1"/>
        <v/>
      </c>
      <c r="O130" s="2" t="str">
        <f ca="1"/>
        <v/>
      </c>
      <c r="P130" s="2" t="str">
        <f ca="1"/>
        <v/>
      </c>
      <c r="Q130" s="2">
        <f ca="1"/>
        <v>1.0393258426966288E-2</v>
      </c>
      <c r="R130" s="2">
        <f ca="1"/>
        <v>5.3549571603426303E-3</v>
      </c>
      <c r="S130" s="2">
        <f ca="1"/>
        <v>4.9394912324030159E-3</v>
      </c>
      <c r="T130" s="2">
        <f ca="1"/>
        <v>1.9549222777655959E-2</v>
      </c>
      <c r="U130" s="2">
        <f ca="1"/>
        <v>2.0716066975418591E-2</v>
      </c>
      <c r="V130" s="2">
        <f ca="1"/>
        <v>1.6514145270093688E-2</v>
      </c>
      <c r="W130" s="2">
        <f ca="1"/>
        <v>2.4731432823327033E-2</v>
      </c>
      <c r="X130" s="2" t="str">
        <f ca="1"/>
        <v/>
      </c>
      <c r="Y130" s="2" t="str">
        <f ca="1"/>
        <v/>
      </c>
      <c r="Z130" s="2" t="str">
        <f ca="1"/>
        <v/>
      </c>
      <c r="AA130" s="2" t="str">
        <f ca="1"/>
        <v/>
      </c>
      <c r="AB130" s="2" t="str">
        <f ca="1"/>
        <v/>
      </c>
      <c r="AC130" s="2" t="str">
        <f ca="1"/>
        <v/>
      </c>
      <c r="AD130" s="2" t="str">
        <f ca="1"/>
        <v/>
      </c>
      <c r="AE130" s="2" t="str">
        <f ca="1"/>
        <v/>
      </c>
      <c r="AF130" s="2" t="str">
        <f ca="1"/>
        <v/>
      </c>
      <c r="AG130" s="26" t="str">
        <f ca="1"/>
        <v/>
      </c>
      <c r="AH130" s="26">
        <f ca="1"/>
        <v>-2.3799999999999998E-2</v>
      </c>
    </row>
    <row r="131" spans="1:34">
      <c r="A131" s="5">
        <f ca="1"/>
        <v>32780</v>
      </c>
      <c r="B131" s="2">
        <f ca="1"/>
        <v>4.5735469250269535E-2</v>
      </c>
      <c r="C131" s="2">
        <f ca="1"/>
        <v>0.12602161877142107</v>
      </c>
      <c r="D131" s="2">
        <f ca="1"/>
        <v>3.0277902121507917E-2</v>
      </c>
      <c r="E131" s="2">
        <f ca="1"/>
        <v>5.1178415831191161E-3</v>
      </c>
      <c r="F131" s="2">
        <f ca="1"/>
        <v>4.1508105797008935E-2</v>
      </c>
      <c r="G131" s="2">
        <f ca="1"/>
        <v>5.0097221152059411E-2</v>
      </c>
      <c r="H131" s="2" t="str">
        <f ca="1"/>
        <v/>
      </c>
      <c r="I131" s="2" t="str">
        <f ca="1"/>
        <v/>
      </c>
      <c r="J131" s="2" t="str">
        <f ca="1"/>
        <v/>
      </c>
      <c r="K131" s="2" t="str">
        <f ca="1"/>
        <v/>
      </c>
      <c r="L131" s="2" t="str">
        <f ca="1"/>
        <v/>
      </c>
      <c r="M131" s="2" t="str">
        <f ca="1"/>
        <v/>
      </c>
      <c r="N131" s="2" t="str">
        <f ca="1"/>
        <v/>
      </c>
      <c r="O131" s="2" t="str">
        <f ca="1"/>
        <v/>
      </c>
      <c r="P131" s="2" t="str">
        <f ca="1"/>
        <v/>
      </c>
      <c r="Q131" s="2">
        <f ca="1"/>
        <v>5.560189046427789E-4</v>
      </c>
      <c r="R131" s="2">
        <f ca="1"/>
        <v>2.2371024197230454E-2</v>
      </c>
      <c r="S131" s="2">
        <f ca="1"/>
        <v>4.9971327926600613E-3</v>
      </c>
      <c r="T131" s="2">
        <f ca="1"/>
        <v>-4.0576426529833282E-3</v>
      </c>
      <c r="U131" s="2">
        <f ca="1"/>
        <v>-2.5304085300942914E-3</v>
      </c>
      <c r="V131" s="2">
        <f ca="1"/>
        <v>4.5578945202378526E-3</v>
      </c>
      <c r="W131" s="2">
        <f ca="1"/>
        <v>-9.5485323216004375E-3</v>
      </c>
      <c r="X131" s="2" t="str">
        <f ca="1"/>
        <v/>
      </c>
      <c r="Y131" s="2" t="str">
        <f ca="1"/>
        <v/>
      </c>
      <c r="Z131" s="2" t="str">
        <f ca="1"/>
        <v/>
      </c>
      <c r="AA131" s="2" t="str">
        <f ca="1"/>
        <v/>
      </c>
      <c r="AB131" s="2" t="str">
        <f ca="1"/>
        <v/>
      </c>
      <c r="AC131" s="2" t="str">
        <f ca="1"/>
        <v/>
      </c>
      <c r="AD131" s="2" t="str">
        <f ca="1"/>
        <v/>
      </c>
      <c r="AE131" s="2" t="str">
        <f ca="1"/>
        <v/>
      </c>
      <c r="AF131" s="2" t="str">
        <f ca="1"/>
        <v/>
      </c>
      <c r="AG131" s="26" t="str">
        <f ca="1"/>
        <v/>
      </c>
      <c r="AH131" s="26">
        <f ca="1"/>
        <v>1.52E-2</v>
      </c>
    </row>
    <row r="132" spans="1:34">
      <c r="A132" s="5">
        <f ca="1"/>
        <v>32812</v>
      </c>
      <c r="B132" s="2">
        <f ca="1"/>
        <v>-3.9982519280205693E-2</v>
      </c>
      <c r="C132" s="2">
        <f ca="1"/>
        <v>1.4001404823226321E-2</v>
      </c>
      <c r="D132" s="2">
        <f ca="1"/>
        <v>-3.2165929471427393E-2</v>
      </c>
      <c r="E132" s="2">
        <f ca="1"/>
        <v>2.4623338642713394E-2</v>
      </c>
      <c r="F132" s="2">
        <f ca="1"/>
        <v>-4.108538911481005E-2</v>
      </c>
      <c r="G132" s="2">
        <f ca="1"/>
        <v>-3.8789903489235486E-2</v>
      </c>
      <c r="H132" s="2" t="str">
        <f ca="1"/>
        <v/>
      </c>
      <c r="I132" s="2" t="str">
        <f ca="1"/>
        <v/>
      </c>
      <c r="J132" s="2" t="str">
        <f ca="1"/>
        <v/>
      </c>
      <c r="K132" s="2" t="str">
        <f ca="1"/>
        <v/>
      </c>
      <c r="L132" s="2" t="str">
        <f ca="1"/>
        <v/>
      </c>
      <c r="M132" s="2" t="str">
        <f ca="1"/>
        <v/>
      </c>
      <c r="N132" s="2" t="str">
        <f ca="1"/>
        <v/>
      </c>
      <c r="O132" s="2" t="str">
        <f ca="1"/>
        <v/>
      </c>
      <c r="P132" s="2" t="str">
        <f ca="1"/>
        <v/>
      </c>
      <c r="Q132" s="2">
        <f ca="1"/>
        <v>-1.4818931184588258E-2</v>
      </c>
      <c r="R132" s="2">
        <f ca="1"/>
        <v>-1.2950282822268599E-2</v>
      </c>
      <c r="S132" s="2">
        <f ca="1"/>
        <v>-7.2546462341049932E-3</v>
      </c>
      <c r="T132" s="2">
        <f ca="1"/>
        <v>-2.321973421627312E-2</v>
      </c>
      <c r="U132" s="2">
        <f ca="1"/>
        <v>-2.6715420413590565E-2</v>
      </c>
      <c r="V132" s="2">
        <f ca="1"/>
        <v>-1.7636756557452546E-2</v>
      </c>
      <c r="W132" s="2">
        <f ca="1"/>
        <v>-3.5657337658767302E-2</v>
      </c>
      <c r="X132" s="2" t="str">
        <f ca="1"/>
        <v/>
      </c>
      <c r="Y132" s="2" t="str">
        <f ca="1"/>
        <v/>
      </c>
      <c r="Z132" s="2" t="str">
        <f ca="1"/>
        <v/>
      </c>
      <c r="AA132" s="2" t="str">
        <f ca="1"/>
        <v/>
      </c>
      <c r="AB132" s="2" t="str">
        <f ca="1"/>
        <v/>
      </c>
      <c r="AC132" s="2" t="str">
        <f ca="1"/>
        <v/>
      </c>
      <c r="AD132" s="2" t="str">
        <f ca="1"/>
        <v/>
      </c>
      <c r="AE132" s="2" t="str">
        <f ca="1"/>
        <v/>
      </c>
      <c r="AF132" s="2" t="str">
        <f ca="1"/>
        <v/>
      </c>
      <c r="AG132" s="26" t="str">
        <f ca="1"/>
        <v/>
      </c>
      <c r="AH132" s="26">
        <f ca="1"/>
        <v>2.8300000000000002E-2</v>
      </c>
    </row>
    <row r="133" spans="1:34">
      <c r="A133" s="5">
        <f ca="1"/>
        <v>32842</v>
      </c>
      <c r="B133" s="2">
        <f ca="1"/>
        <v>5.0474659308902929E-2</v>
      </c>
      <c r="C133" s="2">
        <f ca="1"/>
        <v>-4.659647178350422E-2</v>
      </c>
      <c r="D133" s="2">
        <f ca="1"/>
        <v>3.9350608252809505E-2</v>
      </c>
      <c r="E133" s="2">
        <f ca="1"/>
        <v>9.5310907237512975E-3</v>
      </c>
      <c r="F133" s="2">
        <f ca="1"/>
        <v>5.7505274411300079E-2</v>
      </c>
      <c r="G133" s="2">
        <f ca="1"/>
        <v>4.5097149939155132E-2</v>
      </c>
      <c r="H133" s="2" t="str">
        <f ca="1"/>
        <v/>
      </c>
      <c r="I133" s="2" t="str">
        <f ca="1"/>
        <v/>
      </c>
      <c r="J133" s="2" t="str">
        <f ca="1"/>
        <v/>
      </c>
      <c r="K133" s="2" t="str">
        <f ca="1"/>
        <v/>
      </c>
      <c r="L133" s="2" t="str">
        <f ca="1"/>
        <v/>
      </c>
      <c r="M133" s="2" t="str">
        <f ca="1"/>
        <v/>
      </c>
      <c r="N133" s="2" t="str">
        <f ca="1"/>
        <v/>
      </c>
      <c r="O133" s="2" t="str">
        <f ca="1"/>
        <v/>
      </c>
      <c r="P133" s="2" t="str">
        <f ca="1"/>
        <v/>
      </c>
      <c r="Q133" s="2">
        <f ca="1"/>
        <v>2.3596878819215857E-2</v>
      </c>
      <c r="R133" s="2">
        <f ca="1"/>
        <v>2.6692806514854412E-2</v>
      </c>
      <c r="S133" s="2">
        <f ca="1"/>
        <v>2.2415633467443876E-2</v>
      </c>
      <c r="T133" s="2">
        <f ca="1"/>
        <v>2.0394172622401258E-2</v>
      </c>
      <c r="U133" s="2">
        <f ca="1"/>
        <v>1.8874368607431111E-2</v>
      </c>
      <c r="V133" s="2">
        <f ca="1"/>
        <v>2.6127300213730911E-2</v>
      </c>
      <c r="W133" s="2">
        <f ca="1"/>
        <v>1.1489009892522198E-2</v>
      </c>
      <c r="X133" s="2" t="str">
        <f ca="1"/>
        <v/>
      </c>
      <c r="Y133" s="2" t="str">
        <f ca="1"/>
        <v/>
      </c>
      <c r="Z133" s="2" t="str">
        <f ca="1"/>
        <v/>
      </c>
      <c r="AA133" s="2" t="str">
        <f ca="1"/>
        <v/>
      </c>
      <c r="AB133" s="2" t="str">
        <f ca="1"/>
        <v/>
      </c>
      <c r="AC133" s="2" t="str">
        <f ca="1"/>
        <v/>
      </c>
      <c r="AD133" s="2" t="str">
        <f ca="1"/>
        <v/>
      </c>
      <c r="AE133" s="2" t="str">
        <f ca="1"/>
        <v/>
      </c>
      <c r="AF133" s="2" t="str">
        <f ca="1"/>
        <v/>
      </c>
      <c r="AG133" s="26" t="str">
        <f ca="1"/>
        <v/>
      </c>
      <c r="AH133" s="26">
        <f ca="1"/>
        <v>0.09</v>
      </c>
    </row>
    <row r="134" spans="1:34">
      <c r="A134" s="5">
        <f ca="1"/>
        <v>32871</v>
      </c>
      <c r="B134" s="2">
        <f ca="1"/>
        <v>3.7137735650900713E-2</v>
      </c>
      <c r="C134" s="2">
        <f ca="1"/>
        <v>0.1220634536207315</v>
      </c>
      <c r="D134" s="2">
        <f ca="1"/>
        <v>3.2868836208117341E-2</v>
      </c>
      <c r="E134" s="2">
        <f ca="1"/>
        <v>2.6758216792043279E-3</v>
      </c>
      <c r="F134" s="2">
        <f ca="1"/>
        <v>3.1403229786621807E-2</v>
      </c>
      <c r="G134" s="2">
        <f ca="1"/>
        <v>4.2343387470997564E-2</v>
      </c>
      <c r="H134" s="2" t="str">
        <f ca="1"/>
        <v/>
      </c>
      <c r="I134" s="2" t="str">
        <f ca="1"/>
        <v/>
      </c>
      <c r="J134" s="2" t="str">
        <f ca="1"/>
        <v/>
      </c>
      <c r="K134" s="2" t="str">
        <f ca="1"/>
        <v/>
      </c>
      <c r="L134" s="2" t="str">
        <f ca="1"/>
        <v/>
      </c>
      <c r="M134" s="2" t="str">
        <f ca="1"/>
        <v/>
      </c>
      <c r="N134" s="2" t="str">
        <f ca="1"/>
        <v/>
      </c>
      <c r="O134" s="2" t="str">
        <f ca="1"/>
        <v/>
      </c>
      <c r="P134" s="2" t="str">
        <f ca="1"/>
        <v/>
      </c>
      <c r="Q134" s="2">
        <f ca="1"/>
        <v>2.167523879500367E-2</v>
      </c>
      <c r="R134" s="2">
        <f ca="1"/>
        <v>1.0282021151586411E-2</v>
      </c>
      <c r="S134" s="2">
        <f ca="1"/>
        <v>2.5899453902987545E-2</v>
      </c>
      <c r="T134" s="2">
        <f ca="1"/>
        <v>2.4014736972405994E-2</v>
      </c>
      <c r="U134" s="2">
        <f ca="1"/>
        <v>2.0130202360579528E-2</v>
      </c>
      <c r="V134" s="2">
        <f ca="1"/>
        <v>1.8685036729966152E-2</v>
      </c>
      <c r="W134" s="2">
        <f ca="1"/>
        <v>2.2115745960165346E-2</v>
      </c>
      <c r="X134" s="2" t="str">
        <f ca="1"/>
        <v/>
      </c>
      <c r="Y134" s="2" t="str">
        <f ca="1"/>
        <v/>
      </c>
      <c r="Z134" s="2" t="str">
        <f ca="1"/>
        <v/>
      </c>
      <c r="AA134" s="2" t="str">
        <f ca="1"/>
        <v/>
      </c>
      <c r="AB134" s="2" t="str">
        <f ca="1"/>
        <v/>
      </c>
      <c r="AC134" s="2" t="str">
        <f ca="1"/>
        <v/>
      </c>
      <c r="AD134" s="2" t="str">
        <f ca="1"/>
        <v/>
      </c>
      <c r="AE134" s="2" t="str">
        <f ca="1"/>
        <v/>
      </c>
      <c r="AF134" s="2" t="str">
        <f ca="1"/>
        <v/>
      </c>
      <c r="AG134" s="26" t="str">
        <f ca="1"/>
        <v/>
      </c>
      <c r="AH134" s="26">
        <f ca="1"/>
        <v>-1.55E-2</v>
      </c>
    </row>
    <row r="135" spans="1:34">
      <c r="A135" s="5">
        <f ca="1"/>
        <v>32904</v>
      </c>
      <c r="B135" s="2">
        <f ca="1"/>
        <v>-3.7005850091946832E-2</v>
      </c>
      <c r="C135" s="2">
        <f ca="1"/>
        <v>3.2894452838333713E-2</v>
      </c>
      <c r="D135" s="2">
        <f ca="1"/>
        <v>-4.5917597861109258E-2</v>
      </c>
      <c r="E135" s="2">
        <f ca="1"/>
        <v>-1.1883182275931449E-2</v>
      </c>
      <c r="F135" s="2">
        <f ca="1"/>
        <v>-4.4600849037441909E-2</v>
      </c>
      <c r="G135" s="2">
        <f ca="1"/>
        <v>-2.8611471794554654E-2</v>
      </c>
      <c r="H135" s="2" t="str">
        <f ca="1"/>
        <v/>
      </c>
      <c r="I135" s="2" t="str">
        <f ca="1"/>
        <v/>
      </c>
      <c r="J135" s="2" t="str">
        <f ca="1"/>
        <v/>
      </c>
      <c r="K135" s="2" t="str">
        <f ca="1"/>
        <v/>
      </c>
      <c r="L135" s="2" t="str">
        <f ca="1"/>
        <v/>
      </c>
      <c r="M135" s="2" t="str">
        <f ca="1"/>
        <v/>
      </c>
      <c r="N135" s="2" t="str">
        <f ca="1"/>
        <v/>
      </c>
      <c r="O135" s="2" t="str">
        <f ca="1"/>
        <v/>
      </c>
      <c r="P135" s="2" t="str">
        <f ca="1"/>
        <v/>
      </c>
      <c r="Q135" s="2">
        <f ca="1"/>
        <v>-6.9309600862998866E-2</v>
      </c>
      <c r="R135" s="2">
        <f ca="1"/>
        <v>-8.3745274789182866E-2</v>
      </c>
      <c r="S135" s="2">
        <f ca="1"/>
        <v>-7.1666210027789737E-2</v>
      </c>
      <c r="T135" s="2">
        <f ca="1"/>
        <v>-6.7140423524138515E-2</v>
      </c>
      <c r="U135" s="2">
        <f ca="1"/>
        <v>-7.1356922970495645E-2</v>
      </c>
      <c r="V135" s="2">
        <f ca="1"/>
        <v>-8.0381009375623494E-2</v>
      </c>
      <c r="W135" s="2">
        <f ca="1"/>
        <v>-6.2301229847234144E-2</v>
      </c>
      <c r="X135" s="2" t="str">
        <f ca="1"/>
        <v/>
      </c>
      <c r="Y135" s="2" t="str">
        <f ca="1"/>
        <v/>
      </c>
      <c r="Z135" s="2" t="str">
        <f ca="1"/>
        <v/>
      </c>
      <c r="AA135" s="2" t="str">
        <f ca="1"/>
        <v/>
      </c>
      <c r="AB135" s="2" t="str">
        <f ca="1"/>
        <v/>
      </c>
      <c r="AC135" s="2" t="str">
        <f ca="1"/>
        <v/>
      </c>
      <c r="AD135" s="2" t="str">
        <f ca="1"/>
        <v/>
      </c>
      <c r="AE135" s="2" t="str">
        <f ca="1"/>
        <v/>
      </c>
      <c r="AF135" s="2" t="str">
        <f ca="1"/>
        <v/>
      </c>
      <c r="AG135" s="26" t="str">
        <f ca="1"/>
        <v/>
      </c>
      <c r="AH135" s="26">
        <f ca="1"/>
        <v>1.78E-2</v>
      </c>
    </row>
    <row r="136" spans="1:34">
      <c r="A136" s="5">
        <f ca="1"/>
        <v>32932</v>
      </c>
      <c r="B136" s="2">
        <f ca="1"/>
        <v>-6.9582883496805858E-2</v>
      </c>
      <c r="C136" s="2">
        <f ca="1"/>
        <v>3.9244368286872514E-2</v>
      </c>
      <c r="D136" s="2">
        <f ca="1"/>
        <v>-4.1976834420716702E-2</v>
      </c>
      <c r="E136" s="2">
        <f ca="1"/>
        <v>3.2358336730533579E-3</v>
      </c>
      <c r="F136" s="2">
        <f ca="1"/>
        <v>-7.8752649903990724E-2</v>
      </c>
      <c r="G136" s="2">
        <f ca="1"/>
        <v>-6.1789742588710624E-2</v>
      </c>
      <c r="H136" s="2" t="str">
        <f ca="1"/>
        <v/>
      </c>
      <c r="I136" s="2" t="str">
        <f ca="1"/>
        <v/>
      </c>
      <c r="J136" s="2" t="str">
        <f ca="1"/>
        <v/>
      </c>
      <c r="K136" s="2" t="str">
        <f ca="1"/>
        <v/>
      </c>
      <c r="L136" s="2" t="str">
        <f ca="1"/>
        <v/>
      </c>
      <c r="M136" s="2" t="str">
        <f ca="1"/>
        <v/>
      </c>
      <c r="N136" s="2" t="str">
        <f ca="1"/>
        <v/>
      </c>
      <c r="O136" s="2" t="str">
        <f ca="1"/>
        <v/>
      </c>
      <c r="P136" s="2" t="str">
        <f ca="1"/>
        <v/>
      </c>
      <c r="Q136" s="2">
        <f ca="1"/>
        <v>3.477252970153573E-3</v>
      </c>
      <c r="R136" s="2">
        <f ca="1"/>
        <v>8.7273881307520975E-3</v>
      </c>
      <c r="S136" s="2">
        <f ca="1"/>
        <v>1.1931866093262434E-2</v>
      </c>
      <c r="T136" s="2">
        <f ca="1"/>
        <v>1.2826860641313607E-2</v>
      </c>
      <c r="U136" s="2">
        <f ca="1"/>
        <v>1.5736740166865187E-2</v>
      </c>
      <c r="V136" s="2">
        <f ca="1"/>
        <v>7.0606609472783433E-3</v>
      </c>
      <c r="W136" s="2">
        <f ca="1"/>
        <v>2.524113864491833E-2</v>
      </c>
      <c r="X136" s="2" t="str">
        <f ca="1"/>
        <v/>
      </c>
      <c r="Y136" s="2" t="str">
        <f ca="1"/>
        <v/>
      </c>
      <c r="Z136" s="2" t="str">
        <f ca="1"/>
        <v/>
      </c>
      <c r="AA136" s="2" t="str">
        <f ca="1"/>
        <v/>
      </c>
      <c r="AB136" s="2" t="str">
        <f ca="1"/>
        <v/>
      </c>
      <c r="AC136" s="2" t="str">
        <f ca="1"/>
        <v/>
      </c>
      <c r="AD136" s="2" t="str">
        <f ca="1"/>
        <v/>
      </c>
      <c r="AE136" s="2" t="str">
        <f ca="1"/>
        <v/>
      </c>
      <c r="AF136" s="2" t="str">
        <f ca="1"/>
        <v/>
      </c>
      <c r="AG136" s="26" t="str">
        <f ca="1"/>
        <v/>
      </c>
      <c r="AH136" s="26">
        <f ca="1"/>
        <v>-8.5000000000000006E-3</v>
      </c>
    </row>
    <row r="137" spans="1:34">
      <c r="A137" s="5">
        <f ca="1"/>
        <v>32962</v>
      </c>
      <c r="B137" s="2">
        <f ca="1"/>
        <v>-0.10397102366835662</v>
      </c>
      <c r="C137" s="2">
        <f ca="1"/>
        <v>-0.13532534384299849</v>
      </c>
      <c r="D137" s="2">
        <f ca="1"/>
        <v>-6.1726543163579221E-2</v>
      </c>
      <c r="E137" s="2">
        <f ca="1"/>
        <v>7.3650793650798852E-4</v>
      </c>
      <c r="F137" s="2">
        <f ca="1"/>
        <v>-0.11509499817271721</v>
      </c>
      <c r="G137" s="2">
        <f ca="1"/>
        <v>-9.1020520776324804E-2</v>
      </c>
      <c r="H137" s="2" t="str">
        <f ca="1"/>
        <v/>
      </c>
      <c r="I137" s="2" t="str">
        <f ca="1"/>
        <v/>
      </c>
      <c r="J137" s="2" t="str">
        <f ca="1"/>
        <v/>
      </c>
      <c r="K137" s="2" t="str">
        <f ca="1"/>
        <v/>
      </c>
      <c r="L137" s="2" t="str">
        <f ca="1"/>
        <v/>
      </c>
      <c r="M137" s="2" t="str">
        <f ca="1"/>
        <v/>
      </c>
      <c r="N137" s="2" t="str">
        <f ca="1"/>
        <v/>
      </c>
      <c r="O137" s="2" t="str">
        <f ca="1"/>
        <v/>
      </c>
      <c r="P137" s="2" t="str">
        <f ca="1"/>
        <v/>
      </c>
      <c r="Q137" s="2">
        <f ca="1"/>
        <v>3.9079795938011377E-2</v>
      </c>
      <c r="R137" s="2">
        <f ca="1"/>
        <v>3.0517539719993787E-2</v>
      </c>
      <c r="S137" s="2">
        <f ca="1"/>
        <v>1.5666013916086911E-2</v>
      </c>
      <c r="T137" s="2">
        <f ca="1"/>
        <v>2.6452061630281371E-2</v>
      </c>
      <c r="U137" s="2">
        <f ca="1"/>
        <v>2.4862030399149374E-2</v>
      </c>
      <c r="V137" s="2">
        <f ca="1"/>
        <v>3.9816051350536362E-2</v>
      </c>
      <c r="W137" s="2">
        <f ca="1"/>
        <v>1.0220764692946837E-2</v>
      </c>
      <c r="X137" s="2" t="str">
        <f ca="1"/>
        <v/>
      </c>
      <c r="Y137" s="2" t="str">
        <f ca="1"/>
        <v/>
      </c>
      <c r="Z137" s="2" t="str">
        <f ca="1"/>
        <v/>
      </c>
      <c r="AA137" s="2" t="str">
        <f ca="1"/>
        <v/>
      </c>
      <c r="AB137" s="2" t="str">
        <f ca="1"/>
        <v/>
      </c>
      <c r="AC137" s="2" t="str">
        <f ca="1"/>
        <v/>
      </c>
      <c r="AD137" s="2" t="str">
        <f ca="1"/>
        <v/>
      </c>
      <c r="AE137" s="2" t="str">
        <f ca="1"/>
        <v/>
      </c>
      <c r="AF137" s="2" t="str">
        <f ca="1"/>
        <v/>
      </c>
      <c r="AG137" s="26" t="str">
        <f ca="1"/>
        <v/>
      </c>
      <c r="AH137" s="26">
        <f ca="1"/>
        <v>-9.4600000000000004E-2</v>
      </c>
    </row>
    <row r="138" spans="1:34">
      <c r="A138" s="5">
        <f ca="1"/>
        <v>32993</v>
      </c>
      <c r="B138" s="2">
        <f ca="1"/>
        <v>-7.6701334420757319E-3</v>
      </c>
      <c r="C138" s="2">
        <f ca="1"/>
        <v>7.2182689177247614E-2</v>
      </c>
      <c r="D138" s="2">
        <f ca="1"/>
        <v>-1.2549960031974368E-2</v>
      </c>
      <c r="E138" s="2">
        <f ca="1"/>
        <v>-9.16150644604612E-3</v>
      </c>
      <c r="F138" s="2">
        <f ca="1"/>
        <v>-1.1228676512214684E-2</v>
      </c>
      <c r="G138" s="2">
        <f ca="1"/>
        <v>-4.8713980763202104E-3</v>
      </c>
      <c r="H138" s="2" t="str">
        <f ca="1"/>
        <v/>
      </c>
      <c r="I138" s="2" t="str">
        <f ca="1"/>
        <v/>
      </c>
      <c r="J138" s="2" t="str">
        <f ca="1"/>
        <v/>
      </c>
      <c r="K138" s="2" t="str">
        <f ca="1"/>
        <v/>
      </c>
      <c r="L138" s="2" t="str">
        <f ca="1"/>
        <v/>
      </c>
      <c r="M138" s="2" t="str">
        <f ca="1"/>
        <v/>
      </c>
      <c r="N138" s="2" t="str">
        <f ca="1"/>
        <v/>
      </c>
      <c r="O138" s="2" t="str">
        <f ca="1"/>
        <v/>
      </c>
      <c r="P138" s="2" t="str">
        <f ca="1"/>
        <v/>
      </c>
      <c r="Q138" s="2">
        <f ca="1"/>
        <v>-5.3728578045391228E-3</v>
      </c>
      <c r="R138" s="2">
        <f ca="1"/>
        <v>-1.2211876049458271E-2</v>
      </c>
      <c r="S138" s="2">
        <f ca="1"/>
        <v>-2.797719161504706E-2</v>
      </c>
      <c r="T138" s="2">
        <f ca="1"/>
        <v>-2.5020923157347431E-2</v>
      </c>
      <c r="U138" s="2">
        <f ca="1"/>
        <v>-2.5994239404619163E-2</v>
      </c>
      <c r="V138" s="2">
        <f ca="1"/>
        <v>-1.3019295901562989E-2</v>
      </c>
      <c r="W138" s="2">
        <f ca="1"/>
        <v>-3.8955139125496877E-2</v>
      </c>
      <c r="X138" s="2" t="str">
        <f ca="1"/>
        <v/>
      </c>
      <c r="Y138" s="2" t="str">
        <f ca="1"/>
        <v/>
      </c>
      <c r="Z138" s="2" t="str">
        <f ca="1"/>
        <v/>
      </c>
      <c r="AA138" s="2" t="str">
        <f ca="1"/>
        <v/>
      </c>
      <c r="AB138" s="2" t="str">
        <f ca="1"/>
        <v/>
      </c>
      <c r="AC138" s="2" t="str">
        <f ca="1"/>
        <v/>
      </c>
      <c r="AD138" s="2" t="str">
        <f ca="1"/>
        <v/>
      </c>
      <c r="AE138" s="2" t="str">
        <f ca="1"/>
        <v/>
      </c>
      <c r="AF138" s="2" t="str">
        <f ca="1"/>
        <v/>
      </c>
      <c r="AG138" s="26" t="str">
        <f ca="1"/>
        <v/>
      </c>
      <c r="AH138" s="26">
        <f ca="1"/>
        <v>3.2000000000000002E-3</v>
      </c>
    </row>
    <row r="139" spans="1:34">
      <c r="A139" s="5">
        <f ca="1"/>
        <v>33024</v>
      </c>
      <c r="B139" s="2">
        <f ca="1"/>
        <v>0.11440675613056399</v>
      </c>
      <c r="C139" s="2">
        <f ca="1"/>
        <v>8.2115126013967837E-2</v>
      </c>
      <c r="D139" s="2">
        <f ca="1"/>
        <v>0.10448474054885462</v>
      </c>
      <c r="E139" s="2">
        <f ca="1"/>
        <v>2.9608380503547378E-2</v>
      </c>
      <c r="F139" s="2">
        <f ca="1"/>
        <v>0.12569339503102087</v>
      </c>
      <c r="G139" s="2">
        <f ca="1"/>
        <v>0.1041352067603379</v>
      </c>
      <c r="H139" s="2" t="str">
        <f ca="1"/>
        <v/>
      </c>
      <c r="I139" s="2" t="str">
        <f ca="1"/>
        <v/>
      </c>
      <c r="J139" s="2" t="str">
        <f ca="1"/>
        <v/>
      </c>
      <c r="K139" s="2" t="str">
        <f ca="1"/>
        <v/>
      </c>
      <c r="L139" s="2" t="str">
        <f ca="1"/>
        <v/>
      </c>
      <c r="M139" s="2" t="str">
        <f ca="1"/>
        <v/>
      </c>
      <c r="N139" s="2" t="str">
        <f ca="1"/>
        <v/>
      </c>
      <c r="O139" s="2" t="str">
        <f ca="1"/>
        <v/>
      </c>
      <c r="P139" s="2" t="str">
        <f ca="1"/>
        <v/>
      </c>
      <c r="Q139" s="2">
        <f ca="1"/>
        <v>0.10412591971686684</v>
      </c>
      <c r="R139" s="2">
        <f ca="1"/>
        <v>0.11451089476124264</v>
      </c>
      <c r="S139" s="2">
        <f ca="1"/>
        <v>8.2971090947457374E-2</v>
      </c>
      <c r="T139" s="2">
        <f ca="1"/>
        <v>9.7408473568367071E-2</v>
      </c>
      <c r="U139" s="2">
        <f ca="1"/>
        <v>9.3582396590992462E-2</v>
      </c>
      <c r="V139" s="2">
        <f ca="1"/>
        <v>0.10393317382361579</v>
      </c>
      <c r="W139" s="2">
        <f ca="1"/>
        <v>8.2998503111951449E-2</v>
      </c>
      <c r="X139" s="2" t="str">
        <f ca="1"/>
        <v/>
      </c>
      <c r="Y139" s="2" t="str">
        <f ca="1"/>
        <v/>
      </c>
      <c r="Z139" s="2" t="str">
        <f ca="1"/>
        <v/>
      </c>
      <c r="AA139" s="2" t="str">
        <f ca="1"/>
        <v/>
      </c>
      <c r="AB139" s="2" t="str">
        <f ca="1"/>
        <v/>
      </c>
      <c r="AC139" s="2" t="str">
        <f ca="1"/>
        <v/>
      </c>
      <c r="AD139" s="2" t="str">
        <f ca="1"/>
        <v/>
      </c>
      <c r="AE139" s="2" t="str">
        <f ca="1"/>
        <v/>
      </c>
      <c r="AF139" s="2" t="str">
        <f ca="1"/>
        <v/>
      </c>
      <c r="AG139" s="26" t="str">
        <f ca="1"/>
        <v/>
      </c>
      <c r="AH139" s="26">
        <f ca="1"/>
        <v>-1.9099999999999999E-2</v>
      </c>
    </row>
    <row r="140" spans="1:34">
      <c r="A140" s="5">
        <f ca="1"/>
        <v>33053</v>
      </c>
      <c r="B140" s="2">
        <f ca="1"/>
        <v>-8.5681428972448001E-3</v>
      </c>
      <c r="C140" s="2">
        <f ca="1"/>
        <v>3.455463801811904E-2</v>
      </c>
      <c r="D140" s="2">
        <f ca="1"/>
        <v>-6.7137213512465481E-3</v>
      </c>
      <c r="E140" s="2">
        <f ca="1"/>
        <v>1.6045175253115721E-2</v>
      </c>
      <c r="F140" s="2">
        <f ca="1"/>
        <v>-1.4779146603297802E-2</v>
      </c>
      <c r="G140" s="2">
        <f ca="1"/>
        <v>-2.1963988116802721E-3</v>
      </c>
      <c r="H140" s="2" t="str">
        <f ca="1"/>
        <v/>
      </c>
      <c r="I140" s="2" t="str">
        <f ca="1"/>
        <v/>
      </c>
      <c r="J140" s="2" t="str">
        <f ca="1"/>
        <v/>
      </c>
      <c r="K140" s="2" t="str">
        <f ca="1"/>
        <v/>
      </c>
      <c r="L140" s="2" t="str">
        <f ca="1"/>
        <v/>
      </c>
      <c r="M140" s="2" t="str">
        <f ca="1"/>
        <v/>
      </c>
      <c r="N140" s="2" t="str">
        <f ca="1"/>
        <v/>
      </c>
      <c r="O140" s="2" t="str">
        <f ca="1"/>
        <v/>
      </c>
      <c r="P140" s="2" t="str">
        <f ca="1"/>
        <v/>
      </c>
      <c r="Q140" s="2">
        <f ca="1"/>
        <v>1.4171235765499847E-2</v>
      </c>
      <c r="R140" s="2">
        <f ca="1"/>
        <v>2.3987798114253882E-2</v>
      </c>
      <c r="S140" s="2">
        <f ca="1"/>
        <v>-7.326292817894953E-3</v>
      </c>
      <c r="T140" s="2">
        <f ca="1"/>
        <v>-6.7726522950013893E-3</v>
      </c>
      <c r="U140" s="2">
        <f ca="1"/>
        <v>-5.4586069635029141E-3</v>
      </c>
      <c r="V140" s="2">
        <f ca="1"/>
        <v>1.0817901821362079E-2</v>
      </c>
      <c r="W140" s="2">
        <f ca="1"/>
        <v>-2.2733059324191614E-2</v>
      </c>
      <c r="X140" s="2" t="str">
        <f ca="1"/>
        <v/>
      </c>
      <c r="Y140" s="2" t="str">
        <f ca="1"/>
        <v/>
      </c>
      <c r="Z140" s="2" t="str">
        <f ca="1"/>
        <v/>
      </c>
      <c r="AA140" s="2" t="str">
        <f ca="1"/>
        <v/>
      </c>
      <c r="AB140" s="2" t="str">
        <f ca="1"/>
        <v/>
      </c>
      <c r="AC140" s="2" t="str">
        <f ca="1"/>
        <v/>
      </c>
      <c r="AD140" s="2" t="str">
        <f ca="1"/>
        <v/>
      </c>
      <c r="AE140" s="2" t="str">
        <f ca="1"/>
        <v/>
      </c>
      <c r="AF140" s="2" t="str">
        <f ca="1"/>
        <v/>
      </c>
      <c r="AG140" s="26" t="str">
        <f ca="1"/>
        <v/>
      </c>
      <c r="AH140" s="26">
        <f ca="1"/>
        <v>-1.21E-2</v>
      </c>
    </row>
    <row r="141" spans="1:34">
      <c r="A141" s="5">
        <f ca="1"/>
        <v>33085</v>
      </c>
      <c r="B141" s="2">
        <f ca="1"/>
        <v>1.4344081481754476E-2</v>
      </c>
      <c r="C141" s="2">
        <f ca="1"/>
        <v>8.8189708617482931E-2</v>
      </c>
      <c r="D141" s="2">
        <f ca="1"/>
        <v>1.0153407958914154E-2</v>
      </c>
      <c r="E141" s="2">
        <f ca="1"/>
        <v>1.3833121143864405E-2</v>
      </c>
      <c r="F141" s="2">
        <f ca="1"/>
        <v>1.1175524712254704E-2</v>
      </c>
      <c r="G141" s="2">
        <f ca="1"/>
        <v>1.7196853824473123E-2</v>
      </c>
      <c r="H141" s="2" t="str">
        <f ca="1"/>
        <v/>
      </c>
      <c r="I141" s="2" t="str">
        <f ca="1"/>
        <v/>
      </c>
      <c r="J141" s="2" t="str">
        <f ca="1"/>
        <v/>
      </c>
      <c r="K141" s="2" t="str">
        <f ca="1"/>
        <v/>
      </c>
      <c r="L141" s="2" t="str">
        <f ca="1"/>
        <v/>
      </c>
      <c r="M141" s="2" t="str">
        <f ca="1"/>
        <v/>
      </c>
      <c r="N141" s="2" t="str">
        <f ca="1"/>
        <v/>
      </c>
      <c r="O141" s="2" t="str">
        <f ca="1"/>
        <v/>
      </c>
      <c r="P141" s="2" t="str">
        <f ca="1"/>
        <v/>
      </c>
      <c r="Q141" s="2">
        <f ca="1"/>
        <v>1.7466522498543935E-3</v>
      </c>
      <c r="R141" s="2">
        <f ca="1"/>
        <v>6.093432633717033E-3</v>
      </c>
      <c r="S141" s="2">
        <f ca="1"/>
        <v>2.1591489027598296E-3</v>
      </c>
      <c r="T141" s="2">
        <f ca="1"/>
        <v>-3.2427059841429028E-3</v>
      </c>
      <c r="U141" s="2">
        <f ca="1"/>
        <v>-8.9336981119329268E-3</v>
      </c>
      <c r="V141" s="2">
        <f ca="1"/>
        <v>-9.1221998608159091E-3</v>
      </c>
      <c r="W141" s="2">
        <f ca="1"/>
        <v>-8.7278546970372579E-3</v>
      </c>
      <c r="X141" s="2" t="str">
        <f ca="1"/>
        <v/>
      </c>
      <c r="Y141" s="2" t="str">
        <f ca="1"/>
        <v/>
      </c>
      <c r="Z141" s="2" t="str">
        <f ca="1"/>
        <v/>
      </c>
      <c r="AA141" s="2" t="str">
        <f ca="1"/>
        <v/>
      </c>
      <c r="AB141" s="2" t="str">
        <f ca="1"/>
        <v/>
      </c>
      <c r="AC141" s="2" t="str">
        <f ca="1"/>
        <v/>
      </c>
      <c r="AD141" s="2" t="str">
        <f ca="1"/>
        <v/>
      </c>
      <c r="AE141" s="2" t="str">
        <f ca="1"/>
        <v/>
      </c>
      <c r="AF141" s="2" t="str">
        <f ca="1"/>
        <v/>
      </c>
      <c r="AG141" s="26" t="str">
        <f ca="1"/>
        <v/>
      </c>
      <c r="AH141" s="26">
        <f ca="1"/>
        <v>2.81E-2</v>
      </c>
    </row>
    <row r="142" spans="1:34">
      <c r="A142" s="5">
        <f ca="1"/>
        <v>33116</v>
      </c>
      <c r="B142" s="2">
        <f ca="1"/>
        <v>-9.6837614978426106E-2</v>
      </c>
      <c r="C142" s="2">
        <f ca="1"/>
        <v>-0.12758154109101263</v>
      </c>
      <c r="D142" s="2">
        <f ca="1"/>
        <v>-9.4004981847666397E-2</v>
      </c>
      <c r="E142" s="2">
        <f ca="1"/>
        <v>-1.3354584752106964E-2</v>
      </c>
      <c r="F142" s="2">
        <f ca="1"/>
        <v>-9.5115102464418885E-2</v>
      </c>
      <c r="G142" s="2">
        <f ca="1"/>
        <v>-9.8518650722826936E-2</v>
      </c>
      <c r="H142" s="2" t="str">
        <f ca="1"/>
        <v/>
      </c>
      <c r="I142" s="2" t="str">
        <f ca="1"/>
        <v/>
      </c>
      <c r="J142" s="2" t="str">
        <f ca="1"/>
        <v/>
      </c>
      <c r="K142" s="2" t="str">
        <f ca="1"/>
        <v/>
      </c>
      <c r="L142" s="2" t="str">
        <f ca="1"/>
        <v/>
      </c>
      <c r="M142" s="2" t="str">
        <f ca="1"/>
        <v/>
      </c>
      <c r="N142" s="2" t="str">
        <f ca="1"/>
        <v/>
      </c>
      <c r="O142" s="2" t="str">
        <f ca="1"/>
        <v/>
      </c>
      <c r="P142" s="2" t="str">
        <f ca="1"/>
        <v/>
      </c>
      <c r="Q142" s="2">
        <f ca="1"/>
        <v>-9.3739621388243044E-2</v>
      </c>
      <c r="R142" s="2">
        <f ca="1"/>
        <v>-8.4791386271870758E-2</v>
      </c>
      <c r="S142" s="2">
        <f ca="1"/>
        <v>-8.2771858351613908E-2</v>
      </c>
      <c r="T142" s="2">
        <f ca="1"/>
        <v>-9.0460658246209358E-2</v>
      </c>
      <c r="U142" s="2">
        <f ca="1"/>
        <v>-9.1778137513845129E-2</v>
      </c>
      <c r="V142" s="2">
        <f ca="1"/>
        <v>-9.5858167875175676E-2</v>
      </c>
      <c r="W142" s="2">
        <f ca="1"/>
        <v>-8.7943755045337635E-2</v>
      </c>
      <c r="X142" s="2" t="str">
        <f ca="1"/>
        <v/>
      </c>
      <c r="Y142" s="2" t="str">
        <f ca="1"/>
        <v/>
      </c>
      <c r="Z142" s="2" t="str">
        <f ca="1"/>
        <v/>
      </c>
      <c r="AA142" s="2" t="str">
        <f ca="1"/>
        <v/>
      </c>
      <c r="AB142" s="2" t="str">
        <f ca="1"/>
        <v/>
      </c>
      <c r="AC142" s="2" t="str">
        <f ca="1"/>
        <v/>
      </c>
      <c r="AD142" s="2" t="str">
        <f ca="1"/>
        <v/>
      </c>
      <c r="AE142" s="2" t="str">
        <f ca="1"/>
        <v/>
      </c>
      <c r="AF142" s="2" t="str">
        <f ca="1"/>
        <v/>
      </c>
      <c r="AG142" s="26" t="str">
        <f ca="1"/>
        <v/>
      </c>
      <c r="AH142" s="26">
        <f ca="1"/>
        <v>3.95E-2</v>
      </c>
    </row>
    <row r="143" spans="1:34">
      <c r="A143" s="5">
        <f ca="1"/>
        <v>33144</v>
      </c>
      <c r="B143" s="2">
        <f ca="1"/>
        <v>-0.13907320698036071</v>
      </c>
      <c r="C143" s="2">
        <f ca="1"/>
        <v>-0.12770907309905716</v>
      </c>
      <c r="D143" s="2">
        <f ca="1"/>
        <v>-0.1044844712484278</v>
      </c>
      <c r="E143" s="2">
        <f ca="1"/>
        <v>8.2729586841589868E-3</v>
      </c>
      <c r="F143" s="2">
        <f ca="1"/>
        <v>-0.15162866585087703</v>
      </c>
      <c r="G143" s="2">
        <f ca="1"/>
        <v>-0.12661849138784406</v>
      </c>
      <c r="H143" s="2" t="str">
        <f ca="1"/>
        <v/>
      </c>
      <c r="I143" s="2" t="str">
        <f ca="1"/>
        <v/>
      </c>
      <c r="J143" s="2" t="str">
        <f ca="1"/>
        <v/>
      </c>
      <c r="K143" s="2" t="str">
        <f ca="1"/>
        <v/>
      </c>
      <c r="L143" s="2" t="str">
        <f ca="1"/>
        <v/>
      </c>
      <c r="M143" s="2" t="str">
        <f ca="1"/>
        <v/>
      </c>
      <c r="N143" s="2" t="str">
        <f ca="1"/>
        <v/>
      </c>
      <c r="O143" s="2" t="str">
        <f ca="1"/>
        <v/>
      </c>
      <c r="P143" s="2" t="str">
        <f ca="1"/>
        <v/>
      </c>
      <c r="Q143" s="2">
        <f ca="1"/>
        <v>-4.9564819056344585E-2</v>
      </c>
      <c r="R143" s="2">
        <f ca="1"/>
        <v>-4.4558823529411783E-2</v>
      </c>
      <c r="S143" s="2">
        <f ca="1"/>
        <v>-2.1823617339312464E-2</v>
      </c>
      <c r="T143" s="2">
        <f ca="1"/>
        <v>-4.872463721677657E-2</v>
      </c>
      <c r="U143" s="2">
        <f ca="1"/>
        <v>-5.1107900711082774E-2</v>
      </c>
      <c r="V143" s="2">
        <f ca="1"/>
        <v>-5.3913335572724173E-2</v>
      </c>
      <c r="W143" s="2">
        <f ca="1"/>
        <v>-4.840220243914993E-2</v>
      </c>
      <c r="X143" s="2" t="str">
        <f ca="1"/>
        <v/>
      </c>
      <c r="Y143" s="2" t="str">
        <f ca="1"/>
        <v/>
      </c>
      <c r="Z143" s="2" t="str">
        <f ca="1"/>
        <v/>
      </c>
      <c r="AA143" s="2" t="str">
        <f ca="1"/>
        <v/>
      </c>
      <c r="AB143" s="2" t="str">
        <f ca="1"/>
        <v/>
      </c>
      <c r="AC143" s="2" t="str">
        <f ca="1"/>
        <v/>
      </c>
      <c r="AD143" s="2" t="str">
        <f ca="1"/>
        <v/>
      </c>
      <c r="AE143" s="2" t="str">
        <f ca="1"/>
        <v/>
      </c>
      <c r="AF143" s="2" t="str">
        <f ca="1"/>
        <v/>
      </c>
      <c r="AG143" s="26" t="str">
        <f ca="1"/>
        <v/>
      </c>
      <c r="AH143" s="26">
        <f ca="1"/>
        <v>4.6500000000000007E-2</v>
      </c>
    </row>
    <row r="144" spans="1:34">
      <c r="A144" s="5">
        <f ca="1"/>
        <v>33177</v>
      </c>
      <c r="B144" s="2">
        <f ca="1"/>
        <v>0.1561399173399817</v>
      </c>
      <c r="C144" s="2">
        <f ca="1"/>
        <v>-1.8575706531910905E-2</v>
      </c>
      <c r="D144" s="2">
        <f ca="1"/>
        <v>9.2023877049401751E-2</v>
      </c>
      <c r="E144" s="2">
        <f ca="1"/>
        <v>1.2696023692770838E-2</v>
      </c>
      <c r="F144" s="2">
        <f ca="1"/>
        <v>0.17614960762124068</v>
      </c>
      <c r="G144" s="2">
        <f ca="1"/>
        <v>0.13813485361955821</v>
      </c>
      <c r="H144" s="2" t="str">
        <f ca="1"/>
        <v/>
      </c>
      <c r="I144" s="2" t="str">
        <f ca="1"/>
        <v/>
      </c>
      <c r="J144" s="2" t="str">
        <f ca="1"/>
        <v/>
      </c>
      <c r="K144" s="2" t="str">
        <f ca="1"/>
        <v/>
      </c>
      <c r="L144" s="2" t="str">
        <f ca="1"/>
        <v/>
      </c>
      <c r="M144" s="2" t="str">
        <f ca="1"/>
        <v/>
      </c>
      <c r="N144" s="2" t="str">
        <f ca="1"/>
        <v/>
      </c>
      <c r="O144" s="2" t="str">
        <f ca="1"/>
        <v/>
      </c>
      <c r="P144" s="2" t="str">
        <f ca="1"/>
        <v/>
      </c>
      <c r="Q144" s="2">
        <f ca="1"/>
        <v>1.0217852323115503E-2</v>
      </c>
      <c r="R144" s="2">
        <f ca="1"/>
        <v>1.262120978913356E-2</v>
      </c>
      <c r="S144" s="2">
        <f ca="1"/>
        <v>1.2530562347188284E-2</v>
      </c>
      <c r="T144" s="2">
        <f ca="1"/>
        <v>-4.2905425729566392E-3</v>
      </c>
      <c r="U144" s="2">
        <f ca="1"/>
        <v>-4.9431537320810681E-3</v>
      </c>
      <c r="V144" s="2">
        <f ca="1"/>
        <v>4.0054145215693707E-3</v>
      </c>
      <c r="W144" s="2">
        <f ca="1"/>
        <v>-1.3681296100019474E-2</v>
      </c>
      <c r="X144" s="2" t="str">
        <f ca="1"/>
        <v/>
      </c>
      <c r="Y144" s="2" t="str">
        <f ca="1"/>
        <v/>
      </c>
      <c r="Z144" s="2" t="str">
        <f ca="1"/>
        <v/>
      </c>
      <c r="AA144" s="2" t="str">
        <f ca="1"/>
        <v/>
      </c>
      <c r="AB144" s="2" t="str">
        <f ca="1"/>
        <v/>
      </c>
      <c r="AC144" s="2" t="str">
        <f ca="1"/>
        <v/>
      </c>
      <c r="AD144" s="2" t="str">
        <f ca="1"/>
        <v/>
      </c>
      <c r="AE144" s="2" t="str">
        <f ca="1"/>
        <v/>
      </c>
      <c r="AF144" s="2" t="str">
        <f ca="1"/>
        <v/>
      </c>
      <c r="AG144" s="26" t="str">
        <f ca="1"/>
        <v/>
      </c>
      <c r="AH144" s="26">
        <f ca="1"/>
        <v>-5.2699999999999997E-2</v>
      </c>
    </row>
    <row r="145" spans="1:34">
      <c r="A145" s="5">
        <f ca="1"/>
        <v>33207</v>
      </c>
      <c r="B145" s="2">
        <f ca="1"/>
        <v>-5.8703238474136006E-2</v>
      </c>
      <c r="C145" s="2">
        <f ca="1"/>
        <v>-5.2157330154946363E-2</v>
      </c>
      <c r="D145" s="2">
        <f ca="1"/>
        <v>-1.6761480748619023E-2</v>
      </c>
      <c r="E145" s="2">
        <f ca="1"/>
        <v>2.1525996596111804E-2</v>
      </c>
      <c r="F145" s="2">
        <f ca="1"/>
        <v>-5.7525294425725092E-2</v>
      </c>
      <c r="G145" s="2">
        <f ca="1"/>
        <v>-5.9900514357700163E-2</v>
      </c>
      <c r="H145" s="2" t="str">
        <f ca="1"/>
        <v/>
      </c>
      <c r="I145" s="2" t="str">
        <f ca="1"/>
        <v/>
      </c>
      <c r="J145" s="2" t="str">
        <f ca="1"/>
        <v/>
      </c>
      <c r="K145" s="2" t="str">
        <f ca="1"/>
        <v/>
      </c>
      <c r="L145" s="2" t="str">
        <f ca="1"/>
        <v/>
      </c>
      <c r="M145" s="2" t="str">
        <f ca="1"/>
        <v/>
      </c>
      <c r="N145" s="2" t="str">
        <f ca="1"/>
        <v/>
      </c>
      <c r="O145" s="2" t="str">
        <f ca="1"/>
        <v/>
      </c>
      <c r="P145" s="2" t="str">
        <f ca="1"/>
        <v/>
      </c>
      <c r="Q145" s="2">
        <f ca="1"/>
        <v>6.8702290076335909E-2</v>
      </c>
      <c r="R145" s="2">
        <f ca="1"/>
        <v>6.3991488068095348E-2</v>
      </c>
      <c r="S145" s="2">
        <f ca="1"/>
        <v>5.3857099736966972E-2</v>
      </c>
      <c r="T145" s="2">
        <f ca="1"/>
        <v>6.4569324263751296E-2</v>
      </c>
      <c r="U145" s="2">
        <f ca="1"/>
        <v>6.8256333830104363E-2</v>
      </c>
      <c r="V145" s="2">
        <f ca="1"/>
        <v>6.7367304313231319E-2</v>
      </c>
      <c r="W145" s="2">
        <f ca="1"/>
        <v>6.9333421055517097E-2</v>
      </c>
      <c r="X145" s="2" t="str">
        <f ca="1"/>
        <v/>
      </c>
      <c r="Y145" s="2" t="str">
        <f ca="1"/>
        <v/>
      </c>
      <c r="Z145" s="2" t="str">
        <f ca="1"/>
        <v/>
      </c>
      <c r="AA145" s="2" t="str">
        <f ca="1"/>
        <v/>
      </c>
      <c r="AB145" s="2" t="str">
        <f ca="1"/>
        <v/>
      </c>
      <c r="AC145" s="2" t="str">
        <f ca="1"/>
        <v/>
      </c>
      <c r="AD145" s="2" t="str">
        <f ca="1"/>
        <v/>
      </c>
      <c r="AE145" s="2" t="str">
        <f ca="1"/>
        <v/>
      </c>
      <c r="AF145" s="2" t="str">
        <f ca="1"/>
        <v/>
      </c>
      <c r="AG145" s="26" t="str">
        <f ca="1"/>
        <v/>
      </c>
      <c r="AH145" s="26">
        <f ca="1"/>
        <v>5.1999999999999998E-3</v>
      </c>
    </row>
    <row r="146" spans="1:34">
      <c r="A146" s="5">
        <f ca="1"/>
        <v>33238</v>
      </c>
      <c r="B146" s="2">
        <f ca="1"/>
        <v>1.6589295067194598E-2</v>
      </c>
      <c r="C146" s="2">
        <f ca="1"/>
        <v>4.2251395805040018E-2</v>
      </c>
      <c r="D146" s="2">
        <f ca="1"/>
        <v>2.1575253444242208E-2</v>
      </c>
      <c r="E146" s="2">
        <f ca="1"/>
        <v>1.5581368062888757E-2</v>
      </c>
      <c r="F146" s="2">
        <f ca="1"/>
        <v>2.227813092274596E-2</v>
      </c>
      <c r="G146" s="2">
        <f ca="1"/>
        <v>1.1006181045852013E-2</v>
      </c>
      <c r="H146" s="2" t="str">
        <f ca="1"/>
        <v/>
      </c>
      <c r="I146" s="2" t="str">
        <f ca="1"/>
        <v/>
      </c>
      <c r="J146" s="2" t="str">
        <f ca="1"/>
        <v/>
      </c>
      <c r="K146" s="2" t="str">
        <f ca="1"/>
        <v/>
      </c>
      <c r="L146" s="2" t="str">
        <f ca="1"/>
        <v/>
      </c>
      <c r="M146" s="2" t="str">
        <f ca="1"/>
        <v/>
      </c>
      <c r="N146" s="2" t="str">
        <f ca="1"/>
        <v/>
      </c>
      <c r="O146" s="2" t="str">
        <f ca="1"/>
        <v/>
      </c>
      <c r="P146" s="2" t="str">
        <f ca="1"/>
        <v/>
      </c>
      <c r="Q146" s="2">
        <f ca="1"/>
        <v>3.2589285714285765E-2</v>
      </c>
      <c r="R146" s="2">
        <f ca="1"/>
        <v>1.8285714285714301E-2</v>
      </c>
      <c r="S146" s="2">
        <f ca="1"/>
        <v>2.5818330605564658E-2</v>
      </c>
      <c r="T146" s="2">
        <f ca="1"/>
        <v>2.7804317585381141E-2</v>
      </c>
      <c r="U146" s="2">
        <f ca="1"/>
        <v>3.0282738095238047E-2</v>
      </c>
      <c r="V146" s="2">
        <f ca="1"/>
        <v>3.5357457162085278E-2</v>
      </c>
      <c r="W146" s="2">
        <f ca="1"/>
        <v>2.5430680885972154E-2</v>
      </c>
      <c r="X146" s="2" t="str">
        <f ca="1"/>
        <v/>
      </c>
      <c r="Y146" s="2" t="str">
        <f ca="1"/>
        <v/>
      </c>
      <c r="Z146" s="2" t="str">
        <f ca="1"/>
        <v/>
      </c>
      <c r="AA146" s="2" t="str">
        <f ca="1"/>
        <v/>
      </c>
      <c r="AB146" s="2" t="str">
        <f ca="1"/>
        <v/>
      </c>
      <c r="AC146" s="2" t="str">
        <f ca="1"/>
        <v/>
      </c>
      <c r="AD146" s="2" t="str">
        <f ca="1"/>
        <v/>
      </c>
      <c r="AE146" s="2" t="str">
        <f ca="1"/>
        <v/>
      </c>
      <c r="AF146" s="2" t="str">
        <f ca="1"/>
        <v/>
      </c>
      <c r="AG146" s="26" t="str">
        <f ca="1"/>
        <v/>
      </c>
      <c r="AH146" s="26">
        <f ca="1"/>
        <v>3.3700000000000001E-2</v>
      </c>
    </row>
    <row r="147" spans="1:34">
      <c r="A147" s="5">
        <f ca="1"/>
        <v>33269</v>
      </c>
      <c r="B147" s="2">
        <f ca="1"/>
        <v>3.2625642259730289E-2</v>
      </c>
      <c r="C147" s="2">
        <f ca="1"/>
        <v>8.083586699483615E-2</v>
      </c>
      <c r="D147" s="2">
        <f ca="1"/>
        <v>3.6985964048263979E-2</v>
      </c>
      <c r="E147" s="2">
        <f ca="1"/>
        <v>1.2361653457797007E-2</v>
      </c>
      <c r="F147" s="2">
        <f ca="1"/>
        <v>3.7370067770649752E-2</v>
      </c>
      <c r="G147" s="2">
        <f ca="1"/>
        <v>2.8027933634044253E-2</v>
      </c>
      <c r="H147" s="2" t="str">
        <f ca="1"/>
        <v/>
      </c>
      <c r="I147" s="2" t="str">
        <f ca="1"/>
        <v/>
      </c>
      <c r="J147" s="2" t="str">
        <f ca="1"/>
        <v/>
      </c>
      <c r="K147" s="2" t="str">
        <f ca="1"/>
        <v/>
      </c>
      <c r="L147" s="2" t="str">
        <f ca="1"/>
        <v/>
      </c>
      <c r="M147" s="2" t="str">
        <f ca="1"/>
        <v/>
      </c>
      <c r="N147" s="2" t="str">
        <f ca="1"/>
        <v/>
      </c>
      <c r="O147" s="2" t="str">
        <f ca="1"/>
        <v/>
      </c>
      <c r="P147" s="2" t="str">
        <f ca="1"/>
        <v/>
      </c>
      <c r="Q147" s="2">
        <f ca="1"/>
        <v>4.7816688283614364E-2</v>
      </c>
      <c r="R147" s="2">
        <f ca="1"/>
        <v>2.4130190796857451E-2</v>
      </c>
      <c r="S147" s="2">
        <f ca="1"/>
        <v>1.8308005265047278E-2</v>
      </c>
      <c r="T147" s="2">
        <f ca="1"/>
        <v>4.3496768582880957E-2</v>
      </c>
      <c r="U147" s="2">
        <f ca="1"/>
        <v>4.8259550805228611E-2</v>
      </c>
      <c r="V147" s="2">
        <f ca="1"/>
        <v>5.1599999999999965E-2</v>
      </c>
      <c r="W147" s="2">
        <f ca="1"/>
        <v>4.510000000000005E-2</v>
      </c>
      <c r="X147" s="2" t="str">
        <f ca="1"/>
        <v/>
      </c>
      <c r="Y147" s="2" t="str">
        <f ca="1"/>
        <v/>
      </c>
      <c r="Z147" s="2" t="str">
        <f ca="1"/>
        <v/>
      </c>
      <c r="AA147" s="2" t="str">
        <f ca="1"/>
        <v/>
      </c>
      <c r="AB147" s="2" t="str">
        <f ca="1"/>
        <v/>
      </c>
      <c r="AC147" s="2" t="str">
        <f ca="1"/>
        <v/>
      </c>
      <c r="AD147" s="2" t="str">
        <f ca="1"/>
        <v/>
      </c>
      <c r="AE147" s="2" t="str">
        <f ca="1"/>
        <v/>
      </c>
      <c r="AF147" s="2" t="str">
        <f ca="1"/>
        <v/>
      </c>
      <c r="AG147" s="26" t="str">
        <f ca="1"/>
        <v/>
      </c>
      <c r="AH147" s="26">
        <f ca="1"/>
        <v>-7.6700000000000004E-2</v>
      </c>
    </row>
    <row r="148" spans="1:34">
      <c r="A148" s="5">
        <f ca="1"/>
        <v>33297</v>
      </c>
      <c r="B148" s="2">
        <f ca="1"/>
        <v>0.10749286612107872</v>
      </c>
      <c r="C148" s="2">
        <f ca="1"/>
        <v>0.14792820146454708</v>
      </c>
      <c r="D148" s="2">
        <f ca="1"/>
        <v>9.4042869807497584E-2</v>
      </c>
      <c r="E148" s="2">
        <f ca="1"/>
        <v>8.5360843565983682E-3</v>
      </c>
      <c r="F148" s="2">
        <f ca="1"/>
        <v>9.8383461784591342E-2</v>
      </c>
      <c r="G148" s="2">
        <f ca="1"/>
        <v>0.11634756995581735</v>
      </c>
      <c r="H148" s="2" t="str">
        <f ca="1"/>
        <v/>
      </c>
      <c r="I148" s="2" t="str">
        <f ca="1"/>
        <v/>
      </c>
      <c r="J148" s="2" t="str">
        <f ca="1"/>
        <v/>
      </c>
      <c r="K148" s="2" t="str">
        <f ca="1"/>
        <v/>
      </c>
      <c r="L148" s="2" t="str">
        <f ca="1"/>
        <v/>
      </c>
      <c r="M148" s="2" t="str">
        <f ca="1"/>
        <v/>
      </c>
      <c r="N148" s="2" t="str">
        <f ca="1"/>
        <v/>
      </c>
      <c r="O148" s="2" t="str">
        <f ca="1"/>
        <v/>
      </c>
      <c r="P148" s="2" t="str">
        <f ca="1"/>
        <v/>
      </c>
      <c r="Q148" s="2">
        <f ca="1"/>
        <v>7.4599768938768699E-2</v>
      </c>
      <c r="R148" s="2">
        <f ca="1"/>
        <v>8.0821917808219262E-2</v>
      </c>
      <c r="S148" s="2">
        <f ca="1"/>
        <v>5.9616137877007321E-2</v>
      </c>
      <c r="T148" s="2">
        <f ca="1"/>
        <v>7.1427053092908435E-2</v>
      </c>
      <c r="U148" s="2">
        <f ca="1"/>
        <v>7.2906081534937467E-2</v>
      </c>
      <c r="V148" s="2">
        <f ca="1"/>
        <v>7.9593001141118336E-2</v>
      </c>
      <c r="W148" s="2">
        <f ca="1"/>
        <v>6.6500813319299482E-2</v>
      </c>
      <c r="X148" s="2" t="str">
        <f ca="1"/>
        <v/>
      </c>
      <c r="Y148" s="2" t="str">
        <f ca="1"/>
        <v/>
      </c>
      <c r="Z148" s="2" t="str">
        <f ca="1"/>
        <v/>
      </c>
      <c r="AA148" s="2" t="str">
        <f ca="1"/>
        <v/>
      </c>
      <c r="AB148" s="2" t="str">
        <f ca="1"/>
        <v/>
      </c>
      <c r="AC148" s="2" t="str">
        <f ca="1"/>
        <v/>
      </c>
      <c r="AD148" s="2" t="str">
        <f ca="1"/>
        <v/>
      </c>
      <c r="AE148" s="2" t="str">
        <f ca="1"/>
        <v/>
      </c>
      <c r="AF148" s="2" t="str">
        <f ca="1"/>
        <v/>
      </c>
      <c r="AG148" s="26" t="str">
        <f ca="1"/>
        <v/>
      </c>
      <c r="AH148" s="26">
        <f ca="1"/>
        <v>8.6999999999999994E-3</v>
      </c>
    </row>
    <row r="149" spans="1:34">
      <c r="A149" s="5">
        <f ca="1"/>
        <v>33326</v>
      </c>
      <c r="B149" s="2">
        <f ca="1"/>
        <v>-5.9791477787851294E-2</v>
      </c>
      <c r="C149" s="2">
        <f ca="1"/>
        <v>4.1114006768058077E-2</v>
      </c>
      <c r="D149" s="2">
        <f ca="1"/>
        <v>-2.7905395139526969E-2</v>
      </c>
      <c r="E149" s="2">
        <f ca="1"/>
        <v>6.8796958450258452E-3</v>
      </c>
      <c r="F149" s="2">
        <f ca="1"/>
        <v>-5.6616088692994178E-2</v>
      </c>
      <c r="G149" s="2">
        <f ca="1"/>
        <v>-6.4342514904456194E-2</v>
      </c>
      <c r="H149" s="2" t="str">
        <f ca="1"/>
        <v/>
      </c>
      <c r="I149" s="2" t="str">
        <f ca="1"/>
        <v/>
      </c>
      <c r="J149" s="2" t="str">
        <f ca="1"/>
        <v/>
      </c>
      <c r="K149" s="2" t="str">
        <f ca="1"/>
        <v/>
      </c>
      <c r="L149" s="2" t="str">
        <f ca="1"/>
        <v/>
      </c>
      <c r="M149" s="2" t="str">
        <f ca="1"/>
        <v/>
      </c>
      <c r="N149" s="2" t="str">
        <f ca="1"/>
        <v/>
      </c>
      <c r="O149" s="2" t="str">
        <f ca="1"/>
        <v/>
      </c>
      <c r="P149" s="2" t="str">
        <f ca="1"/>
        <v/>
      </c>
      <c r="Q149" s="2">
        <f ca="1"/>
        <v>3.0794040853939421E-2</v>
      </c>
      <c r="R149" s="2">
        <f ca="1"/>
        <v>4.6514575411913651E-2</v>
      </c>
      <c r="S149" s="2">
        <f ca="1"/>
        <v>2.5580363743900696E-2</v>
      </c>
      <c r="T149" s="2">
        <f ca="1"/>
        <v>2.4240567452240493E-2</v>
      </c>
      <c r="U149" s="2">
        <f ca="1"/>
        <v>2.7225736025941378E-2</v>
      </c>
      <c r="V149" s="2">
        <f ca="1"/>
        <v>3.9372852990399006E-2</v>
      </c>
      <c r="W149" s="2">
        <f ca="1"/>
        <v>1.4803516956755839E-2</v>
      </c>
      <c r="X149" s="2" t="str">
        <f ca="1"/>
        <v/>
      </c>
      <c r="Y149" s="2" t="str">
        <f ca="1"/>
        <v/>
      </c>
      <c r="Z149" s="2" t="str">
        <f ca="1"/>
        <v/>
      </c>
      <c r="AA149" s="2" t="str">
        <f ca="1"/>
        <v/>
      </c>
      <c r="AB149" s="2" t="str">
        <f ca="1"/>
        <v/>
      </c>
      <c r="AC149" s="2" t="str">
        <f ca="1"/>
        <v/>
      </c>
      <c r="AD149" s="2" t="str">
        <f ca="1"/>
        <v/>
      </c>
      <c r="AE149" s="2" t="str">
        <f ca="1"/>
        <v/>
      </c>
      <c r="AF149" s="2" t="str">
        <f ca="1"/>
        <v/>
      </c>
      <c r="AG149" s="26" t="str">
        <f ca="1"/>
        <v/>
      </c>
      <c r="AH149" s="26">
        <f ca="1"/>
        <v>-3.2199999999999999E-2</v>
      </c>
    </row>
    <row r="150" spans="1:34">
      <c r="A150" s="5">
        <f ca="1"/>
        <v>33358</v>
      </c>
      <c r="B150" s="2">
        <f ca="1"/>
        <v>1.0111183134020396E-2</v>
      </c>
      <c r="C150" s="2">
        <f ca="1"/>
        <v>1.0535754315175942E-2</v>
      </c>
      <c r="D150" s="2">
        <f ca="1"/>
        <v>8.4251265257515359E-3</v>
      </c>
      <c r="E150" s="2">
        <f ca="1"/>
        <v>1.0833408253169093E-2</v>
      </c>
      <c r="F150" s="2">
        <f ca="1"/>
        <v>1.0549031155712381E-2</v>
      </c>
      <c r="G150" s="2">
        <f ca="1"/>
        <v>1.0709040967570301E-2</v>
      </c>
      <c r="H150" s="2" t="str">
        <f ca="1"/>
        <v/>
      </c>
      <c r="I150" s="2" t="str">
        <f ca="1"/>
        <v/>
      </c>
      <c r="J150" s="2" t="str">
        <f ca="1"/>
        <v/>
      </c>
      <c r="K150" s="2" t="str">
        <f ca="1"/>
        <v/>
      </c>
      <c r="L150" s="2" t="str">
        <f ca="1"/>
        <v/>
      </c>
      <c r="M150" s="2" t="str">
        <f ca="1"/>
        <v/>
      </c>
      <c r="N150" s="2" t="str">
        <f ca="1"/>
        <v/>
      </c>
      <c r="O150" s="2" t="str">
        <f ca="1"/>
        <v/>
      </c>
      <c r="P150" s="2" t="str">
        <f ca="1"/>
        <v/>
      </c>
      <c r="Q150" s="2">
        <f ca="1"/>
        <v>2.6819637934888904E-3</v>
      </c>
      <c r="R150" s="2">
        <f ca="1"/>
        <v>-2.5432965968268596E-3</v>
      </c>
      <c r="S150" s="2">
        <f ca="1"/>
        <v>-7.9296424452123156E-4</v>
      </c>
      <c r="T150" s="2">
        <f ca="1"/>
        <v>2.3069007094879152E-3</v>
      </c>
      <c r="U150" s="2">
        <f ca="1"/>
        <v>1.1564306922956854E-3</v>
      </c>
      <c r="V150" s="2">
        <f ca="1"/>
        <v>-4.5762711864407307E-3</v>
      </c>
      <c r="W150" s="2">
        <f ca="1"/>
        <v>7.337989567677468E-3</v>
      </c>
      <c r="X150" s="2" t="str">
        <f ca="1"/>
        <v/>
      </c>
      <c r="Y150" s="2" t="str">
        <f ca="1"/>
        <v/>
      </c>
      <c r="Z150" s="2" t="str">
        <f ca="1"/>
        <v/>
      </c>
      <c r="AA150" s="2" t="str">
        <f ca="1"/>
        <v/>
      </c>
      <c r="AB150" s="2" t="str">
        <f ca="1"/>
        <v/>
      </c>
      <c r="AC150" s="2" t="str">
        <f ca="1"/>
        <v/>
      </c>
      <c r="AD150" s="2" t="str">
        <f ca="1"/>
        <v/>
      </c>
      <c r="AE150" s="2" t="str">
        <f ca="1"/>
        <v/>
      </c>
      <c r="AF150" s="2" t="str">
        <f ca="1"/>
        <v/>
      </c>
      <c r="AG150" s="26" t="str">
        <f ca="1"/>
        <v/>
      </c>
      <c r="AH150" s="26">
        <f ca="1"/>
        <v>1.7000000000000001E-3</v>
      </c>
    </row>
    <row r="151" spans="1:34">
      <c r="A151" s="5">
        <f ca="1"/>
        <v>33389</v>
      </c>
      <c r="B151" s="2">
        <f ca="1"/>
        <v>1.0729472106200946E-2</v>
      </c>
      <c r="C151" s="2">
        <f ca="1"/>
        <v>7.8453120378586108E-2</v>
      </c>
      <c r="D151" s="2">
        <f ca="1"/>
        <v>2.3920231452779606E-2</v>
      </c>
      <c r="E151" s="2">
        <f ca="1"/>
        <v>5.8478231867301004E-3</v>
      </c>
      <c r="F151" s="2">
        <f ca="1"/>
        <v>1.2325460898369807E-2</v>
      </c>
      <c r="G151" s="2">
        <f ca="1"/>
        <v>9.1377762330930833E-3</v>
      </c>
      <c r="H151" s="2" t="str">
        <f ca="1"/>
        <v/>
      </c>
      <c r="I151" s="2" t="str">
        <f ca="1"/>
        <v/>
      </c>
      <c r="J151" s="2" t="str">
        <f ca="1"/>
        <v/>
      </c>
      <c r="K151" s="2" t="str">
        <f ca="1"/>
        <v/>
      </c>
      <c r="L151" s="2" t="str">
        <f ca="1"/>
        <v/>
      </c>
      <c r="M151" s="2" t="str">
        <f ca="1"/>
        <v/>
      </c>
      <c r="N151" s="2" t="str">
        <f ca="1"/>
        <v/>
      </c>
      <c r="O151" s="2" t="str">
        <f ca="1"/>
        <v/>
      </c>
      <c r="P151" s="2" t="str">
        <f ca="1"/>
        <v/>
      </c>
      <c r="Q151" s="2">
        <f ca="1"/>
        <v>4.6140129281521718E-2</v>
      </c>
      <c r="R151" s="2">
        <f ca="1"/>
        <v>2.2826614861583241E-2</v>
      </c>
      <c r="S151" s="2">
        <f ca="1"/>
        <v>2.0453069764086135E-2</v>
      </c>
      <c r="T151" s="2">
        <f ca="1"/>
        <v>4.3137000310092537E-2</v>
      </c>
      <c r="U151" s="2">
        <f ca="1"/>
        <v>4.1052697302697408E-2</v>
      </c>
      <c r="V151" s="2">
        <f ca="1"/>
        <v>4.4696066746126341E-2</v>
      </c>
      <c r="W151" s="2">
        <f ca="1"/>
        <v>3.7212568018255301E-2</v>
      </c>
      <c r="X151" s="2" t="str">
        <f ca="1"/>
        <v/>
      </c>
      <c r="Y151" s="2" t="str">
        <f ca="1"/>
        <v/>
      </c>
      <c r="Z151" s="2" t="str">
        <f ca="1"/>
        <v/>
      </c>
      <c r="AA151" s="2" t="str">
        <f ca="1"/>
        <v/>
      </c>
      <c r="AB151" s="2" t="str">
        <f ca="1"/>
        <v/>
      </c>
      <c r="AC151" s="2" t="str">
        <f ca="1"/>
        <v/>
      </c>
      <c r="AD151" s="2" t="str">
        <f ca="1"/>
        <v/>
      </c>
      <c r="AE151" s="2" t="str">
        <f ca="1"/>
        <v/>
      </c>
      <c r="AF151" s="2" t="str">
        <f ca="1"/>
        <v/>
      </c>
      <c r="AG151" s="26" t="str">
        <f ca="1"/>
        <v/>
      </c>
      <c r="AH151" s="26">
        <f ca="1"/>
        <v>1.03E-2</v>
      </c>
    </row>
    <row r="152" spans="1:34">
      <c r="A152" s="5">
        <f ca="1"/>
        <v>33417</v>
      </c>
      <c r="B152" s="2">
        <f ca="1"/>
        <v>-7.3219349632932529E-2</v>
      </c>
      <c r="C152" s="2">
        <f ca="1"/>
        <v>-3.5721631813507085E-2</v>
      </c>
      <c r="D152" s="2">
        <f ca="1"/>
        <v>-6.0973236360491033E-2</v>
      </c>
      <c r="E152" s="2">
        <f ca="1"/>
        <v>-5.0843336207091142E-4</v>
      </c>
      <c r="F152" s="2">
        <f ca="1"/>
        <v>-7.476020616626472E-2</v>
      </c>
      <c r="G152" s="2">
        <f ca="1"/>
        <v>-7.1000454425868928E-2</v>
      </c>
      <c r="H152" s="2">
        <f ca="1"/>
        <v>-4.9769585253456212E-2</v>
      </c>
      <c r="I152" s="2" t="str">
        <f ca="1"/>
        <v/>
      </c>
      <c r="J152" s="2" t="str">
        <f ca="1"/>
        <v/>
      </c>
      <c r="K152" s="2" t="str">
        <f ca="1"/>
        <v/>
      </c>
      <c r="L152" s="2" t="str">
        <f ca="1"/>
        <v/>
      </c>
      <c r="M152" s="2" t="str">
        <f ca="1"/>
        <v/>
      </c>
      <c r="N152" s="2" t="str">
        <f ca="1"/>
        <v/>
      </c>
      <c r="O152" s="2" t="str">
        <f ca="1"/>
        <v/>
      </c>
      <c r="P152" s="2" t="str">
        <f ca="1"/>
        <v/>
      </c>
      <c r="Q152" s="2">
        <f ca="1"/>
        <v>-3.9843750000000094E-2</v>
      </c>
      <c r="R152" s="2">
        <f ca="1"/>
        <v>-3.9529914529914514E-2</v>
      </c>
      <c r="S152" s="2">
        <f ca="1"/>
        <v>-2.4497154370956939E-2</v>
      </c>
      <c r="T152" s="2">
        <f ca="1"/>
        <v>-4.5823375844703175E-2</v>
      </c>
      <c r="U152" s="2">
        <f ca="1"/>
        <v>-4.4831619036195293E-2</v>
      </c>
      <c r="V152" s="2">
        <f ca="1"/>
        <v>-4.7591883302094282E-2</v>
      </c>
      <c r="W152" s="2">
        <f ca="1"/>
        <v>-4.2139109832458992E-2</v>
      </c>
      <c r="X152" s="2" t="str">
        <f ca="1"/>
        <v/>
      </c>
      <c r="Y152" s="2" t="str">
        <f ca="1"/>
        <v/>
      </c>
      <c r="Z152" s="2" t="str">
        <f ca="1"/>
        <v/>
      </c>
      <c r="AA152" s="2" t="str">
        <f ca="1"/>
        <v/>
      </c>
      <c r="AB152" s="2" t="str">
        <f ca="1"/>
        <v/>
      </c>
      <c r="AC152" s="2" t="str">
        <f ca="1"/>
        <v/>
      </c>
      <c r="AD152" s="2" t="str">
        <f ca="1"/>
        <v/>
      </c>
      <c r="AE152" s="2" t="str">
        <f ca="1"/>
        <v/>
      </c>
      <c r="AF152" s="2" t="str">
        <f ca="1"/>
        <v/>
      </c>
      <c r="AG152" s="26" t="str">
        <f ca="1"/>
        <v/>
      </c>
      <c r="AH152" s="26">
        <f ca="1"/>
        <v>2.3799999999999998E-2</v>
      </c>
    </row>
    <row r="153" spans="1:34">
      <c r="A153" s="5">
        <f ca="1"/>
        <v>33450</v>
      </c>
      <c r="B153" s="2">
        <f ca="1"/>
        <v>4.9403351348019021E-2</v>
      </c>
      <c r="C153" s="2">
        <f ca="1"/>
        <v>5.1834470989761246E-2</v>
      </c>
      <c r="D153" s="2">
        <f ca="1"/>
        <v>4.763805517601355E-2</v>
      </c>
      <c r="E153" s="2">
        <f ca="1"/>
        <v>1.3867386207811826E-2</v>
      </c>
      <c r="F153" s="2">
        <f ca="1"/>
        <v>4.3520032377852708E-2</v>
      </c>
      <c r="G153" s="2">
        <f ca="1"/>
        <v>5.4558935596152679E-2</v>
      </c>
      <c r="H153" s="2">
        <f ca="1"/>
        <v>6.4720924080768918E-2</v>
      </c>
      <c r="I153" s="2" t="str">
        <f ca="1"/>
        <v/>
      </c>
      <c r="J153" s="2" t="str">
        <f ca="1"/>
        <v/>
      </c>
      <c r="K153" s="2" t="str">
        <f ca="1"/>
        <v/>
      </c>
      <c r="L153" s="2" t="str">
        <f ca="1"/>
        <v/>
      </c>
      <c r="M153" s="2" t="str">
        <f ca="1"/>
        <v/>
      </c>
      <c r="N153" s="2" t="str">
        <f ca="1"/>
        <v/>
      </c>
      <c r="O153" s="2" t="str">
        <f ca="1"/>
        <v/>
      </c>
      <c r="P153" s="2" t="str">
        <f ca="1"/>
        <v/>
      </c>
      <c r="Q153" s="2">
        <f ca="1"/>
        <v>5.6291145794807415E-2</v>
      </c>
      <c r="R153" s="2">
        <f ca="1"/>
        <v>6.637004078605864E-2</v>
      </c>
      <c r="S153" s="2">
        <f ca="1"/>
        <v>4.1274097695318319E-2</v>
      </c>
      <c r="T153" s="2">
        <f ca="1"/>
        <v>4.6585594351307685E-2</v>
      </c>
      <c r="U153" s="2">
        <f ca="1"/>
        <v>4.8003265101092617E-2</v>
      </c>
      <c r="V153" s="2">
        <f ca="1"/>
        <v>5.3734919140925826E-2</v>
      </c>
      <c r="W153" s="2">
        <f ca="1"/>
        <v>4.1784452296819825E-2</v>
      </c>
      <c r="X153" s="2" t="str">
        <f ca="1"/>
        <v/>
      </c>
      <c r="Y153" s="2" t="str">
        <f ca="1"/>
        <v/>
      </c>
      <c r="Z153" s="2" t="str">
        <f ca="1"/>
        <v/>
      </c>
      <c r="AA153" s="2" t="str">
        <f ca="1"/>
        <v/>
      </c>
      <c r="AB153" s="2" t="str">
        <f ca="1"/>
        <v/>
      </c>
      <c r="AC153" s="2" t="str">
        <f ca="1"/>
        <v/>
      </c>
      <c r="AD153" s="2" t="str">
        <f ca="1"/>
        <v/>
      </c>
      <c r="AE153" s="2" t="str">
        <f ca="1"/>
        <v/>
      </c>
      <c r="AF153" s="2" t="str">
        <f ca="1"/>
        <v/>
      </c>
      <c r="AG153" s="26" t="str">
        <f ca="1"/>
        <v/>
      </c>
      <c r="AH153" s="26">
        <f ca="1"/>
        <v>-1.7299999999999999E-2</v>
      </c>
    </row>
    <row r="154" spans="1:34">
      <c r="A154" s="5">
        <f ca="1"/>
        <v>33480</v>
      </c>
      <c r="B154" s="2">
        <f ca="1"/>
        <v>-2.0063399118311082E-2</v>
      </c>
      <c r="C154" s="2">
        <f ca="1"/>
        <v>2.1091056580815285E-2</v>
      </c>
      <c r="D154" s="2">
        <f ca="1"/>
        <v>-2.0149472450174187E-3</v>
      </c>
      <c r="E154" s="2">
        <f ca="1"/>
        <v>2.1640016579044869E-2</v>
      </c>
      <c r="F154" s="2">
        <f ca="1"/>
        <v>-1.8936400806136056E-2</v>
      </c>
      <c r="G154" s="2">
        <f ca="1"/>
        <v>-2.1102691301121065E-2</v>
      </c>
      <c r="H154" s="2">
        <f ca="1"/>
        <v>2.5921325051759796E-2</v>
      </c>
      <c r="I154" s="2" t="str">
        <f ca="1"/>
        <v/>
      </c>
      <c r="J154" s="2" t="str">
        <f ca="1"/>
        <v/>
      </c>
      <c r="K154" s="2" t="str">
        <f ca="1"/>
        <v/>
      </c>
      <c r="L154" s="2" t="str">
        <f ca="1"/>
        <v/>
      </c>
      <c r="M154" s="2" t="str">
        <f ca="1"/>
        <v/>
      </c>
      <c r="N154" s="2" t="str">
        <f ca="1"/>
        <v/>
      </c>
      <c r="O154" s="2" t="str">
        <f ca="1"/>
        <v/>
      </c>
      <c r="P154" s="2" t="str">
        <f ca="1"/>
        <v/>
      </c>
      <c r="Q154" s="2">
        <f ca="1"/>
        <v>3.3123249299719812E-2</v>
      </c>
      <c r="R154" s="2">
        <f ca="1"/>
        <v>3.3147890588780704E-2</v>
      </c>
      <c r="S154" s="2">
        <f ca="1"/>
        <v>1.4825126152775328E-2</v>
      </c>
      <c r="T154" s="2">
        <f ca="1"/>
        <v>2.3573966986617338E-2</v>
      </c>
      <c r="U154" s="2">
        <f ca="1"/>
        <v>2.6152601779455435E-2</v>
      </c>
      <c r="V154" s="2">
        <f ca="1"/>
        <v>3.3455136012992208E-2</v>
      </c>
      <c r="W154" s="2">
        <f ca="1"/>
        <v>1.8061561943525782E-2</v>
      </c>
      <c r="X154" s="2" t="str">
        <f ca="1"/>
        <v/>
      </c>
      <c r="Y154" s="2" t="str">
        <f ca="1"/>
        <v/>
      </c>
      <c r="Z154" s="2" t="str">
        <f ca="1"/>
        <v/>
      </c>
      <c r="AA154" s="2" t="str">
        <f ca="1"/>
        <v/>
      </c>
      <c r="AB154" s="2" t="str">
        <f ca="1"/>
        <v/>
      </c>
      <c r="AC154" s="2" t="str">
        <f ca="1"/>
        <v/>
      </c>
      <c r="AD154" s="2" t="str">
        <f ca="1"/>
        <v/>
      </c>
      <c r="AE154" s="2" t="str">
        <f ca="1"/>
        <v/>
      </c>
      <c r="AF154" s="2" t="str">
        <f ca="1"/>
        <v/>
      </c>
      <c r="AG154" s="26" t="str">
        <f ca="1"/>
        <v/>
      </c>
      <c r="AH154" s="26">
        <f ca="1"/>
        <v>-3.85E-2</v>
      </c>
    </row>
    <row r="155" spans="1:34">
      <c r="A155" s="5">
        <f ca="1"/>
        <v>33511</v>
      </c>
      <c r="B155" s="2">
        <f ca="1"/>
        <v>5.6658956758241528E-2</v>
      </c>
      <c r="C155" s="2">
        <f ca="1"/>
        <v>-3.8331678252234491E-2</v>
      </c>
      <c r="D155" s="2">
        <f ca="1"/>
        <v>2.5468962226056269E-2</v>
      </c>
      <c r="E155" s="2">
        <f ca="1"/>
        <v>2.0263489419853543E-2</v>
      </c>
      <c r="F155" s="2">
        <f ca="1"/>
        <v>5.1010539986089655E-2</v>
      </c>
      <c r="G155" s="2">
        <f ca="1"/>
        <v>6.3146553874086048E-2</v>
      </c>
      <c r="H155" s="2">
        <f ca="1"/>
        <v>-4.9241201162415196E-3</v>
      </c>
      <c r="I155" s="2" t="str">
        <f ca="1"/>
        <v/>
      </c>
      <c r="J155" s="2" t="str">
        <f ca="1"/>
        <v/>
      </c>
      <c r="K155" s="2" t="str">
        <f ca="1"/>
        <v/>
      </c>
      <c r="L155" s="2" t="str">
        <f ca="1"/>
        <v/>
      </c>
      <c r="M155" s="2" t="str">
        <f ca="1"/>
        <v/>
      </c>
      <c r="N155" s="2" t="str">
        <f ca="1"/>
        <v/>
      </c>
      <c r="O155" s="2" t="str">
        <f ca="1"/>
        <v/>
      </c>
      <c r="P155" s="2" t="str">
        <f ca="1"/>
        <v/>
      </c>
      <c r="Q155" s="2">
        <f ca="1"/>
        <v>-1.8979190673083516E-2</v>
      </c>
      <c r="R155" s="2">
        <f ca="1"/>
        <v>-2.4343728965671999E-2</v>
      </c>
      <c r="S155" s="2">
        <f ca="1"/>
        <v>-1.543156956208596E-3</v>
      </c>
      <c r="T155" s="2">
        <f ca="1"/>
        <v>-1.6734487687668404E-2</v>
      </c>
      <c r="U155" s="2">
        <f ca="1"/>
        <v>-1.256787528463831E-2</v>
      </c>
      <c r="V155" s="2">
        <f ca="1"/>
        <v>-1.7443230926376986E-2</v>
      </c>
      <c r="W155" s="2">
        <f ca="1"/>
        <v>-7.4962518740630162E-3</v>
      </c>
      <c r="X155" s="2" t="str">
        <f ca="1"/>
        <v/>
      </c>
      <c r="Y155" s="2" t="str">
        <f ca="1"/>
        <v/>
      </c>
      <c r="Z155" s="2" t="str">
        <f ca="1"/>
        <v/>
      </c>
      <c r="AA155" s="2" t="str">
        <f ca="1"/>
        <v/>
      </c>
      <c r="AB155" s="2" t="str">
        <f ca="1"/>
        <v/>
      </c>
      <c r="AC155" s="2" t="str">
        <f ca="1"/>
        <v/>
      </c>
      <c r="AD155" s="2" t="str">
        <f ca="1"/>
        <v/>
      </c>
      <c r="AE155" s="2" t="str">
        <f ca="1"/>
        <v/>
      </c>
      <c r="AF155" s="2" t="str">
        <f ca="1"/>
        <v/>
      </c>
      <c r="AG155" s="26" t="str">
        <f ca="1"/>
        <v/>
      </c>
      <c r="AH155" s="26">
        <f ca="1"/>
        <v>1.26E-2</v>
      </c>
    </row>
    <row r="156" spans="1:34">
      <c r="A156" s="5">
        <f ca="1"/>
        <v>33542</v>
      </c>
      <c r="B156" s="2">
        <f ca="1"/>
        <v>1.442645310954058E-2</v>
      </c>
      <c r="C156" s="2">
        <f ca="1"/>
        <v>4.0788930194134737E-2</v>
      </c>
      <c r="D156" s="2">
        <f ca="1"/>
        <v>1.7404814067041703E-2</v>
      </c>
      <c r="E156" s="2">
        <f ca="1"/>
        <v>1.1133899794901831E-2</v>
      </c>
      <c r="F156" s="2">
        <f ca="1"/>
        <v>2.9599293413542085E-2</v>
      </c>
      <c r="G156" s="2">
        <f ca="1"/>
        <v>-1.5482345434581331E-4</v>
      </c>
      <c r="H156" s="2">
        <f ca="1"/>
        <v>2.5878153646467086E-2</v>
      </c>
      <c r="I156" s="2" t="str">
        <f ca="1"/>
        <v/>
      </c>
      <c r="J156" s="2" t="str">
        <f ca="1"/>
        <v/>
      </c>
      <c r="K156" s="2" t="str">
        <f ca="1"/>
        <v/>
      </c>
      <c r="L156" s="2" t="str">
        <f ca="1"/>
        <v/>
      </c>
      <c r="M156" s="2" t="str">
        <f ca="1"/>
        <v/>
      </c>
      <c r="N156" s="2" t="str">
        <f ca="1"/>
        <v/>
      </c>
      <c r="O156" s="2" t="str">
        <f ca="1"/>
        <v/>
      </c>
      <c r="P156" s="2" t="str">
        <f ca="1"/>
        <v/>
      </c>
      <c r="Q156" s="2">
        <f ca="1"/>
        <v>1.6789884612727197E-2</v>
      </c>
      <c r="R156" s="2">
        <f ca="1"/>
        <v>3.633436817293316E-2</v>
      </c>
      <c r="S156" s="2">
        <f ca="1"/>
        <v>2.8163209232037325E-2</v>
      </c>
      <c r="T156" s="2">
        <f ca="1"/>
        <v>1.3433357024143401E-2</v>
      </c>
      <c r="U156" s="2">
        <f ca="1"/>
        <v>1.6024361760314451E-2</v>
      </c>
      <c r="V156" s="2">
        <f ca="1"/>
        <v>1.5833666533386678E-2</v>
      </c>
      <c r="W156" s="2">
        <f ca="1"/>
        <v>1.6616314199395806E-2</v>
      </c>
      <c r="X156" s="2" t="str">
        <f ca="1"/>
        <v/>
      </c>
      <c r="Y156" s="2" t="str">
        <f ca="1"/>
        <v/>
      </c>
      <c r="Z156" s="2" t="str">
        <f ca="1"/>
        <v/>
      </c>
      <c r="AA156" s="2" t="str">
        <f ca="1"/>
        <v/>
      </c>
      <c r="AB156" s="2" t="str">
        <f ca="1"/>
        <v/>
      </c>
      <c r="AC156" s="2" t="str">
        <f ca="1"/>
        <v/>
      </c>
      <c r="AD156" s="2" t="str">
        <f ca="1"/>
        <v/>
      </c>
      <c r="AE156" s="2" t="str">
        <f ca="1"/>
        <v/>
      </c>
      <c r="AF156" s="2" t="str">
        <f ca="1"/>
        <v/>
      </c>
      <c r="AG156" s="26" t="str">
        <f ca="1"/>
        <v/>
      </c>
      <c r="AH156" s="26">
        <f ca="1"/>
        <v>1.55E-2</v>
      </c>
    </row>
    <row r="157" spans="1:34">
      <c r="A157" s="5">
        <f ca="1"/>
        <v>33571</v>
      </c>
      <c r="B157" s="2">
        <f ca="1"/>
        <v>-4.6419081491491987E-2</v>
      </c>
      <c r="C157" s="2">
        <f ca="1"/>
        <v>-1.4849356748354697E-2</v>
      </c>
      <c r="D157" s="2">
        <f ca="1"/>
        <v>-4.3031561169557586E-2</v>
      </c>
      <c r="E157" s="2">
        <f ca="1"/>
        <v>9.169184915345463E-3</v>
      </c>
      <c r="F157" s="2">
        <f ca="1"/>
        <v>-3.5063954009449214E-2</v>
      </c>
      <c r="G157" s="2">
        <f ca="1"/>
        <v>-5.7528165808749407E-2</v>
      </c>
      <c r="H157" s="2">
        <f ca="1"/>
        <v>-2.5937055195318574E-2</v>
      </c>
      <c r="I157" s="2" t="str">
        <f ca="1"/>
        <v/>
      </c>
      <c r="J157" s="2" t="str">
        <f ca="1"/>
        <v/>
      </c>
      <c r="K157" s="2" t="str">
        <f ca="1"/>
        <v/>
      </c>
      <c r="L157" s="2" t="str">
        <f ca="1"/>
        <v/>
      </c>
      <c r="M157" s="2" t="str">
        <f ca="1"/>
        <v/>
      </c>
      <c r="N157" s="2" t="str">
        <f ca="1"/>
        <v/>
      </c>
      <c r="O157" s="2" t="str">
        <f ca="1"/>
        <v/>
      </c>
      <c r="P157" s="2" t="str">
        <f ca="1"/>
        <v/>
      </c>
      <c r="Q157" s="2">
        <f ca="1"/>
        <v>-1.9774395216091305E-2</v>
      </c>
      <c r="R157" s="2">
        <f ca="1"/>
        <v>-3.0511483412848112E-2</v>
      </c>
      <c r="S157" s="2">
        <f ca="1"/>
        <v>-1.5833778727952996E-2</v>
      </c>
      <c r="T157" s="2">
        <f ca="1"/>
        <v>-4.0338962283265251E-2</v>
      </c>
      <c r="U157" s="2">
        <f ca="1"/>
        <v>-3.784318575315359E-2</v>
      </c>
      <c r="V157" s="2">
        <f ca="1"/>
        <v>-2.5584507596630716E-2</v>
      </c>
      <c r="W157" s="2">
        <f ca="1"/>
        <v>-5.134555060260855E-2</v>
      </c>
      <c r="X157" s="2" t="str">
        <f ca="1"/>
        <v/>
      </c>
      <c r="Y157" s="2" t="str">
        <f ca="1"/>
        <v/>
      </c>
      <c r="Z157" s="2" t="str">
        <f ca="1"/>
        <v/>
      </c>
      <c r="AA157" s="2" t="str">
        <f ca="1"/>
        <v/>
      </c>
      <c r="AB157" s="2" t="str">
        <f ca="1"/>
        <v/>
      </c>
      <c r="AC157" s="2" t="str">
        <f ca="1"/>
        <v/>
      </c>
      <c r="AD157" s="2" t="str">
        <f ca="1"/>
        <v/>
      </c>
      <c r="AE157" s="2" t="str">
        <f ca="1"/>
        <v/>
      </c>
      <c r="AF157" s="2" t="str">
        <f ca="1"/>
        <v/>
      </c>
      <c r="AG157" s="26" t="str">
        <f ca="1"/>
        <v/>
      </c>
      <c r="AH157" s="26">
        <f ca="1"/>
        <v>2.3399999999999997E-2</v>
      </c>
    </row>
    <row r="158" spans="1:34">
      <c r="A158" s="5">
        <f ca="1"/>
        <v>33603</v>
      </c>
      <c r="B158" s="2">
        <f ca="1"/>
        <v>5.1956586140960437E-2</v>
      </c>
      <c r="C158" s="2">
        <f ca="1"/>
        <v>0.11236068215388756</v>
      </c>
      <c r="D158" s="2">
        <f ca="1"/>
        <v>7.4262813442164788E-2</v>
      </c>
      <c r="E158" s="2">
        <f ca="1"/>
        <v>2.9698299731320668E-2</v>
      </c>
      <c r="F158" s="2">
        <f ca="1"/>
        <v>5.1374388968796939E-2</v>
      </c>
      <c r="G158" s="2">
        <f ca="1"/>
        <v>5.2520997943769826E-2</v>
      </c>
      <c r="H158" s="2">
        <f ca="1"/>
        <v>0.11308654002273101</v>
      </c>
      <c r="I158" s="2" t="str">
        <f ca="1"/>
        <v/>
      </c>
      <c r="J158" s="2" t="str">
        <f ca="1"/>
        <v/>
      </c>
      <c r="K158" s="2" t="str">
        <f ca="1"/>
        <v/>
      </c>
      <c r="L158" s="2" t="str">
        <f ca="1"/>
        <v/>
      </c>
      <c r="M158" s="2" t="str">
        <f ca="1"/>
        <v/>
      </c>
      <c r="N158" s="2" t="str">
        <f ca="1"/>
        <v/>
      </c>
      <c r="O158" s="2" t="str">
        <f ca="1"/>
        <v/>
      </c>
      <c r="P158" s="2" t="str">
        <f ca="1"/>
        <v/>
      </c>
      <c r="Q158" s="2">
        <f ca="1"/>
        <v>0.14280762564991331</v>
      </c>
      <c r="R158" s="2">
        <f ca="1"/>
        <v>0.13664454108491644</v>
      </c>
      <c r="S158" s="2">
        <f ca="1"/>
        <v>9.8296110243703688E-2</v>
      </c>
      <c r="T158" s="2">
        <f ca="1"/>
        <v>0.11431355200860698</v>
      </c>
      <c r="U158" s="2">
        <f ca="1"/>
        <v>0.11427491305005301</v>
      </c>
      <c r="V158" s="2">
        <f ca="1"/>
        <v>0.14129907901114888</v>
      </c>
      <c r="W158" s="2">
        <f ca="1"/>
        <v>8.3797424295161807E-2</v>
      </c>
      <c r="X158" s="2" t="str">
        <f ca="1"/>
        <v/>
      </c>
      <c r="Y158" s="2" t="str">
        <f ca="1"/>
        <v/>
      </c>
      <c r="Z158" s="2" t="str">
        <f ca="1"/>
        <v/>
      </c>
      <c r="AA158" s="2" t="str">
        <f ca="1"/>
        <v/>
      </c>
      <c r="AB158" s="2" t="str">
        <f ca="1"/>
        <v/>
      </c>
      <c r="AC158" s="2" t="str">
        <f ca="1"/>
        <v/>
      </c>
      <c r="AD158" s="2" t="str">
        <f ca="1"/>
        <v/>
      </c>
      <c r="AE158" s="2" t="str">
        <f ca="1"/>
        <v/>
      </c>
      <c r="AF158" s="2" t="str">
        <f ca="1"/>
        <v/>
      </c>
      <c r="AG158" s="26" t="str">
        <f ca="1"/>
        <v/>
      </c>
      <c r="AH158" s="26">
        <f ca="1"/>
        <v>-3.4500000000000003E-2</v>
      </c>
    </row>
    <row r="159" spans="1:34">
      <c r="A159" s="5">
        <f ca="1"/>
        <v>33634</v>
      </c>
      <c r="B159" s="2">
        <f ca="1"/>
        <v>-2.1066627069668525E-2</v>
      </c>
      <c r="C159" s="2">
        <f ca="1"/>
        <v>0.11576882450580943</v>
      </c>
      <c r="D159" s="2">
        <f ca="1"/>
        <v>-1.4949790880901351E-2</v>
      </c>
      <c r="E159" s="2">
        <f ca="1"/>
        <v>-1.3604222686983336E-2</v>
      </c>
      <c r="F159" s="2">
        <f ca="1"/>
        <v>-3.4110671637458567E-2</v>
      </c>
      <c r="G159" s="2">
        <f ca="1"/>
        <v>-7.544867125192675E-3</v>
      </c>
      <c r="H159" s="2">
        <f ca="1"/>
        <v>-2.2828385967471543E-2</v>
      </c>
      <c r="I159" s="2" t="str">
        <f ca="1"/>
        <v/>
      </c>
      <c r="J159" s="2" t="str">
        <f ca="1"/>
        <v/>
      </c>
      <c r="K159" s="2" t="str">
        <f ca="1"/>
        <v/>
      </c>
      <c r="L159" s="2" t="str">
        <f ca="1"/>
        <v/>
      </c>
      <c r="M159" s="2" t="str">
        <f ca="1"/>
        <v/>
      </c>
      <c r="N159" s="2" t="str">
        <f ca="1"/>
        <v/>
      </c>
      <c r="O159" s="2" t="str">
        <f ca="1"/>
        <v/>
      </c>
      <c r="P159" s="2" t="str">
        <f ca="1"/>
        <v/>
      </c>
      <c r="Q159" s="2">
        <f ca="1"/>
        <v>-3.4212920837124579E-2</v>
      </c>
      <c r="R159" s="2">
        <f ca="1"/>
        <v>-5.6282722513088905E-2</v>
      </c>
      <c r="S159" s="2">
        <f ca="1"/>
        <v>-2.6670375177699476E-2</v>
      </c>
      <c r="T159" s="2">
        <f ca="1"/>
        <v>-1.8632042068399128E-2</v>
      </c>
      <c r="U159" s="2">
        <f ca="1"/>
        <v>-1.2390245226430707E-2</v>
      </c>
      <c r="V159" s="2">
        <f ca="1"/>
        <v>-2.4067388688327356E-2</v>
      </c>
      <c r="W159" s="2">
        <f ca="1"/>
        <v>1.6860698514653389E-3</v>
      </c>
      <c r="X159" s="2" t="str">
        <f ca="1"/>
        <v/>
      </c>
      <c r="Y159" s="2" t="str">
        <f ca="1"/>
        <v/>
      </c>
      <c r="Z159" s="2" t="str">
        <f ca="1"/>
        <v/>
      </c>
      <c r="AA159" s="2" t="str">
        <f ca="1"/>
        <v/>
      </c>
      <c r="AB159" s="2" t="str">
        <f ca="1"/>
        <v/>
      </c>
      <c r="AC159" s="2" t="str">
        <f ca="1"/>
        <v/>
      </c>
      <c r="AD159" s="2" t="str">
        <f ca="1"/>
        <v/>
      </c>
      <c r="AE159" s="2" t="str">
        <f ca="1"/>
        <v/>
      </c>
      <c r="AF159" s="2" t="str">
        <f ca="1"/>
        <v/>
      </c>
      <c r="AG159" s="26" t="str">
        <f ca="1"/>
        <v/>
      </c>
      <c r="AH159" s="26">
        <f ca="1"/>
        <v>5.1000000000000004E-3</v>
      </c>
    </row>
    <row r="160" spans="1:34">
      <c r="A160" s="5">
        <f ca="1"/>
        <v>33662</v>
      </c>
      <c r="B160" s="2">
        <f ca="1"/>
        <v>-3.5517934769974668E-2</v>
      </c>
      <c r="C160" s="2">
        <f ca="1"/>
        <v>4.4413188715479744E-2</v>
      </c>
      <c r="D160" s="2">
        <f ca="1"/>
        <v>-1.5107188770369387E-2</v>
      </c>
      <c r="E160" s="2">
        <f ca="1"/>
        <v>6.5021606558700587E-3</v>
      </c>
      <c r="F160" s="2">
        <f ca="1"/>
        <v>-3.9175924062783862E-2</v>
      </c>
      <c r="G160" s="2">
        <f ca="1"/>
        <v>-3.1838785169227043E-2</v>
      </c>
      <c r="H160" s="2">
        <f ca="1"/>
        <v>2.98552022689958E-3</v>
      </c>
      <c r="I160" s="2" t="str">
        <f ca="1"/>
        <v/>
      </c>
      <c r="J160" s="2" t="str">
        <f ca="1"/>
        <v/>
      </c>
      <c r="K160" s="2" t="str">
        <f ca="1"/>
        <v/>
      </c>
      <c r="L160" s="2" t="str">
        <f ca="1"/>
        <v/>
      </c>
      <c r="M160" s="2" t="str">
        <f ca="1"/>
        <v/>
      </c>
      <c r="N160" s="2" t="str">
        <f ca="1"/>
        <v/>
      </c>
      <c r="O160" s="2" t="str">
        <f ca="1"/>
        <v/>
      </c>
      <c r="P160" s="2" t="str">
        <f ca="1"/>
        <v/>
      </c>
      <c r="Q160" s="2">
        <f ca="1"/>
        <v>2.3239746247095314E-3</v>
      </c>
      <c r="R160" s="2">
        <f ca="1"/>
        <v>9.922116718233143E-3</v>
      </c>
      <c r="S160" s="2">
        <f ca="1"/>
        <v>-5.4611843149705366E-3</v>
      </c>
      <c r="T160" s="2">
        <f ca="1"/>
        <v>1.2938764244350354E-2</v>
      </c>
      <c r="U160" s="2">
        <f ca="1"/>
        <v>1.2174677769533094E-2</v>
      </c>
      <c r="V160" s="2">
        <f ca="1"/>
        <v>1.6682381954013909E-3</v>
      </c>
      <c r="W160" s="2">
        <f ca="1"/>
        <v>2.4527092016671914E-2</v>
      </c>
      <c r="X160" s="2" t="str">
        <f ca="1"/>
        <v/>
      </c>
      <c r="Y160" s="2" t="str">
        <f ca="1"/>
        <v/>
      </c>
      <c r="Z160" s="2" t="str">
        <f ca="1"/>
        <v/>
      </c>
      <c r="AA160" s="2" t="str">
        <f ca="1"/>
        <v/>
      </c>
      <c r="AB160" s="2" t="str">
        <f ca="1"/>
        <v/>
      </c>
      <c r="AC160" s="2" t="str">
        <f ca="1"/>
        <v/>
      </c>
      <c r="AD160" s="2" t="str">
        <f ca="1"/>
        <v/>
      </c>
      <c r="AE160" s="2" t="str">
        <f ca="1"/>
        <v/>
      </c>
      <c r="AF160" s="2" t="str">
        <f ca="1"/>
        <v/>
      </c>
      <c r="AG160" s="26" t="str">
        <f ca="1"/>
        <v/>
      </c>
      <c r="AH160" s="26">
        <f ca="1"/>
        <v>-8.1000000000000013E-3</v>
      </c>
    </row>
    <row r="161" spans="1:34">
      <c r="A161" s="5">
        <f ca="1"/>
        <v>33694</v>
      </c>
      <c r="B161" s="2">
        <f ca="1"/>
        <v>-6.5738913510468081E-2</v>
      </c>
      <c r="C161" s="2">
        <f ca="1"/>
        <v>3.3848703804418186E-2</v>
      </c>
      <c r="D161" s="2">
        <f ca="1"/>
        <v>-4.451390309812249E-2</v>
      </c>
      <c r="E161" s="2">
        <f ca="1"/>
        <v>-5.637589278549078E-3</v>
      </c>
      <c r="F161" s="2">
        <f ca="1"/>
        <v>-6.6427204411134047E-2</v>
      </c>
      <c r="G161" s="2">
        <f ca="1"/>
        <v>-6.4752593205236117E-2</v>
      </c>
      <c r="H161" s="2">
        <f ca="1"/>
        <v>-2.1580592350052136E-2</v>
      </c>
      <c r="I161" s="2" t="str">
        <f ca="1"/>
        <v/>
      </c>
      <c r="J161" s="2" t="str">
        <f ca="1"/>
        <v/>
      </c>
      <c r="K161" s="2" t="str">
        <f ca="1"/>
        <v/>
      </c>
      <c r="L161" s="2" t="str">
        <f ca="1"/>
        <v/>
      </c>
      <c r="M161" s="2" t="str">
        <f ca="1"/>
        <v/>
      </c>
      <c r="N161" s="2" t="str">
        <f ca="1"/>
        <v/>
      </c>
      <c r="O161" s="2" t="str">
        <f ca="1"/>
        <v/>
      </c>
      <c r="P161" s="2" t="str">
        <f ca="1"/>
        <v/>
      </c>
      <c r="Q161" s="2">
        <f ca="1"/>
        <v>-2.0804612106780432E-2</v>
      </c>
      <c r="R161" s="2">
        <f ca="1"/>
        <v>-3.0424677794210812E-2</v>
      </c>
      <c r="S161" s="2">
        <f ca="1"/>
        <v>-2.1836988794176903E-2</v>
      </c>
      <c r="T161" s="2">
        <f ca="1"/>
        <v>-1.9454156736841872E-2</v>
      </c>
      <c r="U161" s="2">
        <f ca="1"/>
        <v>-2.1300570187347347E-2</v>
      </c>
      <c r="V161" s="2">
        <f ca="1"/>
        <v>-2.7371469949312104E-2</v>
      </c>
      <c r="W161" s="2">
        <f ca="1"/>
        <v>-1.4551713346894066E-2</v>
      </c>
      <c r="X161" s="2" t="str">
        <f ca="1"/>
        <v/>
      </c>
      <c r="Y161" s="2" t="str">
        <f ca="1"/>
        <v/>
      </c>
      <c r="Z161" s="2" t="str">
        <f ca="1"/>
        <v/>
      </c>
      <c r="AA161" s="2" t="str">
        <f ca="1"/>
        <v/>
      </c>
      <c r="AB161" s="2" t="str">
        <f ca="1"/>
        <v/>
      </c>
      <c r="AC161" s="2" t="str">
        <f ca="1"/>
        <v/>
      </c>
      <c r="AD161" s="2" t="str">
        <f ca="1"/>
        <v/>
      </c>
      <c r="AE161" s="2" t="str">
        <f ca="1"/>
        <v/>
      </c>
      <c r="AF161" s="2" t="str">
        <f ca="1"/>
        <v/>
      </c>
      <c r="AG161" s="26" t="str">
        <f ca="1"/>
        <v/>
      </c>
      <c r="AH161" s="26">
        <f ca="1"/>
        <v>-2.9399999999999999E-2</v>
      </c>
    </row>
    <row r="162" spans="1:34">
      <c r="A162" s="5">
        <f ca="1"/>
        <v>33724</v>
      </c>
      <c r="B162" s="2">
        <f ca="1"/>
        <v>5.006878572713847E-3</v>
      </c>
      <c r="C162" s="2">
        <f ca="1"/>
        <v>-6.9388777555109771E-3</v>
      </c>
      <c r="D162" s="2">
        <f ca="1"/>
        <v>1.3409933393392526E-2</v>
      </c>
      <c r="E162" s="2">
        <f ca="1"/>
        <v>7.2231301575771938E-3</v>
      </c>
      <c r="F162" s="2">
        <f ca="1"/>
        <v>-2.2090670022801562E-2</v>
      </c>
      <c r="G162" s="2">
        <f ca="1"/>
        <v>3.1772768905218553E-2</v>
      </c>
      <c r="H162" s="2">
        <f ca="1"/>
        <v>1.3690295101916728E-2</v>
      </c>
      <c r="I162" s="2" t="str">
        <f ca="1"/>
        <v/>
      </c>
      <c r="J162" s="2" t="str">
        <f ca="1"/>
        <v/>
      </c>
      <c r="K162" s="2" t="str">
        <f ca="1"/>
        <v/>
      </c>
      <c r="L162" s="2" t="str">
        <f ca="1"/>
        <v/>
      </c>
      <c r="M162" s="2" t="str">
        <f ca="1"/>
        <v/>
      </c>
      <c r="N162" s="2" t="str">
        <f ca="1"/>
        <v/>
      </c>
      <c r="O162" s="2" t="str">
        <f ca="1"/>
        <v/>
      </c>
      <c r="P162" s="2" t="str">
        <f ca="1"/>
        <v/>
      </c>
      <c r="Q162" s="2">
        <f ca="1"/>
        <v>1.5615000639959029E-2</v>
      </c>
      <c r="R162" s="2">
        <f ca="1"/>
        <v>1.0241882763129198E-2</v>
      </c>
      <c r="S162" s="2">
        <f ca="1"/>
        <v>2.330363262508563E-2</v>
      </c>
      <c r="T162" s="2">
        <f ca="1"/>
        <v>2.93541555794984E-2</v>
      </c>
      <c r="U162" s="2">
        <f ca="1"/>
        <v>2.415003259768915E-2</v>
      </c>
      <c r="V162" s="2">
        <f ca="1"/>
        <v>7.2960095294819704E-3</v>
      </c>
      <c r="W162" s="2">
        <f ca="1"/>
        <v>4.3188313750397049E-2</v>
      </c>
      <c r="X162" s="2" t="str">
        <f ca="1"/>
        <v/>
      </c>
      <c r="Y162" s="2" t="str">
        <f ca="1"/>
        <v/>
      </c>
      <c r="Z162" s="2" t="str">
        <f ca="1"/>
        <v/>
      </c>
      <c r="AA162" s="2" t="str">
        <f ca="1"/>
        <v/>
      </c>
      <c r="AB162" s="2" t="str">
        <f ca="1"/>
        <v/>
      </c>
      <c r="AC162" s="2" t="str">
        <f ca="1"/>
        <v/>
      </c>
      <c r="AD162" s="2" t="str">
        <f ca="1"/>
        <v/>
      </c>
      <c r="AE162" s="2" t="str">
        <f ca="1"/>
        <v/>
      </c>
      <c r="AF162" s="2" t="str">
        <f ca="1"/>
        <v/>
      </c>
      <c r="AG162" s="26" t="str">
        <f ca="1"/>
        <v/>
      </c>
      <c r="AH162" s="26">
        <f ca="1"/>
        <v>-1.6899999999999998E-2</v>
      </c>
    </row>
    <row r="163" spans="1:34">
      <c r="A163" s="5">
        <f ca="1"/>
        <v>33753</v>
      </c>
      <c r="B163" s="2">
        <f ca="1"/>
        <v>6.7242961565365814E-2</v>
      </c>
      <c r="C163" s="2">
        <f ca="1"/>
        <v>-3.607194208309177E-3</v>
      </c>
      <c r="D163" s="2">
        <f ca="1"/>
        <v>3.8327576910185158E-2</v>
      </c>
      <c r="E163" s="2">
        <f ca="1"/>
        <v>1.8869814306604466E-2</v>
      </c>
      <c r="F163" s="2">
        <f ca="1"/>
        <v>7.5000397216308176E-2</v>
      </c>
      <c r="G163" s="2">
        <f ca="1"/>
        <v>5.9935717565430348E-2</v>
      </c>
      <c r="H163" s="2">
        <f ca="1"/>
        <v>2.6035414165666262E-2</v>
      </c>
      <c r="I163" s="2" t="str">
        <f ca="1"/>
        <v/>
      </c>
      <c r="J163" s="2" t="str">
        <f ca="1"/>
        <v/>
      </c>
      <c r="K163" s="2" t="str">
        <f ca="1"/>
        <v/>
      </c>
      <c r="L163" s="2" t="str">
        <f ca="1"/>
        <v/>
      </c>
      <c r="M163" s="2" t="str">
        <f ca="1"/>
        <v/>
      </c>
      <c r="N163" s="2" t="str">
        <f ca="1"/>
        <v/>
      </c>
      <c r="O163" s="2" t="str">
        <f ca="1"/>
        <v/>
      </c>
      <c r="P163" s="2" t="str">
        <f ca="1"/>
        <v/>
      </c>
      <c r="Q163" s="2">
        <f ca="1"/>
        <v>3.5916824196598716E-3</v>
      </c>
      <c r="R163" s="2">
        <f ca="1"/>
        <v>1.8011216566005194E-2</v>
      </c>
      <c r="S163" s="2">
        <f ca="1"/>
        <v>6.4746595222148753E-3</v>
      </c>
      <c r="T163" s="2">
        <f ca="1"/>
        <v>4.9763455106953168E-3</v>
      </c>
      <c r="U163" s="2">
        <f ca="1"/>
        <v>6.2032722938562233E-3</v>
      </c>
      <c r="V163" s="2">
        <f ca="1"/>
        <v>7.24316334072424E-3</v>
      </c>
      <c r="W163" s="2">
        <f ca="1"/>
        <v>4.8706240487061368E-3</v>
      </c>
      <c r="X163" s="2" t="str">
        <f ca="1"/>
        <v/>
      </c>
      <c r="Y163" s="2" t="str">
        <f ca="1"/>
        <v/>
      </c>
      <c r="Z163" s="2" t="str">
        <f ca="1"/>
        <v/>
      </c>
      <c r="AA163" s="2" t="str">
        <f ca="1"/>
        <v/>
      </c>
      <c r="AB163" s="2" t="str">
        <f ca="1"/>
        <v/>
      </c>
      <c r="AC163" s="2" t="str">
        <f ca="1"/>
        <v/>
      </c>
      <c r="AD163" s="2" t="str">
        <f ca="1"/>
        <v/>
      </c>
      <c r="AE163" s="2" t="str">
        <f ca="1"/>
        <v/>
      </c>
      <c r="AF163" s="2" t="str">
        <f ca="1"/>
        <v/>
      </c>
      <c r="AG163" s="26" t="str">
        <f ca="1"/>
        <v/>
      </c>
      <c r="AH163" s="26">
        <f ca="1"/>
        <v>-4.4000000000000003E-3</v>
      </c>
    </row>
    <row r="164" spans="1:34">
      <c r="A164" s="5">
        <f ca="1"/>
        <v>33785</v>
      </c>
      <c r="B164" s="2">
        <f ca="1"/>
        <v>-4.710013770211844E-2</v>
      </c>
      <c r="C164" s="2">
        <f ca="1"/>
        <v>-9.9189873417721536E-2</v>
      </c>
      <c r="D164" s="2">
        <f ca="1"/>
        <v>-3.565664079495845E-2</v>
      </c>
      <c r="E164" s="2">
        <f ca="1"/>
        <v>1.3762459941411244E-2</v>
      </c>
      <c r="F164" s="2">
        <f ca="1"/>
        <v>-4.4064204911808791E-2</v>
      </c>
      <c r="G164" s="2">
        <f ca="1"/>
        <v>-5.0024547791180048E-2</v>
      </c>
      <c r="H164" s="2">
        <f ca="1"/>
        <v>-3.2321755027422211E-2</v>
      </c>
      <c r="I164" s="2" t="str">
        <f ca="1"/>
        <v/>
      </c>
      <c r="J164" s="2" t="str">
        <f ca="1"/>
        <v/>
      </c>
      <c r="K164" s="2" t="str">
        <f ca="1"/>
        <v/>
      </c>
      <c r="L164" s="2" t="str">
        <f ca="1"/>
        <v/>
      </c>
      <c r="M164" s="2" t="str">
        <f ca="1"/>
        <v/>
      </c>
      <c r="N164" s="2" t="str">
        <f ca="1"/>
        <v/>
      </c>
      <c r="O164" s="2" t="str">
        <f ca="1"/>
        <v/>
      </c>
      <c r="P164" s="2">
        <f ca="1"/>
        <v>4.8355374703289419E-2</v>
      </c>
      <c r="Q164" s="2">
        <f ca="1"/>
        <v>-2.7060965655804622E-2</v>
      </c>
      <c r="R164" s="2">
        <f ca="1"/>
        <v>-3.0723593601017118E-2</v>
      </c>
      <c r="S164" s="2">
        <f ca="1"/>
        <v>9.316770186335397E-3</v>
      </c>
      <c r="T164" s="2">
        <f ca="1"/>
        <v>-1.4875863450908086E-2</v>
      </c>
      <c r="U164" s="2">
        <f ca="1"/>
        <v>-1.6045228159913796E-2</v>
      </c>
      <c r="V164" s="2">
        <f ca="1"/>
        <v>-2.51687701790432E-2</v>
      </c>
      <c r="W164" s="2">
        <f ca="1"/>
        <v>-6.1345046955468222E-3</v>
      </c>
      <c r="X164" s="2" t="str">
        <f ca="1"/>
        <v/>
      </c>
      <c r="Y164" s="2" t="str">
        <f ca="1"/>
        <v/>
      </c>
      <c r="Z164" s="2" t="str">
        <f ca="1"/>
        <v/>
      </c>
      <c r="AA164" s="2" t="str">
        <f ca="1"/>
        <v/>
      </c>
      <c r="AB164" s="2" t="str">
        <f ca="1"/>
        <v/>
      </c>
      <c r="AC164" s="2" t="str">
        <f ca="1"/>
        <v/>
      </c>
      <c r="AD164" s="2" t="str">
        <f ca="1"/>
        <v/>
      </c>
      <c r="AE164" s="2" t="str">
        <f ca="1"/>
        <v/>
      </c>
      <c r="AF164" s="2" t="str">
        <f ca="1"/>
        <v/>
      </c>
      <c r="AG164" s="26" t="str">
        <f ca="1"/>
        <v/>
      </c>
      <c r="AH164" s="26">
        <f ca="1"/>
        <v>2.3799999999999998E-2</v>
      </c>
    </row>
    <row r="165" spans="1:34">
      <c r="A165" s="5">
        <f ca="1"/>
        <v>33816</v>
      </c>
      <c r="B165" s="2">
        <f ca="1"/>
        <v>-2.5273209388381998E-2</v>
      </c>
      <c r="C165" s="2">
        <f ca="1"/>
        <v>1.087628576246418E-2</v>
      </c>
      <c r="D165" s="2">
        <f ca="1"/>
        <v>3.1946556830668182E-3</v>
      </c>
      <c r="E165" s="2">
        <f ca="1"/>
        <v>2.0402226402653031E-2</v>
      </c>
      <c r="F165" s="2">
        <f ca="1"/>
        <v>-1.5563863927802946E-2</v>
      </c>
      <c r="G165" s="2">
        <f ca="1"/>
        <v>-3.4352595444987803E-2</v>
      </c>
      <c r="H165" s="2">
        <f ca="1"/>
        <v>9.1438071487945239E-3</v>
      </c>
      <c r="I165" s="2" t="str">
        <f ca="1"/>
        <v/>
      </c>
      <c r="J165" s="2" t="str">
        <f ca="1"/>
        <v/>
      </c>
      <c r="K165" s="2" t="str">
        <f ca="1"/>
        <v/>
      </c>
      <c r="L165" s="2" t="str">
        <f ca="1"/>
        <v/>
      </c>
      <c r="M165" s="2" t="str">
        <f ca="1"/>
        <v/>
      </c>
      <c r="N165" s="2" t="str">
        <f ca="1"/>
        <v/>
      </c>
      <c r="O165" s="2" t="str">
        <f ca="1"/>
        <v/>
      </c>
      <c r="P165" s="2">
        <f ca="1"/>
        <v>-2.1283477810842413E-2</v>
      </c>
      <c r="Q165" s="2">
        <f ca="1"/>
        <v>5.136809499225594E-2</v>
      </c>
      <c r="R165" s="2">
        <f ca="1"/>
        <v>2.5795168870914851E-2</v>
      </c>
      <c r="S165" s="2">
        <f ca="1"/>
        <v>3.7927786499215022E-2</v>
      </c>
      <c r="T165" s="2">
        <f ca="1"/>
        <v>4.0851353620547183E-2</v>
      </c>
      <c r="U165" s="2">
        <f ca="1"/>
        <v>4.0753508987933958E-2</v>
      </c>
      <c r="V165" s="2">
        <f ca="1"/>
        <v>4.471208129469325E-2</v>
      </c>
      <c r="W165" s="2">
        <f ca="1"/>
        <v>3.6424598033986143E-2</v>
      </c>
      <c r="X165" s="2" t="str">
        <f ca="1"/>
        <v/>
      </c>
      <c r="Y165" s="2" t="str">
        <f ca="1"/>
        <v/>
      </c>
      <c r="Z165" s="2" t="str">
        <f ca="1"/>
        <v/>
      </c>
      <c r="AA165" s="2" t="str">
        <f ca="1"/>
        <v/>
      </c>
      <c r="AB165" s="2" t="str">
        <f ca="1"/>
        <v/>
      </c>
      <c r="AC165" s="2" t="str">
        <f ca="1"/>
        <v/>
      </c>
      <c r="AD165" s="2" t="str">
        <f ca="1"/>
        <v/>
      </c>
      <c r="AE165" s="2" t="str">
        <f ca="1"/>
        <v/>
      </c>
      <c r="AF165" s="2" t="str">
        <f ca="1"/>
        <v/>
      </c>
      <c r="AG165" s="26" t="str">
        <f ca="1"/>
        <v/>
      </c>
      <c r="AH165" s="26">
        <f ca="1"/>
        <v>3.7699999999999997E-2</v>
      </c>
    </row>
    <row r="166" spans="1:34">
      <c r="A166" s="5">
        <f ca="1"/>
        <v>33847</v>
      </c>
      <c r="B166" s="2">
        <f ca="1"/>
        <v>6.3061622444698748E-2</v>
      </c>
      <c r="C166" s="2">
        <f ca="1"/>
        <v>-4.6623481331146216E-2</v>
      </c>
      <c r="D166" s="2">
        <f ca="1"/>
        <v>2.2421947539461532E-2</v>
      </c>
      <c r="E166" s="2">
        <f ca="1"/>
        <v>1.0130191010168281E-2</v>
      </c>
      <c r="F166" s="2">
        <f ca="1"/>
        <v>7.8606928058253159E-2</v>
      </c>
      <c r="G166" s="2">
        <f ca="1"/>
        <v>4.824094236167592E-2</v>
      </c>
      <c r="H166" s="2">
        <f ca="1"/>
        <v>-2.3738205781039301E-2</v>
      </c>
      <c r="I166" s="2" t="str">
        <f ca="1"/>
        <v/>
      </c>
      <c r="J166" s="2" t="str">
        <f ca="1"/>
        <v/>
      </c>
      <c r="K166" s="2" t="str">
        <f ca="1"/>
        <v/>
      </c>
      <c r="L166" s="2" t="str">
        <f ca="1"/>
        <v/>
      </c>
      <c r="M166" s="2" t="str">
        <f ca="1"/>
        <v/>
      </c>
      <c r="N166" s="2" t="str">
        <f ca="1"/>
        <v/>
      </c>
      <c r="O166" s="2" t="str">
        <f ca="1"/>
        <v/>
      </c>
      <c r="P166" s="2">
        <f ca="1"/>
        <v>-2.4390243902439011E-2</v>
      </c>
      <c r="Q166" s="2">
        <f ca="1"/>
        <v>-1.5160815123987228E-2</v>
      </c>
      <c r="R166" s="2">
        <f ca="1"/>
        <v>-5.0719232818327027E-2</v>
      </c>
      <c r="S166" s="2">
        <f ca="1"/>
        <v>-1.3521689152398726E-2</v>
      </c>
      <c r="T166" s="2">
        <f ca="1"/>
        <v>-2.0472800443859632E-2</v>
      </c>
      <c r="U166" s="2">
        <f ca="1"/>
        <v>-2.1083901836297391E-2</v>
      </c>
      <c r="V166" s="2">
        <f ca="1"/>
        <v>-1.2248721089415585E-2</v>
      </c>
      <c r="W166" s="2">
        <f ca="1"/>
        <v>-3.0733034335710452E-2</v>
      </c>
      <c r="X166" s="2" t="str">
        <f ca="1"/>
        <v/>
      </c>
      <c r="Y166" s="2" t="str">
        <f ca="1"/>
        <v/>
      </c>
      <c r="Z166" s="2" t="str">
        <f ca="1"/>
        <v/>
      </c>
      <c r="AA166" s="2" t="str">
        <f ca="1"/>
        <v/>
      </c>
      <c r="AB166" s="2" t="str">
        <f ca="1"/>
        <v/>
      </c>
      <c r="AC166" s="2" t="str">
        <f ca="1"/>
        <v/>
      </c>
      <c r="AD166" s="2" t="str">
        <f ca="1"/>
        <v/>
      </c>
      <c r="AE166" s="2" t="str">
        <f ca="1"/>
        <v/>
      </c>
      <c r="AF166" s="2" t="str">
        <f ca="1"/>
        <v/>
      </c>
      <c r="AG166" s="26" t="str">
        <f ca="1"/>
        <v/>
      </c>
      <c r="AH166" s="26">
        <f ca="1"/>
        <v>-3.8599999999999995E-2</v>
      </c>
    </row>
    <row r="167" spans="1:34">
      <c r="A167" s="5">
        <f ca="1"/>
        <v>33877</v>
      </c>
      <c r="B167" s="2">
        <f ca="1"/>
        <v>-1.9429501978942033E-2</v>
      </c>
      <c r="C167" s="2">
        <f ca="1"/>
        <v>3.4118744896767736E-3</v>
      </c>
      <c r="D167" s="2">
        <f ca="1"/>
        <v>-8.5209334004980129E-3</v>
      </c>
      <c r="E167" s="2">
        <f ca="1"/>
        <v>1.1872506961691776E-2</v>
      </c>
      <c r="F167" s="2">
        <f ca="1"/>
        <v>-2.0503164343842313E-2</v>
      </c>
      <c r="G167" s="2">
        <f ca="1"/>
        <v>-1.790979031830171E-2</v>
      </c>
      <c r="H167" s="2">
        <f ca="1"/>
        <v>5.9062667791668468E-3</v>
      </c>
      <c r="I167" s="2" t="str">
        <f ca="1"/>
        <v/>
      </c>
      <c r="J167" s="2" t="str">
        <f ca="1"/>
        <v/>
      </c>
      <c r="K167" s="2" t="str">
        <f ca="1"/>
        <v/>
      </c>
      <c r="L167" s="2" t="str">
        <f ca="1"/>
        <v/>
      </c>
      <c r="M167" s="2" t="str">
        <f ca="1"/>
        <v/>
      </c>
      <c r="N167" s="2" t="str">
        <f ca="1"/>
        <v/>
      </c>
      <c r="O167" s="2" t="str">
        <f ca="1"/>
        <v/>
      </c>
      <c r="P167" s="2">
        <f ca="1"/>
        <v>1.3753387533875347E-2</v>
      </c>
      <c r="Q167" s="2">
        <f ca="1"/>
        <v>1.2464942349642697E-3</v>
      </c>
      <c r="R167" s="2">
        <f ca="1"/>
        <v>1.7173644629026839E-2</v>
      </c>
      <c r="S167" s="2">
        <f ca="1"/>
        <v>6.5315384379503703E-3</v>
      </c>
      <c r="T167" s="2">
        <f ca="1"/>
        <v>1.1753955409152196E-2</v>
      </c>
      <c r="U167" s="2">
        <f ca="1"/>
        <v>1.2648879459669892E-2</v>
      </c>
      <c r="V167" s="2">
        <f ca="1"/>
        <v>1.1379385804945675E-2</v>
      </c>
      <c r="W167" s="2">
        <f ca="1"/>
        <v>1.3805658803003818E-2</v>
      </c>
      <c r="X167" s="2" t="str">
        <f ca="1"/>
        <v/>
      </c>
      <c r="Y167" s="2" t="str">
        <f ca="1"/>
        <v/>
      </c>
      <c r="Z167" s="2" t="str">
        <f ca="1"/>
        <v/>
      </c>
      <c r="AA167" s="2" t="str">
        <f ca="1"/>
        <v/>
      </c>
      <c r="AB167" s="2" t="str">
        <f ca="1"/>
        <v/>
      </c>
      <c r="AC167" s="2" t="str">
        <f ca="1"/>
        <v/>
      </c>
      <c r="AD167" s="2" t="str">
        <f ca="1"/>
        <v/>
      </c>
      <c r="AE167" s="2" t="str">
        <f ca="1"/>
        <v/>
      </c>
      <c r="AF167" s="2" t="str">
        <f ca="1"/>
        <v/>
      </c>
      <c r="AG167" s="26" t="str">
        <f ca="1"/>
        <v/>
      </c>
      <c r="AH167" s="26">
        <f ca="1"/>
        <v>1.2199999999999999E-2</v>
      </c>
    </row>
    <row r="168" spans="1:34">
      <c r="A168" s="5">
        <f ca="1"/>
        <v>33907</v>
      </c>
      <c r="B168" s="2">
        <f ca="1"/>
        <v>-5.215090660099931E-2</v>
      </c>
      <c r="C168" s="2">
        <f ca="1"/>
        <v>5.3503443866430377E-2</v>
      </c>
      <c r="D168" s="2">
        <f ca="1"/>
        <v>-2.4458660713007931E-2</v>
      </c>
      <c r="E168" s="2">
        <f ca="1"/>
        <v>-1.3276557764183022E-2</v>
      </c>
      <c r="F168" s="2">
        <f ca="1"/>
        <v>-5.1732964655009893E-2</v>
      </c>
      <c r="G168" s="2">
        <f ca="1"/>
        <v>-5.2548152150090933E-2</v>
      </c>
      <c r="H168" s="2">
        <f ca="1"/>
        <v>-6.1766051547962018E-3</v>
      </c>
      <c r="I168" s="2" t="str">
        <f ca="1"/>
        <v/>
      </c>
      <c r="J168" s="2" t="str">
        <f ca="1"/>
        <v/>
      </c>
      <c r="K168" s="2" t="str">
        <f ca="1"/>
        <v/>
      </c>
      <c r="L168" s="2" t="str">
        <f ca="1"/>
        <v/>
      </c>
      <c r="M168" s="2" t="str">
        <f ca="1"/>
        <v/>
      </c>
      <c r="N168" s="2" t="str">
        <f ca="1"/>
        <v/>
      </c>
      <c r="O168" s="2" t="str">
        <f ca="1"/>
        <v/>
      </c>
      <c r="P168" s="2">
        <f ca="1"/>
        <v>5.2863730535320438E-2</v>
      </c>
      <c r="Q168" s="2">
        <f ca="1"/>
        <v>1.7678182384064756E-2</v>
      </c>
      <c r="R168" s="2">
        <f ca="1"/>
        <v>4.4912822776428975E-2</v>
      </c>
      <c r="S168" s="2">
        <f ca="1"/>
        <v>4.6612234950035728E-3</v>
      </c>
      <c r="T168" s="2">
        <f ca="1"/>
        <v>3.4510650217583357E-3</v>
      </c>
      <c r="U168" s="2">
        <f ca="1"/>
        <v>8.3272558509579955E-3</v>
      </c>
      <c r="V168" s="2">
        <f ca="1"/>
        <v>1.507392715470612E-2</v>
      </c>
      <c r="W168" s="2">
        <f ca="1"/>
        <v>8.9786756453426515E-4</v>
      </c>
      <c r="X168" s="2" t="str">
        <f ca="1"/>
        <v/>
      </c>
      <c r="Y168" s="2" t="str">
        <f ca="1"/>
        <v/>
      </c>
      <c r="Z168" s="2" t="str">
        <f ca="1"/>
        <v/>
      </c>
      <c r="AA168" s="2" t="str">
        <f ca="1"/>
        <v/>
      </c>
      <c r="AB168" s="2" t="str">
        <f ca="1"/>
        <v/>
      </c>
      <c r="AC168" s="2" t="str">
        <f ca="1"/>
        <v/>
      </c>
      <c r="AD168" s="2" t="str">
        <f ca="1"/>
        <v/>
      </c>
      <c r="AE168" s="2" t="str">
        <f ca="1"/>
        <v/>
      </c>
      <c r="AF168" s="2" t="str">
        <f ca="1"/>
        <v/>
      </c>
      <c r="AG168" s="26" t="str">
        <f ca="1"/>
        <v/>
      </c>
      <c r="AH168" s="26">
        <f ca="1"/>
        <v>-2.2099999999999998E-2</v>
      </c>
    </row>
    <row r="169" spans="1:34">
      <c r="A169" s="5">
        <f ca="1"/>
        <v>33938</v>
      </c>
      <c r="B169" s="2">
        <f ca="1"/>
        <v>9.7171668856250327E-3</v>
      </c>
      <c r="C169" s="2">
        <f ca="1"/>
        <v>-1.0786206896551794E-2</v>
      </c>
      <c r="D169" s="2">
        <f ca="1"/>
        <v>1.664368288245999E-2</v>
      </c>
      <c r="E169" s="2">
        <f ca="1"/>
        <v>2.2613775558278442E-4</v>
      </c>
      <c r="F169" s="2">
        <f ca="1"/>
        <v>1.4236751394770491E-2</v>
      </c>
      <c r="G169" s="2">
        <f ca="1"/>
        <v>5.2127321925213308E-3</v>
      </c>
      <c r="H169" s="2">
        <f ca="1"/>
        <v>1.1432517455689255E-2</v>
      </c>
      <c r="I169" s="2" t="str">
        <f ca="1"/>
        <v/>
      </c>
      <c r="J169" s="2" t="str">
        <f ca="1"/>
        <v/>
      </c>
      <c r="K169" s="2" t="str">
        <f ca="1"/>
        <v/>
      </c>
      <c r="L169" s="2" t="str">
        <f ca="1"/>
        <v/>
      </c>
      <c r="M169" s="2" t="str">
        <f ca="1"/>
        <v/>
      </c>
      <c r="N169" s="2" t="str">
        <f ca="1"/>
        <v/>
      </c>
      <c r="O169" s="2" t="str">
        <f ca="1"/>
        <v/>
      </c>
      <c r="P169" s="2">
        <f ca="1"/>
        <v>-1.9042782785323282E-3</v>
      </c>
      <c r="Q169" s="2">
        <f ca="1"/>
        <v>2.8564438191938272E-2</v>
      </c>
      <c r="R169" s="2">
        <f ca="1"/>
        <v>5.3331925229696875E-2</v>
      </c>
      <c r="S169" s="2">
        <f ca="1"/>
        <v>2.4380628923188954E-2</v>
      </c>
      <c r="T169" s="2">
        <f ca="1"/>
        <v>3.4042972472647225E-2</v>
      </c>
      <c r="U169" s="2">
        <f ca="1"/>
        <v>3.8438778059781992E-2</v>
      </c>
      <c r="V169" s="2">
        <f ca="1"/>
        <v>4.3413386386244028E-2</v>
      </c>
      <c r="W169" s="2">
        <f ca="1"/>
        <v>3.2817522613440876E-2</v>
      </c>
      <c r="X169" s="2" t="str">
        <f ca="1"/>
        <v/>
      </c>
      <c r="Y169" s="2" t="str">
        <f ca="1"/>
        <v/>
      </c>
      <c r="Z169" s="2" t="str">
        <f ca="1"/>
        <v/>
      </c>
      <c r="AA169" s="2" t="str">
        <f ca="1"/>
        <v/>
      </c>
      <c r="AB169" s="2" t="str">
        <f ca="1"/>
        <v/>
      </c>
      <c r="AC169" s="2" t="str">
        <f ca="1"/>
        <v/>
      </c>
      <c r="AD169" s="2" t="str">
        <f ca="1"/>
        <v/>
      </c>
      <c r="AE169" s="2" t="str">
        <f ca="1"/>
        <v/>
      </c>
      <c r="AF169" s="2" t="str">
        <f ca="1"/>
        <v/>
      </c>
      <c r="AG169" s="26" t="str">
        <f ca="1"/>
        <v/>
      </c>
      <c r="AH169" s="26">
        <f ca="1"/>
        <v>-1.7100000000000001E-2</v>
      </c>
    </row>
    <row r="170" spans="1:34">
      <c r="A170" s="5">
        <f ca="1"/>
        <v>33969</v>
      </c>
      <c r="B170" s="2">
        <f ca="1"/>
        <v>5.4750339877807043E-3</v>
      </c>
      <c r="C170" s="2">
        <f ca="1"/>
        <v>2.9420786971192762E-2</v>
      </c>
      <c r="D170" s="2">
        <f ca="1"/>
        <v>9.4590792008483488E-3</v>
      </c>
      <c r="E170" s="2">
        <f ca="1"/>
        <v>1.5901426229817162E-2</v>
      </c>
      <c r="F170" s="2">
        <f ca="1"/>
        <v>1.4800102016370468E-3</v>
      </c>
      <c r="G170" s="2">
        <f ca="1"/>
        <v>9.3224874237397368E-3</v>
      </c>
      <c r="H170" s="2">
        <f ca="1"/>
        <v>1.6234258837809247E-2</v>
      </c>
      <c r="I170" s="2" t="str">
        <f ca="1"/>
        <v/>
      </c>
      <c r="J170" s="2" t="str">
        <f ca="1"/>
        <v/>
      </c>
      <c r="K170" s="2" t="str">
        <f ca="1"/>
        <v/>
      </c>
      <c r="L170" s="2" t="str">
        <f ca="1"/>
        <v/>
      </c>
      <c r="M170" s="2" t="str">
        <f ca="1"/>
        <v/>
      </c>
      <c r="N170" s="2" t="str">
        <f ca="1"/>
        <v/>
      </c>
      <c r="O170" s="2" t="str">
        <f ca="1"/>
        <v/>
      </c>
      <c r="P170" s="2">
        <f ca="1"/>
        <v>9.6667514627320136E-3</v>
      </c>
      <c r="Q170" s="2">
        <f ca="1"/>
        <v>5.0547098001902614E-3</v>
      </c>
      <c r="R170" s="2">
        <f ca="1"/>
        <v>2.1656306396631349E-2</v>
      </c>
      <c r="S170" s="2">
        <f ca="1"/>
        <v>2.0899322104141388E-2</v>
      </c>
      <c r="T170" s="2">
        <f ca="1"/>
        <v>1.2256029097051193E-2</v>
      </c>
      <c r="U170" s="2">
        <f ca="1"/>
        <v>1.6488108806321684E-2</v>
      </c>
      <c r="V170" s="2">
        <f ca="1"/>
        <v>1.0010214504596519E-2</v>
      </c>
      <c r="W170" s="2">
        <f ca="1"/>
        <v>2.3957730167921267E-2</v>
      </c>
      <c r="X170" s="2" t="str">
        <f ca="1"/>
        <v/>
      </c>
      <c r="Y170" s="2" t="str">
        <f ca="1"/>
        <v/>
      </c>
      <c r="Z170" s="2" t="str">
        <f ca="1"/>
        <v/>
      </c>
      <c r="AA170" s="2" t="str">
        <f ca="1"/>
        <v/>
      </c>
      <c r="AB170" s="2" t="str">
        <f ca="1"/>
        <v/>
      </c>
      <c r="AC170" s="2" t="str">
        <f ca="1"/>
        <v/>
      </c>
      <c r="AD170" s="2" t="str">
        <f ca="1"/>
        <v/>
      </c>
      <c r="AE170" s="2" t="str">
        <f ca="1"/>
        <v/>
      </c>
      <c r="AF170" s="2" t="str">
        <f ca="1"/>
        <v/>
      </c>
      <c r="AG170" s="26" t="str">
        <f ca="1"/>
        <v/>
      </c>
      <c r="AH170" s="26">
        <f ca="1"/>
        <v>-3.5999999999999999E-3</v>
      </c>
    </row>
    <row r="171" spans="1:34">
      <c r="A171" s="5">
        <f ca="1"/>
        <v>33998</v>
      </c>
      <c r="B171" s="2">
        <f ca="1"/>
        <v>1.7619359868642888E-4</v>
      </c>
      <c r="C171" s="2">
        <f ca="1"/>
        <v>4.8220187462752065E-3</v>
      </c>
      <c r="D171" s="2">
        <f ca="1"/>
        <v>3.5380392829574047E-3</v>
      </c>
      <c r="E171" s="2">
        <f ca="1"/>
        <v>1.9176202221768732E-2</v>
      </c>
      <c r="F171" s="2">
        <f ca="1"/>
        <v>-8.8698319603343068E-3</v>
      </c>
      <c r="G171" s="2">
        <f ca="1"/>
        <v>9.4855833978431305E-3</v>
      </c>
      <c r="H171" s="2">
        <f ca="1"/>
        <v>1.0002985965960012E-2</v>
      </c>
      <c r="I171" s="2" t="str">
        <f ca="1"/>
        <v/>
      </c>
      <c r="J171" s="2" t="str">
        <f ca="1"/>
        <v/>
      </c>
      <c r="K171" s="2" t="str">
        <f ca="1"/>
        <v/>
      </c>
      <c r="L171" s="2" t="str">
        <f ca="1"/>
        <v/>
      </c>
      <c r="M171" s="2" t="str">
        <f ca="1"/>
        <v/>
      </c>
      <c r="N171" s="2" t="str">
        <f ca="1"/>
        <v/>
      </c>
      <c r="O171" s="2" t="str">
        <f ca="1"/>
        <v/>
      </c>
      <c r="P171" s="2">
        <f ca="1"/>
        <v>4.1194255479969896E-2</v>
      </c>
      <c r="Q171" s="2">
        <f ca="1"/>
        <v>-2.1123010472753053E-2</v>
      </c>
      <c r="R171" s="2">
        <f ca="1"/>
        <v>4.5731108930323811E-2</v>
      </c>
      <c r="S171" s="2">
        <f ca="1"/>
        <v>1.130860904108788E-2</v>
      </c>
      <c r="T171" s="2">
        <f ca="1"/>
        <v>8.3606158585736393E-3</v>
      </c>
      <c r="U171" s="2">
        <f ca="1"/>
        <v>7.8611650969253738E-3</v>
      </c>
      <c r="V171" s="2">
        <f ca="1"/>
        <v>-1.1461704422869397E-2</v>
      </c>
      <c r="W171" s="2">
        <f ca="1"/>
        <v>2.8981409486110089E-2</v>
      </c>
      <c r="X171" s="2" t="str">
        <f ca="1"/>
        <v/>
      </c>
      <c r="Y171" s="2" t="str">
        <f ca="1"/>
        <v/>
      </c>
      <c r="Z171" s="2" t="str">
        <f ca="1"/>
        <v/>
      </c>
      <c r="AA171" s="2" t="str">
        <f ca="1"/>
        <v/>
      </c>
      <c r="AB171" s="2" t="str">
        <f ca="1"/>
        <v/>
      </c>
      <c r="AC171" s="2" t="str">
        <f ca="1"/>
        <v/>
      </c>
      <c r="AD171" s="2" t="str">
        <f ca="1"/>
        <v/>
      </c>
      <c r="AE171" s="2" t="str">
        <f ca="1"/>
        <v/>
      </c>
      <c r="AF171" s="2" t="str">
        <f ca="1"/>
        <v/>
      </c>
      <c r="AG171" s="26" t="str">
        <f ca="1"/>
        <v/>
      </c>
      <c r="AH171" s="26">
        <f ca="1"/>
        <v>-8.6999999999999994E-3</v>
      </c>
    </row>
    <row r="172" spans="1:34">
      <c r="A172" s="5">
        <f ca="1"/>
        <v>34026</v>
      </c>
      <c r="B172" s="2">
        <f ca="1"/>
        <v>3.0501934239097125E-2</v>
      </c>
      <c r="C172" s="2">
        <f ca="1"/>
        <v>1.6769114633883236E-2</v>
      </c>
      <c r="D172" s="2">
        <f ca="1"/>
        <v>2.351801599680934E-2</v>
      </c>
      <c r="E172" s="2">
        <f ca="1"/>
        <v>1.7505231553088901E-2</v>
      </c>
      <c r="F172" s="2">
        <f ca="1"/>
        <v>2.8744531443893575E-2</v>
      </c>
      <c r="G172" s="2">
        <f ca="1"/>
        <v>3.2149628921535056E-2</v>
      </c>
      <c r="H172" s="2">
        <f ca="1"/>
        <v>7.6127124907612786E-3</v>
      </c>
      <c r="I172" s="2" t="str">
        <f ca="1"/>
        <v/>
      </c>
      <c r="J172" s="2" t="str">
        <f ca="1"/>
        <v/>
      </c>
      <c r="K172" s="2" t="str">
        <f ca="1"/>
        <v/>
      </c>
      <c r="L172" s="2" t="str">
        <f ca="1"/>
        <v/>
      </c>
      <c r="M172" s="2" t="str">
        <f ca="1"/>
        <v/>
      </c>
      <c r="N172" s="2" t="str">
        <f ca="1"/>
        <v/>
      </c>
      <c r="O172" s="2" t="str">
        <f ca="1"/>
        <v/>
      </c>
      <c r="P172" s="2">
        <f ca="1"/>
        <v>2.2504537205081662E-2</v>
      </c>
      <c r="Q172" s="2">
        <f ca="1"/>
        <v>-5.016924564796809E-3</v>
      </c>
      <c r="R172" s="2">
        <f ca="1"/>
        <v>1.2293543543543567E-2</v>
      </c>
      <c r="S172" s="2">
        <f ca="1"/>
        <v>2.2192275711787165E-2</v>
      </c>
      <c r="T172" s="2">
        <f ca="1"/>
        <v>1.3622044498985058E-2</v>
      </c>
      <c r="U172" s="2">
        <f ca="1"/>
        <v>8.9988751406073902E-3</v>
      </c>
      <c r="V172" s="2">
        <f ca="1"/>
        <v>-1.6027827035875013E-2</v>
      </c>
      <c r="W172" s="2">
        <f ca="1"/>
        <v>3.4897300267912434E-2</v>
      </c>
      <c r="X172" s="2" t="str">
        <f ca="1"/>
        <v/>
      </c>
      <c r="Y172" s="2" t="str">
        <f ca="1"/>
        <v/>
      </c>
      <c r="Z172" s="2" t="str">
        <f ca="1"/>
        <v/>
      </c>
      <c r="AA172" s="2" t="str">
        <f ca="1"/>
        <v/>
      </c>
      <c r="AB172" s="2" t="str">
        <f ca="1"/>
        <v/>
      </c>
      <c r="AC172" s="2" t="str">
        <f ca="1"/>
        <v/>
      </c>
      <c r="AD172" s="2" t="str">
        <f ca="1"/>
        <v/>
      </c>
      <c r="AE172" s="2" t="str">
        <f ca="1"/>
        <v/>
      </c>
      <c r="AF172" s="2" t="str">
        <f ca="1"/>
        <v/>
      </c>
      <c r="AG172" s="26" t="str">
        <f ca="1"/>
        <v/>
      </c>
      <c r="AH172" s="26">
        <f ca="1"/>
        <v>-3.5999999999999999E-3</v>
      </c>
    </row>
    <row r="173" spans="1:34">
      <c r="A173" s="5">
        <f ca="1"/>
        <v>34059</v>
      </c>
      <c r="B173" s="2">
        <f ca="1"/>
        <v>8.7457904762381938E-2</v>
      </c>
      <c r="C173" s="2">
        <f ca="1"/>
        <v>3.3064644429124539E-2</v>
      </c>
      <c r="D173" s="2">
        <f ca="1"/>
        <v>5.746494554817147E-2</v>
      </c>
      <c r="E173" s="2">
        <f ca="1"/>
        <v>4.1668902122789873E-3</v>
      </c>
      <c r="F173" s="2">
        <f ca="1"/>
        <v>7.1229963320684278E-2</v>
      </c>
      <c r="G173" s="2">
        <f ca="1"/>
        <v>0.10431424035173438</v>
      </c>
      <c r="H173" s="2">
        <f ca="1"/>
        <v>2.9047164967358464E-2</v>
      </c>
      <c r="I173" s="2" t="str">
        <f ca="1"/>
        <v/>
      </c>
      <c r="J173" s="2" t="str">
        <f ca="1"/>
        <v/>
      </c>
      <c r="K173" s="2" t="str">
        <f ca="1"/>
        <v/>
      </c>
      <c r="L173" s="2" t="str">
        <f ca="1"/>
        <v/>
      </c>
      <c r="M173" s="2" t="str">
        <f ca="1"/>
        <v/>
      </c>
      <c r="N173" s="2" t="str">
        <f ca="1"/>
        <v/>
      </c>
      <c r="O173" s="2" t="str">
        <f ca="1"/>
        <v/>
      </c>
      <c r="P173" s="2">
        <f ca="1"/>
        <v>2.8399006034788179E-3</v>
      </c>
      <c r="Q173" s="2">
        <f ca="1"/>
        <v>9.5376951582527986E-3</v>
      </c>
      <c r="R173" s="2">
        <f ca="1"/>
        <v>3.7916010012051443E-2</v>
      </c>
      <c r="S173" s="2">
        <f ca="1"/>
        <v>2.089702953633836E-2</v>
      </c>
      <c r="T173" s="2">
        <f ca="1"/>
        <v>2.1111541025580188E-2</v>
      </c>
      <c r="U173" s="2">
        <f ca="1"/>
        <v>2.4330184865301942E-2</v>
      </c>
      <c r="V173" s="2">
        <f ca="1"/>
        <v>1.9269425382962509E-2</v>
      </c>
      <c r="W173" s="2">
        <f ca="1"/>
        <v>2.9538665781612933E-2</v>
      </c>
      <c r="X173" s="2" t="str">
        <f ca="1"/>
        <v/>
      </c>
      <c r="Y173" s="2" t="str">
        <f ca="1"/>
        <v/>
      </c>
      <c r="Z173" s="2" t="str">
        <f ca="1"/>
        <v/>
      </c>
      <c r="AA173" s="2" t="str">
        <f ca="1"/>
        <v/>
      </c>
      <c r="AB173" s="2" t="str">
        <f ca="1"/>
        <v/>
      </c>
      <c r="AC173" s="2" t="str">
        <f ca="1"/>
        <v/>
      </c>
      <c r="AD173" s="2" t="str">
        <f ca="1"/>
        <v/>
      </c>
      <c r="AE173" s="2" t="str">
        <f ca="1"/>
        <v/>
      </c>
      <c r="AF173" s="2" t="str">
        <f ca="1"/>
        <v/>
      </c>
      <c r="AG173" s="26" t="str">
        <f ca="1"/>
        <v/>
      </c>
      <c r="AH173" s="26">
        <f ca="1"/>
        <v>2.6099999999999998E-2</v>
      </c>
    </row>
    <row r="174" spans="1:34">
      <c r="A174" s="5">
        <f ca="1"/>
        <v>34089</v>
      </c>
      <c r="B174" s="2">
        <f ca="1"/>
        <v>9.5177359524876159E-2</v>
      </c>
      <c r="C174" s="2">
        <f ca="1"/>
        <v>2.2997356330689608E-2</v>
      </c>
      <c r="D174" s="2">
        <f ca="1"/>
        <v>4.5418950665622654E-2</v>
      </c>
      <c r="E174" s="2">
        <f ca="1"/>
        <v>6.9634906500444672E-3</v>
      </c>
      <c r="F174" s="2">
        <f ca="1"/>
        <v>8.0992573450771058E-2</v>
      </c>
      <c r="G174" s="2">
        <f ca="1"/>
        <v>0.10841385920529373</v>
      </c>
      <c r="H174" s="2">
        <f ca="1"/>
        <v>-1.9388409722717222E-2</v>
      </c>
      <c r="I174" s="2" t="str">
        <f ca="1"/>
        <v/>
      </c>
      <c r="J174" s="2" t="str">
        <f ca="1"/>
        <v/>
      </c>
      <c r="K174" s="2" t="str">
        <f ca="1"/>
        <v/>
      </c>
      <c r="L174" s="2" t="str">
        <f ca="1"/>
        <v/>
      </c>
      <c r="M174" s="2" t="str">
        <f ca="1"/>
        <v/>
      </c>
      <c r="N174" s="2" t="str">
        <f ca="1"/>
        <v/>
      </c>
      <c r="O174" s="2" t="str">
        <f ca="1"/>
        <v/>
      </c>
      <c r="P174" s="2">
        <f ca="1"/>
        <v>5.5044247787610703E-2</v>
      </c>
      <c r="Q174" s="2">
        <f ca="1"/>
        <v>-3.7790347815621621E-2</v>
      </c>
      <c r="R174" s="2">
        <f ca="1"/>
        <v>-4.3497677742050649E-2</v>
      </c>
      <c r="S174" s="2">
        <f ca="1"/>
        <v>-1.7804154302670516E-2</v>
      </c>
      <c r="T174" s="2">
        <f ca="1"/>
        <v>-2.417311946802788E-2</v>
      </c>
      <c r="U174" s="2">
        <f ca="1"/>
        <v>-2.6395416980613123E-2</v>
      </c>
      <c r="V174" s="2">
        <f ca="1"/>
        <v>-4.0054403264195952E-2</v>
      </c>
      <c r="W174" s="2">
        <f ca="1"/>
        <v>-1.2830431979368027E-2</v>
      </c>
      <c r="X174" s="2" t="str">
        <f ca="1"/>
        <v/>
      </c>
      <c r="Y174" s="2" t="str">
        <f ca="1"/>
        <v/>
      </c>
      <c r="Z174" s="2" t="str">
        <f ca="1"/>
        <v/>
      </c>
      <c r="AA174" s="2" t="str">
        <f ca="1"/>
        <v/>
      </c>
      <c r="AB174" s="2" t="str">
        <f ca="1"/>
        <v/>
      </c>
      <c r="AC174" s="2" t="str">
        <f ca="1"/>
        <v/>
      </c>
      <c r="AD174" s="2" t="str">
        <f ca="1"/>
        <v/>
      </c>
      <c r="AE174" s="2" t="str">
        <f ca="1"/>
        <v/>
      </c>
      <c r="AF174" s="2" t="str">
        <f ca="1"/>
        <v/>
      </c>
      <c r="AG174" s="26" t="str">
        <f ca="1"/>
        <v/>
      </c>
      <c r="AH174" s="26">
        <f ca="1"/>
        <v>5.8099999999999999E-2</v>
      </c>
    </row>
    <row r="175" spans="1:34">
      <c r="A175" s="5">
        <f ca="1"/>
        <v>34120</v>
      </c>
      <c r="B175" s="2">
        <f ca="1"/>
        <v>2.1364076825079372E-2</v>
      </c>
      <c r="C175" s="2">
        <f ca="1"/>
        <v>2.7874651880472726E-2</v>
      </c>
      <c r="D175" s="2">
        <f ca="1"/>
        <v>2.3491643848550649E-2</v>
      </c>
      <c r="E175" s="2">
        <f ca="1"/>
        <v>1.2734122141455357E-3</v>
      </c>
      <c r="F175" s="2">
        <f ca="1"/>
        <v>2.9635717763783449E-2</v>
      </c>
      <c r="G175" s="2">
        <f ca="1"/>
        <v>1.3494749270385567E-2</v>
      </c>
      <c r="H175" s="2">
        <f ca="1"/>
        <v>2.740423057352628E-2</v>
      </c>
      <c r="I175" s="2" t="str">
        <f ca="1"/>
        <v/>
      </c>
      <c r="J175" s="2" t="str">
        <f ca="1"/>
        <v/>
      </c>
      <c r="K175" s="2" t="str">
        <f ca="1"/>
        <v/>
      </c>
      <c r="L175" s="2" t="str">
        <f ca="1"/>
        <v/>
      </c>
      <c r="M175" s="2" t="str">
        <f ca="1"/>
        <v/>
      </c>
      <c r="N175" s="2" t="str">
        <f ca="1"/>
        <v/>
      </c>
      <c r="O175" s="2" t="str">
        <f ca="1"/>
        <v/>
      </c>
      <c r="P175" s="2">
        <f ca="1"/>
        <v>6.7662025387238128E-3</v>
      </c>
      <c r="Q175" s="2">
        <f ca="1"/>
        <v>2.4828017510944333E-2</v>
      </c>
      <c r="R175" s="2">
        <f ca="1"/>
        <v>4.9117564665234766E-2</v>
      </c>
      <c r="S175" s="2">
        <f ca="1"/>
        <v>1.6392525455969444E-2</v>
      </c>
      <c r="T175" s="2">
        <f ca="1"/>
        <v>2.6725313257204623E-2</v>
      </c>
      <c r="U175" s="2">
        <f ca="1"/>
        <v>2.7454978748495226E-2</v>
      </c>
      <c r="V175" s="2">
        <f ca="1"/>
        <v>3.4995749504108796E-2</v>
      </c>
      <c r="W175" s="2">
        <f ca="1"/>
        <v>2.0116256286329983E-2</v>
      </c>
      <c r="X175" s="2" t="str">
        <f ca="1"/>
        <v/>
      </c>
      <c r="Y175" s="2" t="str">
        <f ca="1"/>
        <v/>
      </c>
      <c r="Z175" s="2" t="str">
        <f ca="1"/>
        <v/>
      </c>
      <c r="AA175" s="2" t="str">
        <f ca="1"/>
        <v/>
      </c>
      <c r="AB175" s="2" t="str">
        <f ca="1"/>
        <v/>
      </c>
      <c r="AC175" s="2" t="str">
        <f ca="1"/>
        <v/>
      </c>
      <c r="AD175" s="2" t="str">
        <f ca="1"/>
        <v/>
      </c>
      <c r="AE175" s="2" t="str">
        <f ca="1"/>
        <v/>
      </c>
      <c r="AF175" s="2" t="str">
        <f ca="1"/>
        <v/>
      </c>
      <c r="AG175" s="26" t="str">
        <f ca="1"/>
        <v/>
      </c>
      <c r="AH175" s="26">
        <f ca="1"/>
        <v>5.91E-2</v>
      </c>
    </row>
    <row r="176" spans="1:34">
      <c r="A176" s="5">
        <f ca="1"/>
        <v>34150</v>
      </c>
      <c r="B176" s="2">
        <f ca="1"/>
        <v>-1.5371436925630316E-2</v>
      </c>
      <c r="C176" s="2">
        <f ca="1"/>
        <v>2.9657293497363742E-2</v>
      </c>
      <c r="D176" s="2">
        <f ca="1"/>
        <v>-6.4884345959642965E-3</v>
      </c>
      <c r="E176" s="2">
        <f ca="1"/>
        <v>1.812304594351119E-2</v>
      </c>
      <c r="F176" s="2">
        <f ca="1"/>
        <v>-8.8814301697255228E-3</v>
      </c>
      <c r="G176" s="2">
        <f ca="1"/>
        <v>-2.1313950054146311E-2</v>
      </c>
      <c r="H176" s="2">
        <f ca="1"/>
        <v>7.6411490024054342E-3</v>
      </c>
      <c r="I176" s="2" t="str">
        <f ca="1"/>
        <v/>
      </c>
      <c r="J176" s="2" t="str">
        <f ca="1"/>
        <v/>
      </c>
      <c r="K176" s="2">
        <f ca="1"/>
        <v>4.5304923370970505E-3</v>
      </c>
      <c r="L176" s="2" t="str">
        <f ca="1"/>
        <v/>
      </c>
      <c r="M176" s="2" t="str">
        <f ca="1"/>
        <v/>
      </c>
      <c r="N176" s="2" t="str">
        <f ca="1"/>
        <v/>
      </c>
      <c r="O176" s="2" t="str">
        <f ca="1"/>
        <v/>
      </c>
      <c r="P176" s="2">
        <f ca="1"/>
        <v>2.6994001333037181E-2</v>
      </c>
      <c r="Q176" s="2">
        <f ca="1"/>
        <v>-1.5683163483248875E-2</v>
      </c>
      <c r="R176" s="2">
        <f ca="1"/>
        <v>3.1508678237650259E-2</v>
      </c>
      <c r="S176" s="2">
        <f ca="1"/>
        <v>7.4310563108935038E-3</v>
      </c>
      <c r="T176" s="2">
        <f ca="1"/>
        <v>2.9107734089451609E-3</v>
      </c>
      <c r="U176" s="2">
        <f ca="1"/>
        <v>6.5996341507155365E-3</v>
      </c>
      <c r="V176" s="2">
        <f ca="1"/>
        <v>-9.1033538672141284E-3</v>
      </c>
      <c r="W176" s="2">
        <f ca="1"/>
        <v>2.2152506562520064E-2</v>
      </c>
      <c r="X176" s="2" t="str">
        <f ca="1"/>
        <v/>
      </c>
      <c r="Y176" s="2" t="str">
        <f ca="1"/>
        <v/>
      </c>
      <c r="Z176" s="2" t="str">
        <f ca="1"/>
        <v/>
      </c>
      <c r="AA176" s="2" t="str">
        <f ca="1"/>
        <v/>
      </c>
      <c r="AB176" s="2" t="str">
        <f ca="1"/>
        <v/>
      </c>
      <c r="AC176" s="2" t="str">
        <f ca="1"/>
        <v/>
      </c>
      <c r="AD176" s="2" t="str">
        <f ca="1"/>
        <v/>
      </c>
      <c r="AE176" s="2" t="str">
        <f ca="1"/>
        <v/>
      </c>
      <c r="AF176" s="2" t="str">
        <f ca="1"/>
        <v/>
      </c>
      <c r="AG176" s="26" t="str">
        <f ca="1"/>
        <v/>
      </c>
      <c r="AH176" s="26">
        <f ca="1"/>
        <v>2.3999999999999998E-3</v>
      </c>
    </row>
    <row r="177" spans="1:34">
      <c r="A177" s="5">
        <f ca="1"/>
        <v>34180</v>
      </c>
      <c r="B177" s="2">
        <f ca="1"/>
        <v>3.5234934417452991E-2</v>
      </c>
      <c r="C177" s="2">
        <f ca="1"/>
        <v>2.6408742858497602E-2</v>
      </c>
      <c r="D177" s="2">
        <f ca="1"/>
        <v>2.073764098500696E-2</v>
      </c>
      <c r="E177" s="2">
        <f ca="1"/>
        <v>5.6558927115321067E-3</v>
      </c>
      <c r="F177" s="2">
        <f ca="1"/>
        <v>2.9364883029629151E-2</v>
      </c>
      <c r="G177" s="2">
        <f ca="1"/>
        <v>4.0810937683370449E-2</v>
      </c>
      <c r="H177" s="2">
        <f ca="1"/>
        <v>3.0894537284089356E-2</v>
      </c>
      <c r="I177" s="2" t="str">
        <f ca="1"/>
        <v/>
      </c>
      <c r="J177" s="2" t="str">
        <f ca="1"/>
        <v/>
      </c>
      <c r="K177" s="2">
        <f ca="1"/>
        <v>2.5087206229519765E-2</v>
      </c>
      <c r="L177" s="2" t="str">
        <f ca="1"/>
        <v/>
      </c>
      <c r="M177" s="2" t="str">
        <f ca="1"/>
        <v/>
      </c>
      <c r="N177" s="2" t="str">
        <f ca="1"/>
        <v/>
      </c>
      <c r="O177" s="2" t="str">
        <f ca="1"/>
        <v/>
      </c>
      <c r="P177" s="2">
        <f ca="1"/>
        <v>2.8285559762033476E-2</v>
      </c>
      <c r="Q177" s="2">
        <f ca="1"/>
        <v>-2.541847489150665E-2</v>
      </c>
      <c r="R177" s="2">
        <f ca="1"/>
        <v>1.9932694796790079E-2</v>
      </c>
      <c r="S177" s="2">
        <f ca="1"/>
        <v>7.8133537318324682E-3</v>
      </c>
      <c r="T177" s="2">
        <f ca="1"/>
        <v>-4.0180838329889829E-3</v>
      </c>
      <c r="U177" s="2">
        <f ca="1"/>
        <v>-3.1237751357001122E-3</v>
      </c>
      <c r="V177" s="2">
        <f ca="1"/>
        <v>-1.7890446915797494E-2</v>
      </c>
      <c r="W177" s="2">
        <f ca="1"/>
        <v>1.1024115252113942E-2</v>
      </c>
      <c r="X177" s="2" t="str">
        <f ca="1"/>
        <v/>
      </c>
      <c r="Y177" s="2" t="str">
        <f ca="1"/>
        <v/>
      </c>
      <c r="Z177" s="2" t="str">
        <f ca="1"/>
        <v/>
      </c>
      <c r="AA177" s="2" t="str">
        <f ca="1"/>
        <v/>
      </c>
      <c r="AB177" s="2" t="str">
        <f ca="1"/>
        <v/>
      </c>
      <c r="AC177" s="2" t="str">
        <f ca="1"/>
        <v/>
      </c>
      <c r="AD177" s="2" t="str">
        <f ca="1"/>
        <v/>
      </c>
      <c r="AE177" s="2" t="str">
        <f ca="1"/>
        <v/>
      </c>
      <c r="AF177" s="2" t="str">
        <f ca="1"/>
        <v/>
      </c>
      <c r="AG177" s="26" t="str">
        <f ca="1"/>
        <v/>
      </c>
      <c r="AH177" s="26">
        <f ca="1"/>
        <v>7.3300000000000004E-2</v>
      </c>
    </row>
    <row r="178" spans="1:34">
      <c r="A178" s="5">
        <f ca="1"/>
        <v>34212</v>
      </c>
      <c r="B178" s="2">
        <f ca="1"/>
        <v>5.4209943144228161E-2</v>
      </c>
      <c r="C178" s="2">
        <f ca="1"/>
        <v>8.4440030487100609E-2</v>
      </c>
      <c r="D178" s="2">
        <f ca="1"/>
        <v>4.7418916624214741E-2</v>
      </c>
      <c r="E178" s="2">
        <f ca="1"/>
        <v>1.7527818511170478E-2</v>
      </c>
      <c r="F178" s="2">
        <f ca="1"/>
        <v>5.127100320745151E-2</v>
      </c>
      <c r="G178" s="2">
        <f ca="1"/>
        <v>5.6780428873452131E-2</v>
      </c>
      <c r="H178" s="2">
        <f ca="1"/>
        <v>4.0389592698542483E-2</v>
      </c>
      <c r="I178" s="2" t="str">
        <f ca="1"/>
        <v/>
      </c>
      <c r="J178" s="2" t="str">
        <f ca="1"/>
        <v/>
      </c>
      <c r="K178" s="2">
        <f ca="1"/>
        <v>4.124703536933283E-2</v>
      </c>
      <c r="L178" s="2" t="str">
        <f ca="1"/>
        <v/>
      </c>
      <c r="M178" s="2" t="str">
        <f ca="1"/>
        <v/>
      </c>
      <c r="N178" s="2" t="str">
        <f ca="1"/>
        <v/>
      </c>
      <c r="O178" s="2" t="str">
        <f ca="1"/>
        <v/>
      </c>
      <c r="P178" s="2">
        <f ca="1"/>
        <v>6.7059380423920484E-2</v>
      </c>
      <c r="Q178" s="2">
        <f ca="1"/>
        <v>3.8231552162849999E-2</v>
      </c>
      <c r="R178" s="2">
        <f ca="1"/>
        <v>6.0236886632825642E-2</v>
      </c>
      <c r="S178" s="2">
        <f ca="1"/>
        <v>3.4697750067769075E-2</v>
      </c>
      <c r="T178" s="2">
        <f ca="1"/>
        <v>3.7924174765782144E-2</v>
      </c>
      <c r="U178" s="2">
        <f ca="1"/>
        <v>3.8508280710115632E-2</v>
      </c>
      <c r="V178" s="2">
        <f ca="1"/>
        <v>4.1074694049796058E-2</v>
      </c>
      <c r="W178" s="2">
        <f ca="1"/>
        <v>3.6119199553931058E-2</v>
      </c>
      <c r="X178" s="2" t="str">
        <f ca="1"/>
        <v/>
      </c>
      <c r="Y178" s="2" t="str">
        <f ca="1"/>
        <v/>
      </c>
      <c r="Z178" s="2" t="str">
        <f ca="1"/>
        <v/>
      </c>
      <c r="AA178" s="2" t="str">
        <f ca="1"/>
        <v/>
      </c>
      <c r="AB178" s="2" t="str">
        <f ca="1"/>
        <v/>
      </c>
      <c r="AC178" s="2" t="str">
        <f ca="1"/>
        <v/>
      </c>
      <c r="AD178" s="2" t="str">
        <f ca="1"/>
        <v/>
      </c>
      <c r="AE178" s="2" t="str">
        <f ca="1"/>
        <v/>
      </c>
      <c r="AF178" s="2" t="str">
        <f ca="1"/>
        <v/>
      </c>
      <c r="AG178" s="26" t="str">
        <f ca="1"/>
        <v/>
      </c>
      <c r="AH178" s="26">
        <f ca="1"/>
        <v>-8.1300000000000011E-2</v>
      </c>
    </row>
    <row r="179" spans="1:34">
      <c r="A179" s="5">
        <f ca="1"/>
        <v>34242</v>
      </c>
      <c r="B179" s="2">
        <f ca="1"/>
        <v>-2.2289992665653832E-2</v>
      </c>
      <c r="C179" s="2">
        <f ca="1"/>
        <v>3.6568483376994053E-2</v>
      </c>
      <c r="D179" s="2">
        <f ca="1"/>
        <v>-1.6767895501734197E-2</v>
      </c>
      <c r="E179" s="2">
        <f ca="1"/>
        <v>2.7466472253776719E-3</v>
      </c>
      <c r="F179" s="2">
        <f ca="1"/>
        <v>-2.4232102616155719E-2</v>
      </c>
      <c r="G179" s="2">
        <f ca="1"/>
        <v>-2.0310564923311493E-2</v>
      </c>
      <c r="H179" s="2">
        <f ca="1"/>
        <v>-1.2765957446808435E-2</v>
      </c>
      <c r="I179" s="2" t="str">
        <f ca="1"/>
        <v/>
      </c>
      <c r="J179" s="2" t="str">
        <f ca="1"/>
        <v/>
      </c>
      <c r="K179" s="2">
        <f ca="1"/>
        <v>-3.4661472947546015E-3</v>
      </c>
      <c r="L179" s="2" t="str">
        <f ca="1"/>
        <v/>
      </c>
      <c r="M179" s="2" t="str">
        <f ca="1"/>
        <v/>
      </c>
      <c r="N179" s="2" t="str">
        <f ca="1"/>
        <v/>
      </c>
      <c r="O179" s="2" t="str">
        <f ca="1"/>
        <v/>
      </c>
      <c r="P179" s="2">
        <f ca="1"/>
        <v>2.8391167192428981E-2</v>
      </c>
      <c r="Q179" s="2">
        <f ca="1"/>
        <v>-1.7707248330372002E-2</v>
      </c>
      <c r="R179" s="2">
        <f ca="1"/>
        <v>2.3539738270028865E-2</v>
      </c>
      <c r="S179" s="2">
        <f ca="1"/>
        <v>-1.3518470002619775E-2</v>
      </c>
      <c r="T179" s="2">
        <f ca="1"/>
        <v>-7.7077446998753442E-3</v>
      </c>
      <c r="U179" s="2">
        <f ca="1"/>
        <v>-2.7993850531195415E-3</v>
      </c>
      <c r="V179" s="2">
        <f ca="1"/>
        <v>-7.3638697473314644E-3</v>
      </c>
      <c r="W179" s="2">
        <f ca="1"/>
        <v>1.6742406122937164E-3</v>
      </c>
      <c r="X179" s="2" t="str">
        <f ca="1"/>
        <v/>
      </c>
      <c r="Y179" s="2" t="str">
        <f ca="1"/>
        <v/>
      </c>
      <c r="Z179" s="2" t="str">
        <f ca="1"/>
        <v/>
      </c>
      <c r="AA179" s="2" t="str">
        <f ca="1"/>
        <v/>
      </c>
      <c r="AB179" s="2" t="str">
        <f ca="1"/>
        <v/>
      </c>
      <c r="AC179" s="2" t="str">
        <f ca="1"/>
        <v/>
      </c>
      <c r="AD179" s="2" t="str">
        <f ca="1"/>
        <v/>
      </c>
      <c r="AE179" s="2" t="str">
        <f ca="1"/>
        <v/>
      </c>
      <c r="AF179" s="2" t="str">
        <f ca="1"/>
        <v/>
      </c>
      <c r="AG179" s="26" t="str">
        <f ca="1"/>
        <v/>
      </c>
      <c r="AH179" s="26">
        <f ca="1"/>
        <v>-5.0300000000000004E-2</v>
      </c>
    </row>
    <row r="180" spans="1:34">
      <c r="A180" s="5">
        <f ca="1"/>
        <v>34271</v>
      </c>
      <c r="B180" s="2">
        <f ca="1"/>
        <v>3.103713539548526E-2</v>
      </c>
      <c r="C180" s="2">
        <f ca="1"/>
        <v>8.9726731045818811E-2</v>
      </c>
      <c r="D180" s="2">
        <f ca="1"/>
        <v>2.9614580572976452E-2</v>
      </c>
      <c r="E180" s="2">
        <f ca="1"/>
        <v>3.7367059499856898E-3</v>
      </c>
      <c r="F180" s="2">
        <f ca="1"/>
        <v>3.1691742662958579E-2</v>
      </c>
      <c r="G180" s="2">
        <f ca="1"/>
        <v>3.0230070596472227E-2</v>
      </c>
      <c r="H180" s="2">
        <f ca="1"/>
        <v>2.652519893899204E-2</v>
      </c>
      <c r="I180" s="2" t="str">
        <f ca="1"/>
        <v/>
      </c>
      <c r="J180" s="2" t="str">
        <f ca="1"/>
        <v/>
      </c>
      <c r="K180" s="2">
        <f ca="1"/>
        <v>3.2330727441367405E-2</v>
      </c>
      <c r="L180" s="2" t="str">
        <f ca="1"/>
        <v/>
      </c>
      <c r="M180" s="2" t="str">
        <f ca="1"/>
        <v/>
      </c>
      <c r="N180" s="2" t="str">
        <f ca="1"/>
        <v/>
      </c>
      <c r="O180" s="2" t="str">
        <f ca="1"/>
        <v/>
      </c>
      <c r="P180" s="2">
        <f ca="1"/>
        <v>0.11862538343558283</v>
      </c>
      <c r="Q180" s="2">
        <f ca="1"/>
        <v>3.0750998003992058E-2</v>
      </c>
      <c r="R180" s="2">
        <f ca="1"/>
        <v>3.4302642862711293E-3</v>
      </c>
      <c r="S180" s="2">
        <f ca="1"/>
        <v>2.3556594252934625E-2</v>
      </c>
      <c r="T180" s="2">
        <f ca="1"/>
        <v>2.0685931186609292E-2</v>
      </c>
      <c r="U180" s="2">
        <f ca="1"/>
        <v>1.3184840884511882E-2</v>
      </c>
      <c r="V180" s="2">
        <f ca="1"/>
        <v>2.7768325052746096E-2</v>
      </c>
      <c r="W180" s="2">
        <f ca="1"/>
        <v>-8.3572110792749983E-4</v>
      </c>
      <c r="X180" s="2" t="str">
        <f ca="1"/>
        <v/>
      </c>
      <c r="Y180" s="2" t="str">
        <f ca="1"/>
        <v/>
      </c>
      <c r="Z180" s="2" t="str">
        <f ca="1"/>
        <v/>
      </c>
      <c r="AA180" s="2" t="str">
        <f ca="1"/>
        <v/>
      </c>
      <c r="AB180" s="2" t="str">
        <f ca="1"/>
        <v/>
      </c>
      <c r="AC180" s="2" t="str">
        <f ca="1"/>
        <v/>
      </c>
      <c r="AD180" s="2" t="str">
        <f ca="1"/>
        <v/>
      </c>
      <c r="AE180" s="2" t="str">
        <f ca="1"/>
        <v/>
      </c>
      <c r="AF180" s="2" t="str">
        <f ca="1"/>
        <v/>
      </c>
      <c r="AG180" s="26" t="str">
        <f ca="1"/>
        <v/>
      </c>
      <c r="AH180" s="26">
        <f ca="1"/>
        <v>4.0800000000000003E-2</v>
      </c>
    </row>
    <row r="181" spans="1:34">
      <c r="A181" s="5">
        <f ca="1"/>
        <v>34303</v>
      </c>
      <c r="B181" s="2">
        <f ca="1"/>
        <v>-8.7200499559463809E-2</v>
      </c>
      <c r="C181" s="2">
        <f ca="1"/>
        <v>4.4252125874389626E-2</v>
      </c>
      <c r="D181" s="2">
        <f ca="1"/>
        <v>-5.1983482418613156E-2</v>
      </c>
      <c r="E181" s="2">
        <f ca="1"/>
        <v>-8.506839161781474E-3</v>
      </c>
      <c r="F181" s="2">
        <f ca="1"/>
        <v>-9.7888401974538589E-2</v>
      </c>
      <c r="G181" s="2">
        <f ca="1"/>
        <v>-7.6985807971547929E-2</v>
      </c>
      <c r="H181" s="2">
        <f ca="1"/>
        <v>-7.5710594315245461E-2</v>
      </c>
      <c r="I181" s="2" t="str">
        <f ca="1"/>
        <v/>
      </c>
      <c r="J181" s="2" t="str">
        <f ca="1"/>
        <v/>
      </c>
      <c r="K181" s="2">
        <f ca="1"/>
        <v>-3.9179822872545178E-2</v>
      </c>
      <c r="L181" s="2" t="str">
        <f ca="1"/>
        <v/>
      </c>
      <c r="M181" s="2" t="str">
        <f ca="1"/>
        <v/>
      </c>
      <c r="N181" s="2" t="str">
        <f ca="1"/>
        <v/>
      </c>
      <c r="O181" s="2" t="str">
        <f ca="1"/>
        <v/>
      </c>
      <c r="P181" s="2">
        <f ca="1"/>
        <v>6.9368867560735362E-2</v>
      </c>
      <c r="Q181" s="2">
        <f ca="1"/>
        <v>4.4780635400908262E-3</v>
      </c>
      <c r="R181" s="2">
        <f ca="1"/>
        <v>-4.0245513169139983E-2</v>
      </c>
      <c r="S181" s="2">
        <f ca="1"/>
        <v>-1.5048908954100857E-2</v>
      </c>
      <c r="T181" s="2">
        <f ca="1"/>
        <v>-9.5344457783739667E-3</v>
      </c>
      <c r="U181" s="2">
        <f ca="1"/>
        <v>-1.3683230377906926E-2</v>
      </c>
      <c r="V181" s="2">
        <f ca="1"/>
        <v>-6.6882987881596648E-3</v>
      </c>
      <c r="W181" s="2">
        <f ca="1"/>
        <v>-2.0791014458119192E-2</v>
      </c>
      <c r="X181" s="2" t="str">
        <f ca="1"/>
        <v/>
      </c>
      <c r="Y181" s="2" t="str">
        <f ca="1"/>
        <v/>
      </c>
      <c r="Z181" s="2" t="str">
        <f ca="1"/>
        <v/>
      </c>
      <c r="AA181" s="2" t="str">
        <f ca="1"/>
        <v/>
      </c>
      <c r="AB181" s="2" t="str">
        <f ca="1"/>
        <v/>
      </c>
      <c r="AC181" s="2" t="str">
        <f ca="1"/>
        <v/>
      </c>
      <c r="AD181" s="2" t="str">
        <f ca="1"/>
        <v/>
      </c>
      <c r="AE181" s="2" t="str">
        <f ca="1"/>
        <v/>
      </c>
      <c r="AF181" s="2" t="str">
        <f ca="1"/>
        <v/>
      </c>
      <c r="AG181" s="26" t="str">
        <f ca="1"/>
        <v/>
      </c>
      <c r="AH181" s="26">
        <f ca="1"/>
        <v>5.0000000000000001E-4</v>
      </c>
    </row>
    <row r="182" spans="1:34">
      <c r="A182" s="5">
        <f ca="1"/>
        <v>34334</v>
      </c>
      <c r="B182" s="2">
        <f ca="1"/>
        <v>7.2434273481045613E-2</v>
      </c>
      <c r="C182" s="2">
        <f ca="1"/>
        <v>0.16528239202657799</v>
      </c>
      <c r="D182" s="2">
        <f ca="1"/>
        <v>5.4085849597297238E-2</v>
      </c>
      <c r="E182" s="2">
        <f ca="1"/>
        <v>5.419731901663196E-3</v>
      </c>
      <c r="F182" s="2">
        <f ca="1"/>
        <v>5.9136929298327451E-2</v>
      </c>
      <c r="G182" s="2">
        <f ca="1"/>
        <v>8.3034735515960675E-2</v>
      </c>
      <c r="H182" s="2">
        <f ca="1"/>
        <v>9.0089460441710831E-2</v>
      </c>
      <c r="I182" s="2" t="str">
        <f ca="1"/>
        <v/>
      </c>
      <c r="J182" s="2" t="str">
        <f ca="1"/>
        <v/>
      </c>
      <c r="K182" s="2">
        <f ca="1"/>
        <v>6.0548375246301286E-2</v>
      </c>
      <c r="L182" s="2" t="str">
        <f ca="1"/>
        <v/>
      </c>
      <c r="M182" s="2" t="str">
        <f ca="1"/>
        <v/>
      </c>
      <c r="N182" s="2" t="str">
        <f ca="1"/>
        <v/>
      </c>
      <c r="O182" s="2" t="str">
        <f ca="1"/>
        <v/>
      </c>
      <c r="P182" s="2">
        <f ca="1"/>
        <v>0.18563186152736602</v>
      </c>
      <c r="Q182" s="2">
        <f ca="1"/>
        <v>7.2293511657331487E-4</v>
      </c>
      <c r="R182" s="2">
        <f ca="1"/>
        <v>1.6999919048004027E-3</v>
      </c>
      <c r="S182" s="2">
        <f ca="1"/>
        <v>1.7465293327362279E-2</v>
      </c>
      <c r="T182" s="2">
        <f ca="1"/>
        <v>1.2066462875635989E-2</v>
      </c>
      <c r="U182" s="2">
        <f ca="1"/>
        <v>1.8167374710738062E-2</v>
      </c>
      <c r="V182" s="2">
        <f ca="1"/>
        <v>1.7200000000000083E-2</v>
      </c>
      <c r="W182" s="2">
        <f ca="1"/>
        <v>1.909701037217813E-2</v>
      </c>
      <c r="X182" s="2" t="str">
        <f ca="1"/>
        <v/>
      </c>
      <c r="Y182" s="2" t="str">
        <f ca="1"/>
        <v/>
      </c>
      <c r="Z182" s="2" t="str">
        <f ca="1"/>
        <v/>
      </c>
      <c r="AA182" s="2" t="str">
        <f ca="1"/>
        <v/>
      </c>
      <c r="AB182" s="2" t="str">
        <f ca="1"/>
        <v/>
      </c>
      <c r="AC182" s="2" t="str">
        <f ca="1"/>
        <v/>
      </c>
      <c r="AD182" s="2" t="str">
        <f ca="1"/>
        <v/>
      </c>
      <c r="AE182" s="2" t="str">
        <f ca="1"/>
        <v/>
      </c>
      <c r="AF182" s="2" t="str">
        <f ca="1"/>
        <v/>
      </c>
      <c r="AG182" s="26" t="str">
        <f ca="1"/>
        <v/>
      </c>
      <c r="AH182" s="26">
        <f ca="1"/>
        <v>5.9800000000000006E-2</v>
      </c>
    </row>
    <row r="183" spans="1:34">
      <c r="A183" s="5">
        <f ca="1"/>
        <v>34365</v>
      </c>
      <c r="B183" s="2">
        <f ca="1"/>
        <v>8.4760795595495084E-2</v>
      </c>
      <c r="C183" s="2">
        <f ca="1"/>
        <v>1.8206328054789427E-2</v>
      </c>
      <c r="D183" s="2">
        <f ca="1"/>
        <v>6.6317536630036575E-2</v>
      </c>
      <c r="E183" s="2">
        <f ca="1"/>
        <v>1.3501639122646947E-2</v>
      </c>
      <c r="F183" s="2">
        <f ca="1"/>
        <v>7.5374043546883596E-2</v>
      </c>
      <c r="G183" s="2">
        <f ca="1"/>
        <v>9.3361936127141359E-2</v>
      </c>
      <c r="H183" s="2">
        <f ca="1"/>
        <v>3.5711995896646746E-2</v>
      </c>
      <c r="I183" s="2" t="str">
        <f ca="1"/>
        <v/>
      </c>
      <c r="J183" s="2" t="str">
        <f ca="1"/>
        <v/>
      </c>
      <c r="K183" s="2">
        <f ca="1"/>
        <v>5.2840408111852789E-2</v>
      </c>
      <c r="L183" s="2" t="str">
        <f ca="1"/>
        <v/>
      </c>
      <c r="M183" s="2" t="str">
        <f ca="1"/>
        <v/>
      </c>
      <c r="N183" s="2" t="str">
        <f ca="1"/>
        <v/>
      </c>
      <c r="O183" s="2" t="str">
        <f ca="1"/>
        <v/>
      </c>
      <c r="P183" s="2">
        <f ca="1"/>
        <v>-4.2884660876617881E-2</v>
      </c>
      <c r="Q183" s="2">
        <f ca="1"/>
        <v>2.2936608271627076E-2</v>
      </c>
      <c r="R183" s="2">
        <f ca="1"/>
        <v>6.0934216906416733E-2</v>
      </c>
      <c r="S183" s="2">
        <f ca="1"/>
        <v>2.6253106876553401E-2</v>
      </c>
      <c r="T183" s="2">
        <f ca="1"/>
        <v>3.4003322848868894E-2</v>
      </c>
      <c r="U183" s="2">
        <f ca="1"/>
        <v>3.0530207944638559E-2</v>
      </c>
      <c r="V183" s="2">
        <f ca="1"/>
        <v>2.3200943767204035E-2</v>
      </c>
      <c r="W183" s="2">
        <f ca="1"/>
        <v>3.7598036280907625E-2</v>
      </c>
      <c r="X183" s="2" t="str">
        <f ca="1"/>
        <v/>
      </c>
      <c r="Y183" s="2" t="str">
        <f ca="1"/>
        <v/>
      </c>
      <c r="Z183" s="2" t="str">
        <f ca="1"/>
        <v/>
      </c>
      <c r="AA183" s="2" t="str">
        <f ca="1"/>
        <v/>
      </c>
      <c r="AB183" s="2" t="str">
        <f ca="1"/>
        <v/>
      </c>
      <c r="AC183" s="2" t="str">
        <f ca="1"/>
        <v/>
      </c>
      <c r="AD183" s="2" t="str">
        <f ca="1"/>
        <v/>
      </c>
      <c r="AE183" s="2" t="str">
        <f ca="1"/>
        <v/>
      </c>
      <c r="AF183" s="2" t="str">
        <f ca="1"/>
        <v/>
      </c>
      <c r="AG183" s="26" t="str">
        <f ca="1"/>
        <v/>
      </c>
      <c r="AH183" s="26">
        <f ca="1"/>
        <v>-2.63E-2</v>
      </c>
    </row>
    <row r="184" spans="1:34">
      <c r="A184" s="5">
        <f ca="1"/>
        <v>34393</v>
      </c>
      <c r="B184" s="2">
        <f ca="1"/>
        <v>-2.5643446890989473E-3</v>
      </c>
      <c r="C184" s="2">
        <f ca="1"/>
        <v>-1.7789478489796451E-2</v>
      </c>
      <c r="D184" s="2">
        <f ca="1"/>
        <v>-1.4454636701787822E-2</v>
      </c>
      <c r="E184" s="2">
        <f ca="1"/>
        <v>-1.7373326441802624E-2</v>
      </c>
      <c r="F184" s="2">
        <f ca="1"/>
        <v>-7.3778119190822857E-3</v>
      </c>
      <c r="G184" s="2">
        <f ca="1"/>
        <v>1.9136706552076589E-3</v>
      </c>
      <c r="H184" s="2">
        <f ca="1"/>
        <v>-4.1413891296273361E-2</v>
      </c>
      <c r="I184" s="2" t="str">
        <f ca="1"/>
        <v/>
      </c>
      <c r="J184" s="2" t="str">
        <f ca="1"/>
        <v/>
      </c>
      <c r="K184" s="2">
        <f ca="1"/>
        <v>-2.0218938804809451E-2</v>
      </c>
      <c r="L184" s="2" t="str">
        <f ca="1"/>
        <v/>
      </c>
      <c r="M184" s="2" t="str">
        <f ca="1"/>
        <v/>
      </c>
      <c r="N184" s="2" t="str">
        <f ca="1"/>
        <v/>
      </c>
      <c r="O184" s="2" t="str">
        <f ca="1"/>
        <v/>
      </c>
      <c r="P184" s="2">
        <f ca="1"/>
        <v>-7.351175764423433E-2</v>
      </c>
      <c r="Q184" s="2">
        <f ca="1"/>
        <v>-2.3834745762711766E-2</v>
      </c>
      <c r="R184" s="2">
        <f ca="1"/>
        <v>-1.7824497257769679E-2</v>
      </c>
      <c r="S184" s="2">
        <f ca="1"/>
        <v>-3.4260053484030439E-2</v>
      </c>
      <c r="T184" s="2">
        <f ca="1"/>
        <v>-2.7143691075045877E-2</v>
      </c>
      <c r="U184" s="2">
        <f ca="1"/>
        <v>-2.6268145758583297E-2</v>
      </c>
      <c r="V184" s="2">
        <f ca="1"/>
        <v>-1.831924160901879E-2</v>
      </c>
      <c r="W184" s="2">
        <f ca="1"/>
        <v>-3.410074433096761E-2</v>
      </c>
      <c r="X184" s="2" t="str">
        <f ca="1"/>
        <v/>
      </c>
      <c r="Y184" s="2" t="str">
        <f ca="1"/>
        <v/>
      </c>
      <c r="Z184" s="2" t="str">
        <f ca="1"/>
        <v/>
      </c>
      <c r="AA184" s="2" t="str">
        <f ca="1"/>
        <v/>
      </c>
      <c r="AB184" s="2" t="str">
        <f ca="1"/>
        <v/>
      </c>
      <c r="AC184" s="2" t="str">
        <f ca="1"/>
        <v/>
      </c>
      <c r="AD184" s="2" t="str">
        <f ca="1"/>
        <v/>
      </c>
      <c r="AE184" s="2" t="str">
        <f ca="1"/>
        <v/>
      </c>
      <c r="AF184" s="2" t="str">
        <f ca="1"/>
        <v/>
      </c>
      <c r="AG184" s="26" t="str">
        <f ca="1"/>
        <v/>
      </c>
      <c r="AH184" s="26">
        <f ca="1"/>
        <v>2.3999999999999998E-3</v>
      </c>
    </row>
    <row r="185" spans="1:34">
      <c r="A185" s="5">
        <f ca="1"/>
        <v>34424</v>
      </c>
      <c r="B185" s="2">
        <f ca="1"/>
        <v>-4.2858379932509606E-2</v>
      </c>
      <c r="C185" s="2">
        <f ca="1"/>
        <v>-9.0496405552801321E-2</v>
      </c>
      <c r="D185" s="2">
        <f ca="1"/>
        <v>-4.4931214395416467E-2</v>
      </c>
      <c r="E185" s="2">
        <f ca="1"/>
        <v>-2.465428013913629E-2</v>
      </c>
      <c r="F185" s="2">
        <f ca="1"/>
        <v>-4.903890773571911E-2</v>
      </c>
      <c r="G185" s="2">
        <f ca="1"/>
        <v>-3.6652301327357334E-2</v>
      </c>
      <c r="H185" s="2">
        <f ca="1"/>
        <v>-4.746528898934449E-2</v>
      </c>
      <c r="I185" s="2" t="str">
        <f ca="1"/>
        <v/>
      </c>
      <c r="J185" s="2" t="str">
        <f ca="1"/>
        <v/>
      </c>
      <c r="K185" s="2">
        <f ca="1"/>
        <v>-4.5607179925514371E-2</v>
      </c>
      <c r="L185" s="2" t="str">
        <f ca="1"/>
        <v/>
      </c>
      <c r="M185" s="2" t="str">
        <f ca="1"/>
        <v/>
      </c>
      <c r="N185" s="2" t="str">
        <f ca="1"/>
        <v/>
      </c>
      <c r="O185" s="2" t="str">
        <f ca="1"/>
        <v/>
      </c>
      <c r="P185" s="2">
        <f ca="1"/>
        <v>-0.11429115853658531</v>
      </c>
      <c r="Q185" s="2">
        <f ca="1"/>
        <v>-4.3347199614155646E-2</v>
      </c>
      <c r="R185" s="2">
        <f ca="1"/>
        <v>-4.6533271288971625E-2</v>
      </c>
      <c r="S185" s="2">
        <f ca="1"/>
        <v>-3.0877742946708444E-2</v>
      </c>
      <c r="T185" s="2">
        <f ca="1"/>
        <v>-4.3581955198475623E-2</v>
      </c>
      <c r="U185" s="2">
        <f ca="1"/>
        <v>-4.2730130827220131E-2</v>
      </c>
      <c r="V185" s="2">
        <f ca="1"/>
        <v>-4.8349210491974402E-2</v>
      </c>
      <c r="W185" s="2">
        <f ca="1"/>
        <v>-3.7275985663082489E-2</v>
      </c>
      <c r="X185" s="2" t="str">
        <f ca="1"/>
        <v/>
      </c>
      <c r="Y185" s="2" t="str">
        <f ca="1"/>
        <v/>
      </c>
      <c r="Z185" s="2" t="str">
        <f ca="1"/>
        <v/>
      </c>
      <c r="AA185" s="2" t="str">
        <f ca="1"/>
        <v/>
      </c>
      <c r="AB185" s="2" t="str">
        <f ca="1"/>
        <v/>
      </c>
      <c r="AC185" s="2" t="str">
        <f ca="1"/>
        <v/>
      </c>
      <c r="AD185" s="2" t="str">
        <f ca="1"/>
        <v/>
      </c>
      <c r="AE185" s="2" t="str">
        <f ca="1"/>
        <v/>
      </c>
      <c r="AF185" s="2" t="str">
        <f ca="1"/>
        <v/>
      </c>
      <c r="AG185" s="26" t="str">
        <f ca="1"/>
        <v/>
      </c>
      <c r="AH185" s="26">
        <f ca="1"/>
        <v>2.4300000000000002E-2</v>
      </c>
    </row>
    <row r="186" spans="1:34">
      <c r="A186" s="5">
        <f ca="1"/>
        <v>34453</v>
      </c>
      <c r="B186" s="2">
        <f ca="1"/>
        <v>4.265159349308438E-2</v>
      </c>
      <c r="C186" s="2">
        <f ca="1"/>
        <v>-1.9998977905728854E-2</v>
      </c>
      <c r="D186" s="2">
        <f ca="1"/>
        <v>2.7194863255856419E-2</v>
      </c>
      <c r="E186" s="2">
        <f ca="1"/>
        <v>-7.9851083817543429E-3</v>
      </c>
      <c r="F186" s="2">
        <f ca="1"/>
        <v>4.1449831027323553E-2</v>
      </c>
      <c r="G186" s="2">
        <f ca="1"/>
        <v>4.3758656354793334E-2</v>
      </c>
      <c r="H186" s="2">
        <f ca="1"/>
        <v>4.7457627118643294E-3</v>
      </c>
      <c r="I186" s="2" t="str">
        <f ca="1"/>
        <v/>
      </c>
      <c r="J186" s="2" t="str">
        <f ca="1"/>
        <v/>
      </c>
      <c r="K186" s="2">
        <f ca="1"/>
        <v>8.8280450358239216E-3</v>
      </c>
      <c r="L186" s="2" t="str">
        <f ca="1"/>
        <v/>
      </c>
      <c r="M186" s="2" t="str">
        <f ca="1"/>
        <v/>
      </c>
      <c r="N186" s="2" t="str">
        <f ca="1"/>
        <v/>
      </c>
      <c r="O186" s="2" t="str">
        <f ca="1"/>
        <v/>
      </c>
      <c r="P186" s="2">
        <f ca="1"/>
        <v>1.8544813045910255E-2</v>
      </c>
      <c r="Q186" s="2">
        <f ca="1"/>
        <v>9.8311066296949967E-3</v>
      </c>
      <c r="R186" s="2">
        <f ca="1"/>
        <v>-1.1143647307629775E-2</v>
      </c>
      <c r="S186" s="2">
        <f ca="1"/>
        <v>1.2453501536470981E-2</v>
      </c>
      <c r="T186" s="2">
        <f ca="1"/>
        <v>1.2823749875645685E-2</v>
      </c>
      <c r="U186" s="2">
        <f ca="1"/>
        <v>1.2006921637179133E-2</v>
      </c>
      <c r="V186" s="2">
        <f ca="1"/>
        <v>4.5937607130614741E-3</v>
      </c>
      <c r="W186" s="2">
        <f ca="1"/>
        <v>1.9173492181682822E-2</v>
      </c>
      <c r="X186" s="2" t="str">
        <f ca="1"/>
        <v/>
      </c>
      <c r="Y186" s="2" t="str">
        <f ca="1"/>
        <v/>
      </c>
      <c r="Z186" s="2" t="str">
        <f ca="1"/>
        <v/>
      </c>
      <c r="AA186" s="2" t="str">
        <f ca="1"/>
        <v/>
      </c>
      <c r="AB186" s="2" t="str">
        <f ca="1"/>
        <v/>
      </c>
      <c r="AC186" s="2" t="str">
        <f ca="1"/>
        <v/>
      </c>
      <c r="AD186" s="2" t="str">
        <f ca="1"/>
        <v/>
      </c>
      <c r="AE186" s="2" t="str">
        <f ca="1"/>
        <v/>
      </c>
      <c r="AF186" s="2" t="str">
        <f ca="1"/>
        <v/>
      </c>
      <c r="AG186" s="26" t="str">
        <f ca="1"/>
        <v/>
      </c>
      <c r="AH186" s="26">
        <f ca="1"/>
        <v>-3.5699999999999996E-2</v>
      </c>
    </row>
    <row r="187" spans="1:34">
      <c r="A187" s="5">
        <f ca="1"/>
        <v>34485</v>
      </c>
      <c r="B187" s="2">
        <f ca="1"/>
        <v>-5.5282201792626441E-3</v>
      </c>
      <c r="C187" s="2">
        <f ca="1"/>
        <v>3.422621634306186E-2</v>
      </c>
      <c r="D187" s="2">
        <f ca="1"/>
        <v>5.8956437743222139E-3</v>
      </c>
      <c r="E187" s="2">
        <f ca="1"/>
        <v>-1.4029426722557726E-4</v>
      </c>
      <c r="F187" s="2">
        <f ca="1"/>
        <v>-1.1475193951295131E-2</v>
      </c>
      <c r="G187" s="2">
        <f ca="1"/>
        <v>7.680544221418369E-4</v>
      </c>
      <c r="H187" s="2">
        <f ca="1"/>
        <v>1.4170040485830498E-3</v>
      </c>
      <c r="I187" s="2" t="str">
        <f ca="1"/>
        <v/>
      </c>
      <c r="J187" s="2" t="str">
        <f ca="1"/>
        <v/>
      </c>
      <c r="K187" s="2">
        <f ca="1"/>
        <v>1.331642358909336E-2</v>
      </c>
      <c r="L187" s="2" t="str">
        <f ca="1"/>
        <v/>
      </c>
      <c r="M187" s="2" t="str">
        <f ca="1"/>
        <v/>
      </c>
      <c r="N187" s="2" t="str">
        <f ca="1"/>
        <v/>
      </c>
      <c r="O187" s="2" t="str">
        <f ca="1"/>
        <v/>
      </c>
      <c r="P187" s="2">
        <f ca="1"/>
        <v>4.7355525515376855E-2</v>
      </c>
      <c r="Q187" s="2">
        <f ca="1"/>
        <v>1.1982026959560582E-2</v>
      </c>
      <c r="R187" s="2">
        <f ca="1"/>
        <v>1.661594143291939E-2</v>
      </c>
      <c r="S187" s="2">
        <f ca="1"/>
        <v>5.6975505857294632E-3</v>
      </c>
      <c r="T187" s="2">
        <f ca="1"/>
        <v>1.6414700861130147E-2</v>
      </c>
      <c r="U187" s="2">
        <f ca="1"/>
        <v>1.3283549103767502E-2</v>
      </c>
      <c r="V187" s="2">
        <f ca="1"/>
        <v>1.5151515151515143E-2</v>
      </c>
      <c r="W187" s="2">
        <f ca="1"/>
        <v>1.1567732115677356E-2</v>
      </c>
      <c r="X187" s="2" t="str">
        <f ca="1"/>
        <v/>
      </c>
      <c r="Y187" s="2" t="str">
        <f ca="1"/>
        <v/>
      </c>
      <c r="Z187" s="2" t="str">
        <f ca="1"/>
        <v/>
      </c>
      <c r="AA187" s="2" t="str">
        <f ca="1"/>
        <v/>
      </c>
      <c r="AB187" s="2" t="str">
        <f ca="1"/>
        <v/>
      </c>
      <c r="AC187" s="2" t="str">
        <f ca="1"/>
        <v/>
      </c>
      <c r="AD187" s="2" t="str">
        <f ca="1"/>
        <v/>
      </c>
      <c r="AE187" s="2" t="str">
        <f ca="1"/>
        <v/>
      </c>
      <c r="AF187" s="2" t="str">
        <f ca="1"/>
        <v/>
      </c>
      <c r="AG187" s="26" t="str">
        <f ca="1"/>
        <v/>
      </c>
      <c r="AH187" s="26">
        <f ca="1"/>
        <v>2.46E-2</v>
      </c>
    </row>
    <row r="188" spans="1:34">
      <c r="A188" s="5">
        <f ca="1"/>
        <v>34515</v>
      </c>
      <c r="B188" s="2">
        <f ca="1"/>
        <v>1.4356253910615586E-2</v>
      </c>
      <c r="C188" s="2">
        <f ca="1"/>
        <v>-2.7563951729469859E-2</v>
      </c>
      <c r="D188" s="2">
        <f ca="1"/>
        <v>-4.8566461546951933E-3</v>
      </c>
      <c r="E188" s="2">
        <f ca="1"/>
        <v>-2.2099447513811996E-3</v>
      </c>
      <c r="F188" s="2">
        <f ca="1"/>
        <v>9.6719514878876849E-3</v>
      </c>
      <c r="G188" s="2">
        <f ca="1"/>
        <v>1.9388768972487803E-2</v>
      </c>
      <c r="H188" s="2">
        <f ca="1"/>
        <v>-9.7702311165015071E-3</v>
      </c>
      <c r="I188" s="2" t="str">
        <f ca="1"/>
        <v/>
      </c>
      <c r="J188" s="2" t="str">
        <f ca="1"/>
        <v/>
      </c>
      <c r="K188" s="2">
        <f ca="1"/>
        <v>-3.9737171464331623E-3</v>
      </c>
      <c r="L188" s="2" t="str">
        <f ca="1"/>
        <v/>
      </c>
      <c r="M188" s="2" t="str">
        <f ca="1"/>
        <v/>
      </c>
      <c r="N188" s="2" t="str">
        <f ca="1"/>
        <v/>
      </c>
      <c r="O188" s="2" t="str">
        <f ca="1"/>
        <v/>
      </c>
      <c r="P188" s="2">
        <f ca="1"/>
        <v>-4.6827733634493662E-2</v>
      </c>
      <c r="Q188" s="2">
        <f ca="1"/>
        <v>-2.7873704982733172E-2</v>
      </c>
      <c r="R188" s="2">
        <f ca="1"/>
        <v>-3.9485395258516139E-2</v>
      </c>
      <c r="S188" s="2">
        <f ca="1"/>
        <v>-1.6386932810928144E-2</v>
      </c>
      <c r="T188" s="2">
        <f ca="1"/>
        <v>-2.4492871676397531E-2</v>
      </c>
      <c r="U188" s="2">
        <f ca="1"/>
        <v>-2.6769827695062795E-2</v>
      </c>
      <c r="V188" s="2">
        <f ca="1"/>
        <v>-2.9581820626596783E-2</v>
      </c>
      <c r="W188" s="2">
        <f ca="1"/>
        <v>-2.3954258200421418E-2</v>
      </c>
      <c r="X188" s="2" t="str">
        <f ca="1"/>
        <v/>
      </c>
      <c r="Y188" s="2" t="str">
        <f ca="1"/>
        <v/>
      </c>
      <c r="Z188" s="2" t="str">
        <f ca="1"/>
        <v/>
      </c>
      <c r="AA188" s="2" t="str">
        <f ca="1"/>
        <v/>
      </c>
      <c r="AB188" s="2" t="str">
        <f ca="1"/>
        <v/>
      </c>
      <c r="AC188" s="2" t="str">
        <f ca="1"/>
        <v/>
      </c>
      <c r="AD188" s="2" t="str">
        <f ca="1"/>
        <v/>
      </c>
      <c r="AE188" s="2" t="str">
        <f ca="1"/>
        <v/>
      </c>
      <c r="AF188" s="2" t="str">
        <f ca="1"/>
        <v/>
      </c>
      <c r="AG188" s="26" t="str">
        <f ca="1"/>
        <v/>
      </c>
      <c r="AH188" s="26">
        <f ca="1"/>
        <v>5.0000000000000001E-4</v>
      </c>
    </row>
    <row r="189" spans="1:34">
      <c r="A189" s="5">
        <f ca="1"/>
        <v>34544</v>
      </c>
      <c r="B189" s="2">
        <f ca="1"/>
        <v>9.8373968158604035E-3</v>
      </c>
      <c r="C189" s="2">
        <f ca="1"/>
        <v>6.216944934149108E-2</v>
      </c>
      <c r="D189" s="2">
        <f ca="1"/>
        <v>2.2133488617142302E-2</v>
      </c>
      <c r="E189" s="2">
        <f ca="1"/>
        <v>1.9863242454604701E-2</v>
      </c>
      <c r="F189" s="2">
        <f ca="1"/>
        <v>8.9312529705237904E-3</v>
      </c>
      <c r="G189" s="2">
        <f ca="1"/>
        <v>1.0597286314947519E-2</v>
      </c>
      <c r="H189" s="2">
        <f ca="1"/>
        <v>2.4564507348938384E-2</v>
      </c>
      <c r="I189" s="2" t="str">
        <f ca="1"/>
        <v/>
      </c>
      <c r="J189" s="2" t="str">
        <f ca="1"/>
        <v/>
      </c>
      <c r="K189" s="2">
        <f ca="1"/>
        <v>1.9068262494895214E-2</v>
      </c>
      <c r="L189" s="2" t="str">
        <f ca="1"/>
        <v/>
      </c>
      <c r="M189" s="2" t="str">
        <f ca="1"/>
        <v/>
      </c>
      <c r="N189" s="2">
        <f ca="1"/>
        <v>3.4791805833890008E-2</v>
      </c>
      <c r="O189" s="2" t="str">
        <f ca="1"/>
        <v/>
      </c>
      <c r="P189" s="2">
        <f ca="1"/>
        <v>7.3671293161814477E-2</v>
      </c>
      <c r="Q189" s="2">
        <f ca="1"/>
        <v>2.3724942907891459E-2</v>
      </c>
      <c r="R189" s="2">
        <f ca="1"/>
        <v>3.1758065874821079E-2</v>
      </c>
      <c r="S189" s="2">
        <f ca="1"/>
        <v>2.5541649845242924E-2</v>
      </c>
      <c r="T189" s="2">
        <f ca="1"/>
        <v>3.2803661802558143E-2</v>
      </c>
      <c r="U189" s="2">
        <f ca="1"/>
        <v>3.2625234427525136E-2</v>
      </c>
      <c r="V189" s="2">
        <f ca="1"/>
        <v>3.4155466260218974E-2</v>
      </c>
      <c r="W189" s="2">
        <f ca="1"/>
        <v>3.114016155885806E-2</v>
      </c>
      <c r="X189" s="2" t="str">
        <f ca="1"/>
        <v/>
      </c>
      <c r="Y189" s="2" t="str">
        <f ca="1"/>
        <v/>
      </c>
      <c r="Z189" s="2" t="str">
        <f ca="1"/>
        <v/>
      </c>
      <c r="AA189" s="2" t="str">
        <f ca="1"/>
        <v/>
      </c>
      <c r="AB189" s="2" t="str">
        <f ca="1"/>
        <v/>
      </c>
      <c r="AC189" s="2" t="str">
        <f ca="1"/>
        <v/>
      </c>
      <c r="AD189" s="2" t="str">
        <f ca="1"/>
        <v/>
      </c>
      <c r="AE189" s="2" t="str">
        <f ca="1"/>
        <v/>
      </c>
      <c r="AF189" s="2" t="str">
        <f ca="1"/>
        <v/>
      </c>
      <c r="AG189" s="26" t="str">
        <f ca="1"/>
        <v/>
      </c>
      <c r="AH189" s="26">
        <f ca="1"/>
        <v>-1.11E-2</v>
      </c>
    </row>
    <row r="190" spans="1:34">
      <c r="A190" s="5">
        <f ca="1"/>
        <v>34577</v>
      </c>
      <c r="B190" s="2">
        <f ca="1"/>
        <v>2.3895346142897213E-2</v>
      </c>
      <c r="C190" s="2">
        <f ca="1"/>
        <v>0.12412334228297145</v>
      </c>
      <c r="D190" s="2">
        <f ca="1"/>
        <v>3.5620110034399299E-2</v>
      </c>
      <c r="E190" s="2">
        <f ca="1"/>
        <v>1.2409727847772516E-3</v>
      </c>
      <c r="F190" s="2">
        <f ca="1"/>
        <v>2.2863827106260969E-2</v>
      </c>
      <c r="G190" s="2">
        <f ca="1"/>
        <v>2.4667256437033016E-2</v>
      </c>
      <c r="H190" s="2">
        <f ca="1"/>
        <v>4.702131898784627E-2</v>
      </c>
      <c r="I190" s="2" t="str">
        <f ca="1"/>
        <v/>
      </c>
      <c r="J190" s="2" t="str">
        <f ca="1"/>
        <v/>
      </c>
      <c r="K190" s="2">
        <f ca="1"/>
        <v>3.5326757090012442E-2</v>
      </c>
      <c r="L190" s="2" t="str">
        <f ca="1"/>
        <v/>
      </c>
      <c r="M190" s="2" t="str">
        <f ca="1"/>
        <v/>
      </c>
      <c r="N190" s="2">
        <f ca="1"/>
        <v>4.965302060358287E-2</v>
      </c>
      <c r="O190" s="2" t="str">
        <f ca="1"/>
        <v/>
      </c>
      <c r="P190" s="2">
        <f ca="1"/>
        <v>9.5337563551807142E-2</v>
      </c>
      <c r="Q190" s="2">
        <f ca="1"/>
        <v>6.1531788325690957E-2</v>
      </c>
      <c r="R190" s="2">
        <f ca="1"/>
        <v>4.6946440235140323E-2</v>
      </c>
      <c r="S190" s="2">
        <f ca="1"/>
        <v>3.361851774091959E-2</v>
      </c>
      <c r="T190" s="2">
        <f ca="1"/>
        <v>4.0999189913688054E-2</v>
      </c>
      <c r="U190" s="2">
        <f ca="1"/>
        <v>4.2217323266359692E-2</v>
      </c>
      <c r="V190" s="2">
        <f ca="1"/>
        <v>5.5670931868426358E-2</v>
      </c>
      <c r="W190" s="2">
        <f ca="1"/>
        <v>2.8764501853845249E-2</v>
      </c>
      <c r="X190" s="2" t="str">
        <f ca="1"/>
        <v/>
      </c>
      <c r="Y190" s="2" t="str">
        <f ca="1"/>
        <v/>
      </c>
      <c r="Z190" s="2" t="str">
        <f ca="1"/>
        <v/>
      </c>
      <c r="AA190" s="2" t="str">
        <f ca="1"/>
        <v/>
      </c>
      <c r="AB190" s="2" t="str">
        <f ca="1"/>
        <v/>
      </c>
      <c r="AC190" s="2" t="str">
        <f ca="1"/>
        <v/>
      </c>
      <c r="AD190" s="2" t="str">
        <f ca="1"/>
        <v/>
      </c>
      <c r="AE190" s="2" t="str">
        <f ca="1"/>
        <v/>
      </c>
      <c r="AF190" s="2" t="str">
        <f ca="1"/>
        <v/>
      </c>
      <c r="AG190" s="26" t="str">
        <f ca="1"/>
        <v/>
      </c>
      <c r="AH190" s="26">
        <f ca="1"/>
        <v>1.2500000000000001E-2</v>
      </c>
    </row>
    <row r="191" spans="1:34">
      <c r="A191" s="5">
        <f ca="1"/>
        <v>34607</v>
      </c>
      <c r="B191" s="2">
        <f ca="1"/>
        <v>-3.1276402045608935E-2</v>
      </c>
      <c r="C191" s="2">
        <f ca="1"/>
        <v>1.1363142886093407E-2</v>
      </c>
      <c r="D191" s="2">
        <f ca="1"/>
        <v>-2.348182804092816E-2</v>
      </c>
      <c r="E191" s="2">
        <f ca="1"/>
        <v>-1.4718286825842135E-2</v>
      </c>
      <c r="F191" s="2">
        <f ca="1"/>
        <v>-3.3208802091390335E-2</v>
      </c>
      <c r="G191" s="2">
        <f ca="1"/>
        <v>-2.9159458485746366E-2</v>
      </c>
      <c r="H191" s="2">
        <f ca="1"/>
        <v>-2.6641294005708957E-2</v>
      </c>
      <c r="I191" s="2" t="str">
        <f ca="1"/>
        <v/>
      </c>
      <c r="J191" s="2" t="str">
        <f ca="1"/>
        <v/>
      </c>
      <c r="K191" s="2">
        <f ca="1"/>
        <v>-9.4086821890073981E-3</v>
      </c>
      <c r="L191" s="2" t="str">
        <f ca="1"/>
        <v/>
      </c>
      <c r="M191" s="2" t="str">
        <f ca="1"/>
        <v/>
      </c>
      <c r="N191" s="2">
        <f ca="1"/>
        <v>-2.255022550225505E-2</v>
      </c>
      <c r="O191" s="2" t="str">
        <f ca="1"/>
        <v/>
      </c>
      <c r="P191" s="2">
        <f ca="1"/>
        <v>3.5621761658031414E-3</v>
      </c>
      <c r="Q191" s="2">
        <f ca="1"/>
        <v>-6.8297238923589743E-3</v>
      </c>
      <c r="R191" s="2">
        <f ca="1"/>
        <v>-2.9400296342509524E-2</v>
      </c>
      <c r="S191" s="2">
        <f ca="1"/>
        <v>-6.0429097372095867E-3</v>
      </c>
      <c r="T191" s="2">
        <f ca="1"/>
        <v>-2.4477703525064502E-2</v>
      </c>
      <c r="U191" s="2">
        <f ca="1"/>
        <v>-2.3278498076564662E-2</v>
      </c>
      <c r="V191" s="2">
        <f ca="1"/>
        <v>-1.3516943774590836E-2</v>
      </c>
      <c r="W191" s="2">
        <f ca="1"/>
        <v>-3.3133755740277791E-2</v>
      </c>
      <c r="X191" s="2" t="str">
        <f ca="1"/>
        <v/>
      </c>
      <c r="Y191" s="2" t="str">
        <f ca="1"/>
        <v/>
      </c>
      <c r="Z191" s="2" t="str">
        <f ca="1"/>
        <v/>
      </c>
      <c r="AA191" s="2" t="str">
        <f ca="1"/>
        <v/>
      </c>
      <c r="AB191" s="2" t="str">
        <f ca="1"/>
        <v/>
      </c>
      <c r="AC191" s="2" t="str">
        <f ca="1"/>
        <v/>
      </c>
      <c r="AD191" s="2" t="str">
        <f ca="1"/>
        <v/>
      </c>
      <c r="AE191" s="2" t="str">
        <f ca="1"/>
        <v/>
      </c>
      <c r="AF191" s="2" t="str">
        <f ca="1"/>
        <v/>
      </c>
      <c r="AG191" s="26" t="str">
        <f ca="1"/>
        <v/>
      </c>
      <c r="AH191" s="26">
        <f ca="1"/>
        <v>1.6500000000000001E-2</v>
      </c>
    </row>
    <row r="192" spans="1:34">
      <c r="A192" s="5">
        <f ca="1"/>
        <v>34638</v>
      </c>
      <c r="B192" s="2">
        <f ca="1"/>
        <v>3.3533451576932292E-2</v>
      </c>
      <c r="C192" s="2">
        <f ca="1"/>
        <v>-1.80340069845994E-2</v>
      </c>
      <c r="D192" s="2">
        <f ca="1"/>
        <v>2.5629194855919538E-2</v>
      </c>
      <c r="E192" s="2">
        <f ca="1"/>
        <v>-8.9104759242433253E-4</v>
      </c>
      <c r="F192" s="2">
        <f ca="1"/>
        <v>2.8202777097892602E-2</v>
      </c>
      <c r="G192" s="2">
        <f ca="1"/>
        <v>3.8761011651037243E-2</v>
      </c>
      <c r="H192" s="2">
        <f ca="1"/>
        <v>2.9977191267513997E-2</v>
      </c>
      <c r="I192" s="2" t="str">
        <f ca="1"/>
        <v/>
      </c>
      <c r="J192" s="2" t="str">
        <f ca="1"/>
        <v/>
      </c>
      <c r="K192" s="2">
        <f ca="1"/>
        <v>1.7673579801623072E-2</v>
      </c>
      <c r="L192" s="2" t="str">
        <f ca="1"/>
        <v/>
      </c>
      <c r="M192" s="2" t="str">
        <f ca="1"/>
        <v/>
      </c>
      <c r="N192" s="2">
        <f ca="1"/>
        <v>3.0830536912751658E-2</v>
      </c>
      <c r="O192" s="2" t="str">
        <f ca="1"/>
        <v/>
      </c>
      <c r="P192" s="2">
        <f ca="1"/>
        <v>-1.8715714746692577E-2</v>
      </c>
      <c r="Q192" s="2">
        <f ca="1"/>
        <v>3.4383448924415326E-2</v>
      </c>
      <c r="R192" s="2">
        <f ca="1"/>
        <v>1.8479832878033196E-2</v>
      </c>
      <c r="S192" s="2">
        <f ca="1"/>
        <v>5.441029963981903E-3</v>
      </c>
      <c r="T192" s="2">
        <f ca="1"/>
        <v>2.2468335900530486E-2</v>
      </c>
      <c r="U192" s="2">
        <f ca="1"/>
        <v>1.887364086221786E-2</v>
      </c>
      <c r="V192" s="2">
        <f ca="1"/>
        <v>2.3480218719845649E-2</v>
      </c>
      <c r="W192" s="2">
        <f ca="1"/>
        <v>1.394817531413451E-2</v>
      </c>
      <c r="X192" s="2" t="str">
        <f ca="1"/>
        <v/>
      </c>
      <c r="Y192" s="2" t="str">
        <f ca="1"/>
        <v/>
      </c>
      <c r="Z192" s="2" t="str">
        <f ca="1"/>
        <v/>
      </c>
      <c r="AA192" s="2" t="str">
        <f ca="1"/>
        <v/>
      </c>
      <c r="AB192" s="2" t="str">
        <f ca="1"/>
        <v/>
      </c>
      <c r="AC192" s="2" t="str">
        <f ca="1"/>
        <v/>
      </c>
      <c r="AD192" s="2" t="str">
        <f ca="1"/>
        <v/>
      </c>
      <c r="AE192" s="2" t="str">
        <f ca="1"/>
        <v/>
      </c>
      <c r="AF192" s="2" t="str">
        <f ca="1"/>
        <v/>
      </c>
      <c r="AG192" s="26" t="str">
        <f ca="1"/>
        <v/>
      </c>
      <c r="AH192" s="26">
        <f ca="1"/>
        <v>-2.3599999999999999E-2</v>
      </c>
    </row>
    <row r="193" spans="1:34">
      <c r="A193" s="5">
        <f ca="1"/>
        <v>34668</v>
      </c>
      <c r="B193" s="2">
        <f ca="1"/>
        <v>-4.784046490742027E-2</v>
      </c>
      <c r="C193" s="2">
        <f ca="1"/>
        <v>-5.2005597014925464E-2</v>
      </c>
      <c r="D193" s="2">
        <f ca="1"/>
        <v>-4.3428224684305745E-2</v>
      </c>
      <c r="E193" s="2">
        <f ca="1"/>
        <v>-2.2208621141907524E-3</v>
      </c>
      <c r="F193" s="2">
        <f ca="1"/>
        <v>-4.47759391059167E-2</v>
      </c>
      <c r="G193" s="2">
        <f ca="1"/>
        <v>-5.0696954384971148E-2</v>
      </c>
      <c r="H193" s="2">
        <f ca="1"/>
        <v>-5.9791205314773908E-2</v>
      </c>
      <c r="I193" s="2" t="str">
        <f ca="1"/>
        <v/>
      </c>
      <c r="J193" s="2" t="str">
        <f ca="1"/>
        <v/>
      </c>
      <c r="K193" s="2">
        <f ca="1"/>
        <v>-3.541260558804421E-2</v>
      </c>
      <c r="L193" s="2" t="str">
        <f ca="1"/>
        <v/>
      </c>
      <c r="M193" s="2" t="str">
        <f ca="1"/>
        <v/>
      </c>
      <c r="N193" s="2">
        <f ca="1"/>
        <v>-2.7619532044760971E-2</v>
      </c>
      <c r="O193" s="2" t="str">
        <f ca="1"/>
        <v/>
      </c>
      <c r="P193" s="2">
        <f ca="1"/>
        <v>-5.8789140998940316E-2</v>
      </c>
      <c r="Q193" s="2">
        <f ca="1"/>
        <v>-9.3755327007216636E-3</v>
      </c>
      <c r="R193" s="2">
        <f ca="1"/>
        <v>-4.9226885452824311E-2</v>
      </c>
      <c r="S193" s="2">
        <f ca="1"/>
        <v>-3.7017276422764353E-2</v>
      </c>
      <c r="T193" s="2">
        <f ca="1"/>
        <v>-3.6418437209131752E-2</v>
      </c>
      <c r="U193" s="2">
        <f ca="1"/>
        <v>-3.5990793052939889E-2</v>
      </c>
      <c r="V193" s="2">
        <f ca="1"/>
        <v>-3.2055311125078534E-2</v>
      </c>
      <c r="W193" s="2">
        <f ca="1"/>
        <v>-4.0320189742069447E-2</v>
      </c>
      <c r="X193" s="2" t="str">
        <f ca="1"/>
        <v/>
      </c>
      <c r="Y193" s="2" t="str">
        <f ca="1"/>
        <v/>
      </c>
      <c r="Z193" s="2" t="str">
        <f ca="1"/>
        <v/>
      </c>
      <c r="AA193" s="2" t="str">
        <f ca="1"/>
        <v/>
      </c>
      <c r="AB193" s="2" t="str">
        <f ca="1"/>
        <v/>
      </c>
      <c r="AC193" s="2" t="str">
        <f ca="1"/>
        <v/>
      </c>
      <c r="AD193" s="2" t="str">
        <f ca="1"/>
        <v/>
      </c>
      <c r="AE193" s="2" t="str">
        <f ca="1"/>
        <v/>
      </c>
      <c r="AF193" s="2" t="str">
        <f ca="1"/>
        <v/>
      </c>
      <c r="AG193" s="26" t="str">
        <f ca="1"/>
        <v/>
      </c>
      <c r="AH193" s="26">
        <f ca="1"/>
        <v>-1.09E-2</v>
      </c>
    </row>
    <row r="194" spans="1:34">
      <c r="A194" s="5">
        <f ca="1"/>
        <v>34698</v>
      </c>
      <c r="B194" s="2">
        <f ca="1"/>
        <v>6.4958084265547642E-3</v>
      </c>
      <c r="C194" s="2">
        <f ca="1"/>
        <v>-8.0304428044280493E-2</v>
      </c>
      <c r="D194" s="2">
        <f ca="1"/>
        <v>3.4889316650625886E-3</v>
      </c>
      <c r="E194" s="2">
        <f ca="1"/>
        <v>6.9052543026393159E-3</v>
      </c>
      <c r="F194" s="2">
        <f ca="1"/>
        <v>1.3086530142834583E-2</v>
      </c>
      <c r="G194" s="2">
        <f ca="1"/>
        <v>-2.135904555579658E-4</v>
      </c>
      <c r="H194" s="2">
        <f ca="1"/>
        <v>-7.2678331090173902E-3</v>
      </c>
      <c r="I194" s="2" t="str">
        <f ca="1"/>
        <v/>
      </c>
      <c r="J194" s="2" t="str">
        <f ca="1"/>
        <v/>
      </c>
      <c r="K194" s="2">
        <f ca="1"/>
        <v>2.8169876603693191E-3</v>
      </c>
      <c r="L194" s="2" t="str">
        <f ca="1"/>
        <v/>
      </c>
      <c r="M194" s="2" t="str">
        <f ca="1"/>
        <v/>
      </c>
      <c r="N194" s="2">
        <f ca="1"/>
        <v>1.5692838834545767E-3</v>
      </c>
      <c r="O194" s="2" t="str">
        <f ca="1"/>
        <v/>
      </c>
      <c r="P194" s="2">
        <f ca="1"/>
        <v>-8.5248447204969088E-2</v>
      </c>
      <c r="Q194" s="2">
        <f ca="1"/>
        <v>9.4069060456578313E-3</v>
      </c>
      <c r="R194" s="2">
        <f ca="1"/>
        <v>1.7092598738798558E-2</v>
      </c>
      <c r="S194" s="2">
        <f ca="1"/>
        <v>2.1845236524813419E-2</v>
      </c>
      <c r="T194" s="2">
        <f ca="1"/>
        <v>1.4781667105131003E-2</v>
      </c>
      <c r="U194" s="2">
        <f ca="1"/>
        <v>1.4257480036100561E-2</v>
      </c>
      <c r="V194" s="2">
        <f ca="1"/>
        <v>1.6753246753246836E-2</v>
      </c>
      <c r="W194" s="2">
        <f ca="1"/>
        <v>1.161569354340436E-2</v>
      </c>
      <c r="X194" s="2" t="str">
        <f ca="1"/>
        <v/>
      </c>
      <c r="Y194" s="2" t="str">
        <f ca="1"/>
        <v/>
      </c>
      <c r="Z194" s="2" t="str">
        <f ca="1"/>
        <v/>
      </c>
      <c r="AA194" s="2" t="str">
        <f ca="1"/>
        <v/>
      </c>
      <c r="AB194" s="2" t="str">
        <f ca="1"/>
        <v/>
      </c>
      <c r="AC194" s="2" t="str">
        <f ca="1"/>
        <v/>
      </c>
      <c r="AD194" s="2" t="str">
        <f ca="1"/>
        <v/>
      </c>
      <c r="AE194" s="2" t="str">
        <f ca="1"/>
        <v/>
      </c>
      <c r="AF194" s="2" t="str">
        <f ca="1"/>
        <v/>
      </c>
      <c r="AG194" s="26" t="str">
        <f ca="1"/>
        <v/>
      </c>
      <c r="AH194" s="26">
        <f ca="1"/>
        <v>9.7000000000000003E-3</v>
      </c>
    </row>
    <row r="195" spans="1:34">
      <c r="A195" s="5">
        <f ca="1"/>
        <v>34730</v>
      </c>
      <c r="B195" s="2">
        <f ca="1"/>
        <v>-3.8177925250657462E-2</v>
      </c>
      <c r="C195" s="2">
        <f ca="1"/>
        <v>-0.10639115970376313</v>
      </c>
      <c r="D195" s="2">
        <f ca="1"/>
        <v>-2.0348552059378147E-2</v>
      </c>
      <c r="E195" s="2">
        <f ca="1"/>
        <v>1.9790433753394145E-2</v>
      </c>
      <c r="F195" s="2">
        <f ca="1"/>
        <v>-3.8180449747590689E-2</v>
      </c>
      <c r="G195" s="2">
        <f ca="1"/>
        <v>-3.8088262223036129E-2</v>
      </c>
      <c r="H195" s="2">
        <f ca="1"/>
        <v>-2.8877440347071716E-2</v>
      </c>
      <c r="I195" s="2" t="str">
        <f ca="1"/>
        <v/>
      </c>
      <c r="J195" s="2" t="str">
        <f ca="1"/>
        <v/>
      </c>
      <c r="K195" s="2">
        <f ca="1"/>
        <v>-2.0304723519892456E-2</v>
      </c>
      <c r="L195" s="2" t="str">
        <f ca="1"/>
        <v/>
      </c>
      <c r="M195" s="2" t="str">
        <f ca="1"/>
        <v/>
      </c>
      <c r="N195" s="2">
        <f ca="1"/>
        <v>7.8341254504625101E-4</v>
      </c>
      <c r="O195" s="2" t="str">
        <f ca="1"/>
        <v/>
      </c>
      <c r="P195" s="2">
        <f ca="1"/>
        <v>-0.10736717025971816</v>
      </c>
      <c r="Q195" s="2">
        <f ca="1"/>
        <v>3.0855779065802974E-2</v>
      </c>
      <c r="R195" s="2">
        <f ca="1"/>
        <v>1.264480339370205E-2</v>
      </c>
      <c r="S195" s="2">
        <f ca="1"/>
        <v>2.2462626836384267E-2</v>
      </c>
      <c r="T195" s="2">
        <f ca="1"/>
        <v>2.593224458479167E-2</v>
      </c>
      <c r="U195" s="2">
        <f ca="1"/>
        <v>2.5850125589934835E-2</v>
      </c>
      <c r="V195" s="2">
        <f ca="1"/>
        <v>2.139481415250986E-2</v>
      </c>
      <c r="W195" s="2">
        <f ca="1"/>
        <v>3.0782385634886833E-2</v>
      </c>
      <c r="X195" s="2" t="str">
        <f ca="1"/>
        <v/>
      </c>
      <c r="Y195" s="2" t="str">
        <f ca="1"/>
        <v/>
      </c>
      <c r="Z195" s="2" t="str">
        <f ca="1"/>
        <v/>
      </c>
      <c r="AA195" s="2" t="str">
        <f ca="1"/>
        <v/>
      </c>
      <c r="AB195" s="2" t="str">
        <f ca="1"/>
        <v/>
      </c>
      <c r="AC195" s="2" t="str">
        <f ca="1"/>
        <v/>
      </c>
      <c r="AD195" s="2" t="str">
        <f ca="1"/>
        <v/>
      </c>
      <c r="AE195" s="2" t="str">
        <f ca="1"/>
        <v/>
      </c>
      <c r="AF195" s="2" t="str">
        <f ca="1"/>
        <v/>
      </c>
      <c r="AG195" s="26" t="str">
        <f ca="1"/>
        <v/>
      </c>
      <c r="AH195" s="26">
        <f ca="1"/>
        <v>-2.3399999999999997E-2</v>
      </c>
    </row>
    <row r="196" spans="1:34">
      <c r="A196" s="5">
        <f ca="1"/>
        <v>34758</v>
      </c>
      <c r="B196" s="2">
        <f ca="1"/>
        <v>-2.6137758505047283E-3</v>
      </c>
      <c r="C196" s="2">
        <f ca="1"/>
        <v>-2.5648700727741988E-2</v>
      </c>
      <c r="D196" s="2">
        <f ca="1"/>
        <v>1.0680432557518511E-2</v>
      </c>
      <c r="E196" s="2">
        <f ca="1"/>
        <v>2.3775794091041091E-2</v>
      </c>
      <c r="F196" s="2">
        <f ca="1"/>
        <v>-1.5726655459508718E-4</v>
      </c>
      <c r="G196" s="2">
        <f ca="1"/>
        <v>-5.129344078515884E-3</v>
      </c>
      <c r="H196" s="2">
        <f ca="1"/>
        <v>5.5842524082097241E-4</v>
      </c>
      <c r="I196" s="2" t="str">
        <f ca="1"/>
        <v/>
      </c>
      <c r="J196" s="2" t="str">
        <f ca="1"/>
        <v/>
      </c>
      <c r="K196" s="2">
        <f ca="1"/>
        <v>6.2332481456086764E-3</v>
      </c>
      <c r="L196" s="2" t="str">
        <f ca="1"/>
        <v/>
      </c>
      <c r="M196" s="2" t="str">
        <f ca="1"/>
        <v/>
      </c>
      <c r="N196" s="2">
        <f ca="1"/>
        <v>3.3034130049055338E-2</v>
      </c>
      <c r="O196" s="2" t="str">
        <f ca="1"/>
        <v/>
      </c>
      <c r="P196" s="2">
        <f ca="1"/>
        <v>9.1280783493391058E-3</v>
      </c>
      <c r="Q196" s="2">
        <f ca="1"/>
        <v>3.7594399426712936E-2</v>
      </c>
      <c r="R196" s="2">
        <f ca="1"/>
        <v>4.1569322484492036E-2</v>
      </c>
      <c r="S196" s="2">
        <f ca="1"/>
        <v>3.6261710562864612E-2</v>
      </c>
      <c r="T196" s="2">
        <f ca="1"/>
        <v>3.8971387091856373E-2</v>
      </c>
      <c r="U196" s="2">
        <f ca="1"/>
        <v>4.0702270631121314E-2</v>
      </c>
      <c r="V196" s="2">
        <f ca="1"/>
        <v>4.18933283311448E-2</v>
      </c>
      <c r="W196" s="2">
        <f ca="1"/>
        <v>3.9580494163654549E-2</v>
      </c>
      <c r="X196" s="2" t="str">
        <f ca="1"/>
        <v/>
      </c>
      <c r="Y196" s="2" t="str">
        <f ca="1"/>
        <v/>
      </c>
      <c r="Z196" s="2" t="str">
        <f ca="1"/>
        <v/>
      </c>
      <c r="AA196" s="2" t="str">
        <f ca="1"/>
        <v/>
      </c>
      <c r="AB196" s="2" t="str">
        <f ca="1"/>
        <v/>
      </c>
      <c r="AC196" s="2" t="str">
        <f ca="1"/>
        <v/>
      </c>
      <c r="AD196" s="2" t="str">
        <f ca="1"/>
        <v/>
      </c>
      <c r="AE196" s="2" t="str">
        <f ca="1"/>
        <v/>
      </c>
      <c r="AF196" s="2" t="str">
        <f ca="1"/>
        <v/>
      </c>
      <c r="AG196" s="26" t="str">
        <f ca="1"/>
        <v/>
      </c>
      <c r="AH196" s="26">
        <f ca="1"/>
        <v>7.7000000000000002E-3</v>
      </c>
    </row>
    <row r="197" spans="1:34">
      <c r="A197" s="5">
        <f ca="1"/>
        <v>34789</v>
      </c>
      <c r="B197" s="2">
        <f ca="1"/>
        <v>6.2651496135560758E-2</v>
      </c>
      <c r="C197" s="2">
        <f ca="1"/>
        <v>6.3553626972849457E-3</v>
      </c>
      <c r="D197" s="2">
        <f ca="1"/>
        <v>4.5803795517590611E-2</v>
      </c>
      <c r="E197" s="2">
        <f ca="1"/>
        <v>6.1351738854988989E-3</v>
      </c>
      <c r="F197" s="2">
        <f ca="1"/>
        <v>6.3141000189360363E-2</v>
      </c>
      <c r="G197" s="2">
        <f ca="1"/>
        <v>6.2436438500816711E-2</v>
      </c>
      <c r="H197" s="2">
        <f ca="1"/>
        <v>2.6510394865354982E-2</v>
      </c>
      <c r="I197" s="2" t="str">
        <f ca="1"/>
        <v/>
      </c>
      <c r="J197" s="2" t="str">
        <f ca="1"/>
        <v/>
      </c>
      <c r="K197" s="2">
        <f ca="1"/>
        <v>4.1225298891160257E-2</v>
      </c>
      <c r="L197" s="2" t="str">
        <f ca="1"/>
        <v/>
      </c>
      <c r="M197" s="2" t="str">
        <f ca="1"/>
        <v/>
      </c>
      <c r="N197" s="2">
        <f ca="1"/>
        <v>4.0818388481939957E-2</v>
      </c>
      <c r="O197" s="2" t="str">
        <f ca="1"/>
        <v/>
      </c>
      <c r="P197" s="2">
        <f ca="1"/>
        <v>2.7513426929237743E-2</v>
      </c>
      <c r="Q197" s="2">
        <f ca="1"/>
        <v>3.0494607660840511E-2</v>
      </c>
      <c r="R197" s="2">
        <f ca="1"/>
        <v>4.5943228401268459E-2</v>
      </c>
      <c r="S197" s="2">
        <f ca="1"/>
        <v>2.9680532202646409E-2</v>
      </c>
      <c r="T197" s="2">
        <f ca="1"/>
        <v>2.9502432922264465E-2</v>
      </c>
      <c r="U197" s="2">
        <f ca="1"/>
        <v>2.573246257240221E-2</v>
      </c>
      <c r="V197" s="2">
        <f ca="1"/>
        <v>2.9166416611654648E-2</v>
      </c>
      <c r="W197" s="2">
        <f ca="1"/>
        <v>2.2000569962952486E-2</v>
      </c>
      <c r="X197" s="2" t="str">
        <f ca="1"/>
        <v/>
      </c>
      <c r="Y197" s="2" t="str">
        <f ca="1"/>
        <v/>
      </c>
      <c r="Z197" s="2" t="str">
        <f ca="1"/>
        <v/>
      </c>
      <c r="AA197" s="2" t="str">
        <f ca="1"/>
        <v/>
      </c>
      <c r="AB197" s="2" t="str">
        <f ca="1"/>
        <v/>
      </c>
      <c r="AC197" s="2" t="str">
        <f ca="1"/>
        <v/>
      </c>
      <c r="AD197" s="2" t="str">
        <f ca="1"/>
        <v/>
      </c>
      <c r="AE197" s="2" t="str">
        <f ca="1"/>
        <v/>
      </c>
      <c r="AF197" s="2" t="str">
        <f ca="1"/>
        <v/>
      </c>
      <c r="AG197" s="26" t="str">
        <f ca="1"/>
        <v/>
      </c>
      <c r="AH197" s="26">
        <f ca="1"/>
        <v>3.6699999999999997E-2</v>
      </c>
    </row>
    <row r="198" spans="1:34">
      <c r="A198" s="5">
        <f ca="1"/>
        <v>34817</v>
      </c>
      <c r="B198" s="2">
        <f ca="1"/>
        <v>3.7875382521752689E-2</v>
      </c>
      <c r="C198" s="2">
        <f ca="1"/>
        <v>4.4855283994428848E-2</v>
      </c>
      <c r="D198" s="2">
        <f ca="1"/>
        <v>3.6371769906847019E-2</v>
      </c>
      <c r="E198" s="2">
        <f ca="1"/>
        <v>1.3968516984258411E-2</v>
      </c>
      <c r="F198" s="2">
        <f ca="1"/>
        <v>4.4452392546212707E-2</v>
      </c>
      <c r="G198" s="2">
        <f ca="1"/>
        <v>3.1224672894702574E-2</v>
      </c>
      <c r="H198" s="2">
        <f ca="1"/>
        <v>5.7904036971591764E-2</v>
      </c>
      <c r="I198" s="2" t="str">
        <f ca="1"/>
        <v/>
      </c>
      <c r="J198" s="2" t="str">
        <f ca="1"/>
        <v/>
      </c>
      <c r="K198" s="2">
        <f ca="1"/>
        <v>2.4273433084451224E-2</v>
      </c>
      <c r="L198" s="2" t="str">
        <f ca="1"/>
        <v/>
      </c>
      <c r="M198" s="2" t="str">
        <f ca="1"/>
        <v/>
      </c>
      <c r="N198" s="2">
        <f ca="1"/>
        <v>2.664660486336946E-2</v>
      </c>
      <c r="O198" s="2" t="str">
        <f ca="1"/>
        <v/>
      </c>
      <c r="P198" s="2">
        <f ca="1"/>
        <v>1.9486474094452085E-2</v>
      </c>
      <c r="Q198" s="2">
        <f ca="1"/>
        <v>3.294323864515139E-2</v>
      </c>
      <c r="R198" s="2">
        <f ca="1"/>
        <v>4.3111735561635826E-2</v>
      </c>
      <c r="S198" s="2">
        <f ca="1"/>
        <v>2.7144716601585541E-2</v>
      </c>
      <c r="T198" s="2">
        <f ca="1"/>
        <v>2.9446048437802165E-2</v>
      </c>
      <c r="U198" s="2">
        <f ca="1"/>
        <v>2.6568060726995874E-2</v>
      </c>
      <c r="V198" s="2">
        <f ca="1"/>
        <v>2.1867164266137967E-2</v>
      </c>
      <c r="W198" s="2">
        <f ca="1"/>
        <v>3.1621214656181958E-2</v>
      </c>
      <c r="X198" s="2" t="str">
        <f ca="1"/>
        <v/>
      </c>
      <c r="Y198" s="2" t="str">
        <f ca="1"/>
        <v/>
      </c>
      <c r="Z198" s="2" t="str">
        <f ca="1"/>
        <v/>
      </c>
      <c r="AA198" s="2" t="str">
        <f ca="1"/>
        <v/>
      </c>
      <c r="AB198" s="2" t="str">
        <f ca="1"/>
        <v/>
      </c>
      <c r="AC198" s="2" t="str">
        <f ca="1"/>
        <v/>
      </c>
      <c r="AD198" s="2" t="str">
        <f ca="1"/>
        <v/>
      </c>
      <c r="AE198" s="2" t="str">
        <f ca="1"/>
        <v/>
      </c>
      <c r="AF198" s="2" t="str">
        <f ca="1"/>
        <v/>
      </c>
      <c r="AG198" s="26" t="str">
        <f ca="1"/>
        <v/>
      </c>
      <c r="AH198" s="26">
        <f ca="1"/>
        <v>-9.3999999999999986E-3</v>
      </c>
    </row>
    <row r="199" spans="1:34">
      <c r="A199" s="5">
        <f ca="1"/>
        <v>34850</v>
      </c>
      <c r="B199" s="2">
        <f ca="1"/>
        <v>-1.1662789260909464E-2</v>
      </c>
      <c r="C199" s="2">
        <f ca="1"/>
        <v>5.3191877875976915E-2</v>
      </c>
      <c r="D199" s="2">
        <f ca="1"/>
        <v>1.1039960187080134E-2</v>
      </c>
      <c r="E199" s="2">
        <f ca="1"/>
        <v>3.8697236612030894E-2</v>
      </c>
      <c r="F199" s="2">
        <f ca="1"/>
        <v>-1.1279963692874727E-2</v>
      </c>
      <c r="G199" s="2">
        <f ca="1"/>
        <v>-1.210586405079089E-2</v>
      </c>
      <c r="H199" s="2">
        <f ca="1"/>
        <v>2.923037389181557E-2</v>
      </c>
      <c r="I199" s="2" t="str">
        <f ca="1"/>
        <v/>
      </c>
      <c r="J199" s="2" t="str">
        <f ca="1"/>
        <v/>
      </c>
      <c r="K199" s="2">
        <f ca="1"/>
        <v>2.4249992739523198E-2</v>
      </c>
      <c r="L199" s="2" t="str">
        <f ca="1"/>
        <v/>
      </c>
      <c r="M199" s="2" t="str">
        <f ca="1"/>
        <v/>
      </c>
      <c r="N199" s="2">
        <f ca="1"/>
        <v>3.8861573373676239E-2</v>
      </c>
      <c r="O199" s="2" t="str">
        <f ca="1"/>
        <v/>
      </c>
      <c r="P199" s="2">
        <f ca="1"/>
        <v>7.303800314818984E-2</v>
      </c>
      <c r="Q199" s="2">
        <f ca="1"/>
        <v>4.0527051307646111E-2</v>
      </c>
      <c r="R199" s="2">
        <f ca="1"/>
        <v>3.7289096838224803E-2</v>
      </c>
      <c r="S199" s="2">
        <f ca="1"/>
        <v>3.3892447352656646E-2</v>
      </c>
      <c r="T199" s="2">
        <f ca="1"/>
        <v>3.9946708584717106E-2</v>
      </c>
      <c r="U199" s="2">
        <f ca="1"/>
        <v>3.8394869996493101E-2</v>
      </c>
      <c r="V199" s="2">
        <f ca="1"/>
        <v>3.4809404245605989E-2</v>
      </c>
      <c r="W199" s="2">
        <f ca="1"/>
        <v>4.2004541031462922E-2</v>
      </c>
      <c r="X199" s="2" t="str">
        <f ca="1"/>
        <v/>
      </c>
      <c r="Y199" s="2" t="str">
        <f ca="1"/>
        <v/>
      </c>
      <c r="Z199" s="2" t="str">
        <f ca="1"/>
        <v/>
      </c>
      <c r="AA199" s="2" t="str">
        <f ca="1"/>
        <v/>
      </c>
      <c r="AB199" s="2" t="str">
        <f ca="1"/>
        <v/>
      </c>
      <c r="AC199" s="2" t="str">
        <f ca="1"/>
        <v/>
      </c>
      <c r="AD199" s="2" t="str">
        <f ca="1"/>
        <v/>
      </c>
      <c r="AE199" s="2" t="str">
        <f ca="1"/>
        <v/>
      </c>
      <c r="AF199" s="2" t="str">
        <f ca="1"/>
        <v/>
      </c>
      <c r="AG199" s="26" t="str">
        <f ca="1"/>
        <v/>
      </c>
      <c r="AH199" s="26">
        <f ca="1"/>
        <v>-8.8000000000000005E-3</v>
      </c>
    </row>
    <row r="200" spans="1:34">
      <c r="A200" s="5">
        <f ca="1"/>
        <v>34880</v>
      </c>
      <c r="B200" s="2">
        <f ca="1"/>
        <v>-1.7271215786014107E-2</v>
      </c>
      <c r="C200" s="2">
        <f ca="1"/>
        <v>2.9647866567263145E-3</v>
      </c>
      <c r="D200" s="2">
        <f ca="1"/>
        <v>2.2100002511369517E-4</v>
      </c>
      <c r="E200" s="2">
        <f ca="1"/>
        <v>7.3315397806830726E-3</v>
      </c>
      <c r="F200" s="2">
        <f ca="1"/>
        <v>-2.0522221974940493E-2</v>
      </c>
      <c r="G200" s="2">
        <f ca="1"/>
        <v>-1.3655441551043404E-2</v>
      </c>
      <c r="H200" s="2">
        <f ca="1"/>
        <v>2.5341738967605033E-2</v>
      </c>
      <c r="I200" s="2" t="str">
        <f ca="1"/>
        <v/>
      </c>
      <c r="J200" s="2" t="str">
        <f ca="1"/>
        <v/>
      </c>
      <c r="K200" s="2">
        <f ca="1"/>
        <v>2.7503686061017647E-3</v>
      </c>
      <c r="L200" s="2" t="str">
        <f ca="1"/>
        <v/>
      </c>
      <c r="M200" s="2" t="str">
        <f ca="1"/>
        <v/>
      </c>
      <c r="N200" s="2">
        <f ca="1"/>
        <v>3.1446254664603608E-2</v>
      </c>
      <c r="O200" s="2" t="str">
        <f ca="1"/>
        <v/>
      </c>
      <c r="P200" s="2">
        <f ca="1"/>
        <v>-5.0714615029968059E-3</v>
      </c>
      <c r="Q200" s="2">
        <f ca="1"/>
        <v>4.6431312356101338E-2</v>
      </c>
      <c r="R200" s="2">
        <f ca="1"/>
        <v>3.7862219792236335E-2</v>
      </c>
      <c r="S200" s="2">
        <f ca="1"/>
        <v>1.3794486662358205E-2</v>
      </c>
      <c r="T200" s="2">
        <f ca="1"/>
        <v>2.3222700143491919E-2</v>
      </c>
      <c r="U200" s="2">
        <f ca="1"/>
        <v>2.6471240966064437E-2</v>
      </c>
      <c r="V200" s="2">
        <f ca="1"/>
        <v>3.859600749972425E-2</v>
      </c>
      <c r="W200" s="2">
        <f ca="1"/>
        <v>1.354604409857323E-2</v>
      </c>
      <c r="X200" s="2" t="str">
        <f ca="1"/>
        <v/>
      </c>
      <c r="Y200" s="2" t="str">
        <f ca="1"/>
        <v/>
      </c>
      <c r="Z200" s="2" t="str">
        <f ca="1"/>
        <v/>
      </c>
      <c r="AA200" s="2" t="str">
        <f ca="1"/>
        <v/>
      </c>
      <c r="AB200" s="2" t="str">
        <f ca="1"/>
        <v/>
      </c>
      <c r="AC200" s="2" t="str">
        <f ca="1"/>
        <v/>
      </c>
      <c r="AD200" s="2" t="str">
        <f ca="1"/>
        <v/>
      </c>
      <c r="AE200" s="2" t="str">
        <f ca="1"/>
        <v/>
      </c>
      <c r="AF200" s="2" t="str">
        <f ca="1"/>
        <v/>
      </c>
      <c r="AG200" s="26" t="str">
        <f ca="1"/>
        <v/>
      </c>
      <c r="AH200" s="26">
        <f ca="1"/>
        <v>1.2999999999999999E-3</v>
      </c>
    </row>
    <row r="201" spans="1:34">
      <c r="A201" s="5">
        <f ca="1"/>
        <v>34911</v>
      </c>
      <c r="B201" s="2">
        <f ca="1"/>
        <v>6.2528279566272868E-2</v>
      </c>
      <c r="C201" s="2">
        <f ca="1"/>
        <v>2.24381136772231E-2</v>
      </c>
      <c r="D201" s="2">
        <f ca="1"/>
        <v>4.8383290063724285E-2</v>
      </c>
      <c r="E201" s="2">
        <f ca="1"/>
        <v>-2.2334327705498462E-3</v>
      </c>
      <c r="F201" s="2">
        <f ca="1"/>
        <v>6.3967854535952717E-2</v>
      </c>
      <c r="G201" s="2">
        <f ca="1"/>
        <v>6.094431997344623E-2</v>
      </c>
      <c r="H201" s="2">
        <f ca="1"/>
        <v>3.7803615998051862E-2</v>
      </c>
      <c r="I201" s="2" t="str">
        <f ca="1"/>
        <v/>
      </c>
      <c r="J201" s="2" t="str">
        <f ca="1"/>
        <v/>
      </c>
      <c r="K201" s="2">
        <f ca="1"/>
        <v>2.6014421037749317E-2</v>
      </c>
      <c r="L201" s="2" t="str">
        <f ca="1"/>
        <v/>
      </c>
      <c r="M201" s="2" t="str">
        <f ca="1"/>
        <v/>
      </c>
      <c r="N201" s="2">
        <f ca="1"/>
        <v>3.4017207147584418E-2</v>
      </c>
      <c r="O201" s="2" t="str">
        <f ca="1"/>
        <v/>
      </c>
      <c r="P201" s="2">
        <f ca="1"/>
        <v>2.3422360771758372E-2</v>
      </c>
      <c r="Q201" s="2">
        <f ca="1"/>
        <v>3.1628162816281655E-2</v>
      </c>
      <c r="R201" s="2">
        <f ca="1"/>
        <v>3.5361517186882498E-2</v>
      </c>
      <c r="S201" s="2">
        <f ca="1"/>
        <v>3.1829772267651373E-2</v>
      </c>
      <c r="T201" s="2">
        <f ca="1"/>
        <v>3.3160186900830592E-2</v>
      </c>
      <c r="U201" s="2">
        <f ca="1"/>
        <v>3.8212866279878473E-2</v>
      </c>
      <c r="V201" s="2">
        <f ca="1"/>
        <v>4.1558041616446932E-2</v>
      </c>
      <c r="W201" s="2">
        <f ca="1"/>
        <v>3.4812475366117167E-2</v>
      </c>
      <c r="X201" s="2" t="str">
        <f ca="1"/>
        <v/>
      </c>
      <c r="Y201" s="2" t="str">
        <f ca="1"/>
        <v/>
      </c>
      <c r="Z201" s="2" t="str">
        <f ca="1"/>
        <v/>
      </c>
      <c r="AA201" s="2" t="str">
        <f ca="1"/>
        <v/>
      </c>
      <c r="AB201" s="2" t="str">
        <f ca="1"/>
        <v/>
      </c>
      <c r="AC201" s="2" t="str">
        <f ca="1"/>
        <v/>
      </c>
      <c r="AD201" s="2" t="str">
        <f ca="1"/>
        <v/>
      </c>
      <c r="AE201" s="2" t="str">
        <f ca="1"/>
        <v/>
      </c>
      <c r="AF201" s="2" t="str">
        <f ca="1"/>
        <v/>
      </c>
      <c r="AG201" s="26" t="str">
        <f ca="1"/>
        <v/>
      </c>
      <c r="AH201" s="26">
        <f ca="1"/>
        <v>-8.6E-3</v>
      </c>
    </row>
    <row r="202" spans="1:34">
      <c r="A202" s="5">
        <f ca="1"/>
        <v>34942</v>
      </c>
      <c r="B202" s="2">
        <f ca="1"/>
        <v>-3.7903555626141262E-2</v>
      </c>
      <c r="C202" s="2">
        <f ca="1"/>
        <v>-2.3551888546985533E-2</v>
      </c>
      <c r="D202" s="2">
        <f ca="1"/>
        <v>-2.1894488777338163E-2</v>
      </c>
      <c r="E202" s="2">
        <f ca="1"/>
        <v>1.2068749608665585E-2</v>
      </c>
      <c r="F202" s="2">
        <f ca="1"/>
        <v>-4.1886312203983159E-2</v>
      </c>
      <c r="G202" s="2">
        <f ca="1"/>
        <v>-3.3822848490157591E-2</v>
      </c>
      <c r="H202" s="2">
        <f ca="1"/>
        <v>-7.2735804786484091E-3</v>
      </c>
      <c r="I202" s="2" t="str">
        <f ca="1"/>
        <v/>
      </c>
      <c r="J202" s="2" t="str">
        <f ca="1"/>
        <v/>
      </c>
      <c r="K202" s="2">
        <f ca="1"/>
        <v>-1.124431583298895E-2</v>
      </c>
      <c r="L202" s="2" t="str">
        <f ca="1"/>
        <v/>
      </c>
      <c r="M202" s="2" t="str">
        <f ca="1"/>
        <v/>
      </c>
      <c r="N202" s="2">
        <f ca="1"/>
        <v>-1.2843488649940345E-2</v>
      </c>
      <c r="O202" s="2" t="str">
        <f ca="1"/>
        <v/>
      </c>
      <c r="P202" s="2">
        <f ca="1"/>
        <v>-6.1290853708734619E-2</v>
      </c>
      <c r="Q202" s="2">
        <f ca="1"/>
        <v>-6.3982937883231041E-3</v>
      </c>
      <c r="R202" s="2">
        <f ca="1"/>
        <v>-5.9785028302486668E-3</v>
      </c>
      <c r="S202" s="2">
        <f ca="1"/>
        <v>6.1567959096720136E-3</v>
      </c>
      <c r="T202" s="2">
        <f ca="1"/>
        <v>2.4842500142757216E-3</v>
      </c>
      <c r="U202" s="2">
        <f ca="1"/>
        <v>7.5322217745403489E-3</v>
      </c>
      <c r="V202" s="2">
        <f ca="1"/>
        <v>1.0909127983442526E-3</v>
      </c>
      <c r="W202" s="2">
        <f ca="1"/>
        <v>1.4132230587350737E-2</v>
      </c>
      <c r="X202" s="2" t="str">
        <f ca="1"/>
        <v/>
      </c>
      <c r="Y202" s="2" t="str">
        <f ca="1"/>
        <v/>
      </c>
      <c r="Z202" s="2" t="str">
        <f ca="1"/>
        <v/>
      </c>
      <c r="AA202" s="2" t="str">
        <f ca="1"/>
        <v/>
      </c>
      <c r="AB202" s="2" t="str">
        <f ca="1"/>
        <v/>
      </c>
      <c r="AC202" s="2" t="str">
        <f ca="1"/>
        <v/>
      </c>
      <c r="AD202" s="2" t="str">
        <f ca="1"/>
        <v/>
      </c>
      <c r="AE202" s="2" t="str">
        <f ca="1"/>
        <v/>
      </c>
      <c r="AF202" s="2" t="str">
        <f ca="1"/>
        <v/>
      </c>
      <c r="AG202" s="26" t="str">
        <f ca="1"/>
        <v/>
      </c>
      <c r="AH202" s="26">
        <f ca="1"/>
        <v>5.0000000000000001E-3</v>
      </c>
    </row>
    <row r="203" spans="1:34">
      <c r="A203" s="5">
        <f ca="1"/>
        <v>34971</v>
      </c>
      <c r="B203" s="2">
        <f ca="1"/>
        <v>1.9790149828831129E-2</v>
      </c>
      <c r="C203" s="2">
        <f ca="1"/>
        <v>-4.7443422852492673E-3</v>
      </c>
      <c r="D203" s="2">
        <f ca="1"/>
        <v>2.7511838709519423E-2</v>
      </c>
      <c r="E203" s="2">
        <f ca="1"/>
        <v>9.7285592761581895E-3</v>
      </c>
      <c r="F203" s="2">
        <f ca="1"/>
        <v>2.3067230490508607E-2</v>
      </c>
      <c r="G203" s="2">
        <f ca="1"/>
        <v>1.749858334007932E-2</v>
      </c>
      <c r="H203" s="2">
        <f ca="1"/>
        <v>4.5615693689435112E-2</v>
      </c>
      <c r="I203" s="2" t="str">
        <f ca="1"/>
        <v/>
      </c>
      <c r="J203" s="2" t="str">
        <f ca="1"/>
        <v/>
      </c>
      <c r="K203" s="2">
        <f ca="1"/>
        <v>1.7643615686930462E-2</v>
      </c>
      <c r="L203" s="2" t="str">
        <f ca="1"/>
        <v/>
      </c>
      <c r="M203" s="2" t="str">
        <f ca="1"/>
        <v/>
      </c>
      <c r="N203" s="2">
        <f ca="1"/>
        <v>3.7821482602118005E-2</v>
      </c>
      <c r="O203" s="2" t="str">
        <f ca="1"/>
        <v/>
      </c>
      <c r="P203" s="2">
        <f ca="1"/>
        <v>-2.4687568515676495E-2</v>
      </c>
      <c r="Q203" s="2">
        <f ca="1"/>
        <v>4.5210625167695133E-2</v>
      </c>
      <c r="R203" s="2">
        <f ca="1"/>
        <v>4.7539829803570334E-2</v>
      </c>
      <c r="S203" s="2">
        <f ca="1"/>
        <v>3.7963962819454161E-2</v>
      </c>
      <c r="T203" s="2">
        <f ca="1"/>
        <v>4.220484030852506E-2</v>
      </c>
      <c r="U203" s="2">
        <f ca="1"/>
        <v>4.116379426550229E-2</v>
      </c>
      <c r="V203" s="2">
        <f ca="1"/>
        <v>4.6099399124147046E-2</v>
      </c>
      <c r="W203" s="2">
        <f ca="1"/>
        <v>3.6162502012008581E-2</v>
      </c>
      <c r="X203" s="2" t="str">
        <f ca="1"/>
        <v/>
      </c>
      <c r="Y203" s="2" t="str">
        <f ca="1"/>
        <v/>
      </c>
      <c r="Z203" s="2" t="str">
        <f ca="1"/>
        <v/>
      </c>
      <c r="AA203" s="2" t="str">
        <f ca="1"/>
        <v/>
      </c>
      <c r="AB203" s="2" t="str">
        <f ca="1"/>
        <v/>
      </c>
      <c r="AC203" s="2" t="str">
        <f ca="1"/>
        <v/>
      </c>
      <c r="AD203" s="2" t="str">
        <f ca="1"/>
        <v/>
      </c>
      <c r="AE203" s="2" t="str">
        <f ca="1"/>
        <v/>
      </c>
      <c r="AF203" s="2" t="str">
        <f ca="1"/>
        <v/>
      </c>
      <c r="AG203" s="26" t="str">
        <f ca="1"/>
        <v/>
      </c>
      <c r="AH203" s="26">
        <f ca="1"/>
        <v>-1E-3</v>
      </c>
    </row>
    <row r="204" spans="1:34">
      <c r="A204" s="5">
        <f ca="1"/>
        <v>35003</v>
      </c>
      <c r="B204" s="2">
        <f ca="1"/>
        <v>-2.6623629598286715E-2</v>
      </c>
      <c r="C204" s="2">
        <f ca="1"/>
        <v>-3.8274848205431554E-2</v>
      </c>
      <c r="D204" s="2">
        <f ca="1"/>
        <v>-1.6714246905695833E-2</v>
      </c>
      <c r="E204" s="2">
        <f ca="1"/>
        <v>1.3004717848171081E-2</v>
      </c>
      <c r="F204" s="2">
        <f ca="1"/>
        <v>-2.6828205529721726E-2</v>
      </c>
      <c r="G204" s="2">
        <f ca="1"/>
        <v>-2.6391580662510409E-2</v>
      </c>
      <c r="H204" s="2">
        <f ca="1"/>
        <v>1.096292947558769E-2</v>
      </c>
      <c r="I204" s="2" t="str">
        <f ca="1"/>
        <v/>
      </c>
      <c r="J204" s="2" t="str">
        <f ca="1"/>
        <v/>
      </c>
      <c r="K204" s="2">
        <f ca="1"/>
        <v>-7.3130649137223107E-3</v>
      </c>
      <c r="L204" s="2" t="str">
        <f ca="1"/>
        <v/>
      </c>
      <c r="M204" s="2" t="str">
        <f ca="1"/>
        <v/>
      </c>
      <c r="N204" s="2">
        <f ca="1"/>
        <v>1.0995418575593564E-2</v>
      </c>
      <c r="O204" s="2" t="str">
        <f ca="1"/>
        <v/>
      </c>
      <c r="P204" s="2">
        <f ca="1"/>
        <v>-2.0231993525762073E-2</v>
      </c>
      <c r="Q204" s="2">
        <f ca="1"/>
        <v>2.1135498224447002E-2</v>
      </c>
      <c r="R204" s="2">
        <f ca="1"/>
        <v>2.8402150012216014E-2</v>
      </c>
      <c r="S204" s="2">
        <f ca="1"/>
        <v>1.4483293215290676E-3</v>
      </c>
      <c r="T204" s="2">
        <f ca="1"/>
        <v>-3.5848003828398067E-3</v>
      </c>
      <c r="U204" s="2">
        <f ca="1"/>
        <v>-4.5512610264288279E-3</v>
      </c>
      <c r="V204" s="2">
        <f ca="1"/>
        <v>6.9122292913015879E-4</v>
      </c>
      <c r="W204" s="2">
        <f ca="1"/>
        <v>-9.9278360706668949E-3</v>
      </c>
      <c r="X204" s="2" t="str">
        <f ca="1"/>
        <v/>
      </c>
      <c r="Y204" s="2" t="str">
        <f ca="1"/>
        <v/>
      </c>
      <c r="Z204" s="2" t="str">
        <f ca="1"/>
        <v/>
      </c>
      <c r="AA204" s="2" t="str">
        <f ca="1"/>
        <v/>
      </c>
      <c r="AB204" s="2" t="str">
        <f ca="1"/>
        <v/>
      </c>
      <c r="AC204" s="2" t="str">
        <f ca="1"/>
        <v/>
      </c>
      <c r="AD204" s="2" t="str">
        <f ca="1"/>
        <v/>
      </c>
      <c r="AE204" s="2" t="str">
        <f ca="1"/>
        <v/>
      </c>
      <c r="AF204" s="2" t="str">
        <f ca="1"/>
        <v/>
      </c>
      <c r="AG204" s="26" t="str">
        <f ca="1"/>
        <v/>
      </c>
      <c r="AH204" s="26">
        <f ca="1"/>
        <v>1.2999999999999999E-3</v>
      </c>
    </row>
    <row r="205" spans="1:34">
      <c r="A205" s="5">
        <f ca="1"/>
        <v>35033</v>
      </c>
      <c r="B205" s="2">
        <f ca="1"/>
        <v>2.8085100149755168E-2</v>
      </c>
      <c r="C205" s="2">
        <f ca="1"/>
        <v>-1.78367915483276E-2</v>
      </c>
      <c r="D205" s="2">
        <f ca="1"/>
        <v>3.1456905493568103E-2</v>
      </c>
      <c r="E205" s="2">
        <f ca="1"/>
        <v>1.4984954561262861E-2</v>
      </c>
      <c r="F205" s="2">
        <f ca="1"/>
        <v>2.7737103719431739E-2</v>
      </c>
      <c r="G205" s="2">
        <f ca="1"/>
        <v>2.8639976988651183E-2</v>
      </c>
      <c r="H205" s="2">
        <f ca="1"/>
        <v>3.1581889323644523E-2</v>
      </c>
      <c r="I205" s="2" t="str">
        <f ca="1"/>
        <v/>
      </c>
      <c r="J205" s="2" t="str">
        <f ca="1"/>
        <v/>
      </c>
      <c r="K205" s="2">
        <f ca="1"/>
        <v>9.0500234528046036E-3</v>
      </c>
      <c r="L205" s="2" t="str">
        <f ca="1"/>
        <v/>
      </c>
      <c r="M205" s="2" t="str">
        <f ca="1"/>
        <v/>
      </c>
      <c r="N205" s="2">
        <f ca="1"/>
        <v>1.9362280629480054E-2</v>
      </c>
      <c r="O205" s="2" t="str">
        <f ca="1"/>
        <v/>
      </c>
      <c r="P205" s="2">
        <f ca="1"/>
        <v>-6.1169236417033708E-2</v>
      </c>
      <c r="Q205" s="2">
        <f ca="1"/>
        <v>3.4440859764528424E-2</v>
      </c>
      <c r="R205" s="2">
        <f ca="1"/>
        <v>2.8449248678505623E-2</v>
      </c>
      <c r="S205" s="2">
        <f ca="1"/>
        <v>5.1188560487238383E-2</v>
      </c>
      <c r="T205" s="2">
        <f ca="1"/>
        <v>4.3873662916731185E-2</v>
      </c>
      <c r="U205" s="2">
        <f ca="1"/>
        <v>4.4602174442711313E-2</v>
      </c>
      <c r="V205" s="2">
        <f ca="1"/>
        <v>3.8866593700595933E-2</v>
      </c>
      <c r="W205" s="2">
        <f ca="1"/>
        <v>5.064567048934019E-2</v>
      </c>
      <c r="X205" s="2" t="str">
        <f ca="1"/>
        <v/>
      </c>
      <c r="Y205" s="2" t="str">
        <f ca="1"/>
        <v/>
      </c>
      <c r="Z205" s="2" t="str">
        <f ca="1"/>
        <v/>
      </c>
      <c r="AA205" s="2" t="str">
        <f ca="1"/>
        <v/>
      </c>
      <c r="AB205" s="2" t="str">
        <f ca="1"/>
        <v/>
      </c>
      <c r="AC205" s="2" t="str">
        <f ca="1"/>
        <v/>
      </c>
      <c r="AD205" s="2" t="str">
        <f ca="1"/>
        <v/>
      </c>
      <c r="AE205" s="2" t="str">
        <f ca="1"/>
        <v/>
      </c>
      <c r="AF205" s="2" t="str">
        <f ca="1"/>
        <v/>
      </c>
      <c r="AG205" s="26" t="str">
        <f ca="1"/>
        <v/>
      </c>
      <c r="AH205" s="26">
        <f ca="1"/>
        <v>7.4999999999999997E-3</v>
      </c>
    </row>
    <row r="206" spans="1:34">
      <c r="A206" s="5">
        <f ca="1"/>
        <v>35062</v>
      </c>
      <c r="B206" s="2">
        <f ca="1"/>
        <v>4.0545812724483377E-2</v>
      </c>
      <c r="C206" s="2">
        <f ca="1"/>
        <v>4.4351942239331116E-2</v>
      </c>
      <c r="D206" s="2">
        <f ca="1"/>
        <v>3.011221593579062E-2</v>
      </c>
      <c r="E206" s="2">
        <f ca="1"/>
        <v>1.4033728621655382E-2</v>
      </c>
      <c r="F206" s="2">
        <f ca="1"/>
        <v>3.50332736114667E-2</v>
      </c>
      <c r="G206" s="2">
        <f ca="1"/>
        <v>4.6492192514728387E-2</v>
      </c>
      <c r="H206" s="2">
        <f ca="1"/>
        <v>1.7447846112164718E-2</v>
      </c>
      <c r="I206" s="2" t="str">
        <f ca="1"/>
        <v/>
      </c>
      <c r="J206" s="2" t="str">
        <f ca="1"/>
        <v/>
      </c>
      <c r="K206" s="2">
        <f ca="1"/>
        <v>4.5254436575428651E-2</v>
      </c>
      <c r="L206" s="2" t="str">
        <f ca="1"/>
        <v/>
      </c>
      <c r="M206" s="2" t="str">
        <f ca="1"/>
        <v/>
      </c>
      <c r="N206" s="2">
        <f ca="1"/>
        <v>8.3252505657937376E-3</v>
      </c>
      <c r="O206" s="2" t="str">
        <f ca="1"/>
        <v/>
      </c>
      <c r="P206" s="2">
        <f ca="1"/>
        <v>4.8438340094823777E-2</v>
      </c>
      <c r="Q206" s="2">
        <f ca="1"/>
        <v>-1.2556199117014616E-3</v>
      </c>
      <c r="R206" s="2">
        <f ca="1"/>
        <v>9.0090090090090228E-3</v>
      </c>
      <c r="S206" s="2">
        <f ca="1"/>
        <v>2.6644188660233308E-2</v>
      </c>
      <c r="T206" s="2">
        <f ca="1"/>
        <v>1.9220455769822602E-2</v>
      </c>
      <c r="U206" s="2">
        <f ca="1"/>
        <v>1.5241374330045937E-2</v>
      </c>
      <c r="V206" s="2">
        <f ca="1"/>
        <v>5.7312761922599185E-3</v>
      </c>
      <c r="W206" s="2">
        <f ca="1"/>
        <v>2.5133951198320192E-2</v>
      </c>
      <c r="X206" s="2" t="str">
        <f ca="1"/>
        <v/>
      </c>
      <c r="Y206" s="2" t="str">
        <f ca="1"/>
        <v/>
      </c>
      <c r="Z206" s="2" t="str">
        <f ca="1"/>
        <v/>
      </c>
      <c r="AA206" s="2" t="str">
        <f ca="1"/>
        <v/>
      </c>
      <c r="AB206" s="2" t="str">
        <f ca="1"/>
        <v/>
      </c>
      <c r="AC206" s="2" t="str">
        <f ca="1"/>
        <v/>
      </c>
      <c r="AD206" s="2" t="str">
        <f ca="1"/>
        <v/>
      </c>
      <c r="AE206" s="2" t="str">
        <f ca="1"/>
        <v/>
      </c>
      <c r="AF206" s="2" t="str">
        <f ca="1"/>
        <v/>
      </c>
      <c r="AG206" s="26" t="str">
        <f ca="1"/>
        <v/>
      </c>
      <c r="AH206" s="26">
        <f ca="1"/>
        <v>2.3E-3</v>
      </c>
    </row>
    <row r="207" spans="1:34">
      <c r="A207" s="5">
        <f ca="1"/>
        <v>35095</v>
      </c>
      <c r="B207" s="2">
        <f ca="1"/>
        <v>4.3434170953030099E-3</v>
      </c>
      <c r="C207" s="2">
        <f ca="1"/>
        <v>7.1074584222500403E-2</v>
      </c>
      <c r="D207" s="2">
        <f ca="1"/>
        <v>2.2229622465923488E-2</v>
      </c>
      <c r="E207" s="2">
        <f ca="1"/>
        <v>6.6406135221696331E-3</v>
      </c>
      <c r="F207" s="2">
        <f ca="1"/>
        <v>8.6747951492173936E-4</v>
      </c>
      <c r="G207" s="2">
        <f ca="1"/>
        <v>7.7308709527554621E-3</v>
      </c>
      <c r="H207" s="2">
        <f ca="1"/>
        <v>2.6575065239388511E-2</v>
      </c>
      <c r="I207" s="2" t="str">
        <f ca="1"/>
        <v/>
      </c>
      <c r="J207" s="2" t="str">
        <f ca="1"/>
        <v/>
      </c>
      <c r="K207" s="2">
        <f ca="1"/>
        <v>2.0274158949406169E-2</v>
      </c>
      <c r="L207" s="2" t="str">
        <f ca="1"/>
        <v/>
      </c>
      <c r="M207" s="2" t="str">
        <f ca="1"/>
        <v/>
      </c>
      <c r="N207" s="2">
        <f ca="1"/>
        <v>3.2304609218436885E-2</v>
      </c>
      <c r="O207" s="2" t="str">
        <f ca="1"/>
        <v/>
      </c>
      <c r="P207" s="2">
        <f ca="1"/>
        <v>3.7202797202797157E-2</v>
      </c>
      <c r="Q207" s="2">
        <f ca="1"/>
        <v>3.9094817097899318E-2</v>
      </c>
      <c r="R207" s="2">
        <f ca="1"/>
        <v>4.8878205128205086E-2</v>
      </c>
      <c r="S207" s="2">
        <f ca="1"/>
        <v>3.6352654725279078E-2</v>
      </c>
      <c r="T207" s="2">
        <f ca="1"/>
        <v>3.397380328898382E-2</v>
      </c>
      <c r="U207" s="2">
        <f ca="1"/>
        <v>3.2325818876322562E-2</v>
      </c>
      <c r="V207" s="2">
        <f ca="1"/>
        <v>3.3451433732639951E-2</v>
      </c>
      <c r="W207" s="2">
        <f ca="1"/>
        <v>3.1157021145102163E-2</v>
      </c>
      <c r="X207" s="2" t="str">
        <f ca="1"/>
        <v/>
      </c>
      <c r="Y207" s="2" t="str">
        <f ca="1"/>
        <v/>
      </c>
      <c r="Z207" s="2" t="str">
        <f ca="1"/>
        <v/>
      </c>
      <c r="AA207" s="2" t="str">
        <f ca="1"/>
        <v/>
      </c>
      <c r="AB207" s="2" t="str">
        <f ca="1"/>
        <v/>
      </c>
      <c r="AC207" s="2" t="str">
        <f ca="1"/>
        <v/>
      </c>
      <c r="AD207" s="2" t="str">
        <f ca="1"/>
        <v/>
      </c>
      <c r="AE207" s="2" t="str">
        <f ca="1"/>
        <v/>
      </c>
      <c r="AF207" s="2" t="str">
        <f ca="1"/>
        <v/>
      </c>
      <c r="AG207" s="26" t="str">
        <f ca="1"/>
        <v/>
      </c>
      <c r="AH207" s="26">
        <f ca="1"/>
        <v>4.5100000000000001E-2</v>
      </c>
    </row>
    <row r="208" spans="1:34">
      <c r="A208" s="5">
        <f ca="1"/>
        <v>35124</v>
      </c>
      <c r="B208" s="2">
        <f ca="1"/>
        <v>3.6297247672577872E-3</v>
      </c>
      <c r="C208" s="2">
        <f ca="1"/>
        <v>-1.5889743294198972E-2</v>
      </c>
      <c r="D208" s="2">
        <f ca="1"/>
        <v>4.1635986344467175E-3</v>
      </c>
      <c r="E208" s="2">
        <f ca="1"/>
        <v>-1.7382293703844202E-2</v>
      </c>
      <c r="F208" s="2">
        <f ca="1"/>
        <v>3.6259311243935074E-3</v>
      </c>
      <c r="G208" s="2">
        <f ca="1"/>
        <v>3.6790960451977511E-3</v>
      </c>
      <c r="H208" s="2">
        <f ca="1"/>
        <v>1.219132600124519E-2</v>
      </c>
      <c r="I208" s="2" t="str">
        <f ca="1"/>
        <v/>
      </c>
      <c r="J208" s="2" t="str">
        <f ca="1"/>
        <v/>
      </c>
      <c r="K208" s="2">
        <f ca="1"/>
        <v>-2.7178790287428591E-3</v>
      </c>
      <c r="L208" s="2" t="str">
        <f ca="1"/>
        <v/>
      </c>
      <c r="M208" s="2" t="str">
        <f ca="1"/>
        <v/>
      </c>
      <c r="N208" s="2">
        <f ca="1"/>
        <v>1.8325826991768792E-2</v>
      </c>
      <c r="O208" s="2" t="str">
        <f ca="1"/>
        <v/>
      </c>
      <c r="P208" s="2">
        <f ca="1"/>
        <v>4.6296296296296349E-2</v>
      </c>
      <c r="Q208" s="2">
        <f ca="1"/>
        <v>1.619701818749503E-2</v>
      </c>
      <c r="R208" s="2">
        <f ca="1"/>
        <v>1.7625231910946296E-2</v>
      </c>
      <c r="S208" s="2">
        <f ca="1"/>
        <v>-3.3511209863952354E-3</v>
      </c>
      <c r="T208" s="2">
        <f ca="1"/>
        <v>9.2598088709289397E-3</v>
      </c>
      <c r="U208" s="2">
        <f ca="1"/>
        <v>1.3013138272217051E-2</v>
      </c>
      <c r="V208" s="2">
        <f ca="1"/>
        <v>1.8290430410768839E-2</v>
      </c>
      <c r="W208" s="2">
        <f ca="1"/>
        <v>7.5646009212801861E-3</v>
      </c>
      <c r="X208" s="2" t="str">
        <f ca="1"/>
        <v/>
      </c>
      <c r="Y208" s="2" t="str">
        <f ca="1"/>
        <v/>
      </c>
      <c r="Z208" s="2" t="str">
        <f ca="1"/>
        <v/>
      </c>
      <c r="AA208" s="2" t="str">
        <f ca="1"/>
        <v/>
      </c>
      <c r="AB208" s="2" t="str">
        <f ca="1"/>
        <v/>
      </c>
      <c r="AC208" s="2" t="str">
        <f ca="1"/>
        <v/>
      </c>
      <c r="AD208" s="2" t="str">
        <f ca="1"/>
        <v/>
      </c>
      <c r="AE208" s="2" t="str">
        <f ca="1"/>
        <v/>
      </c>
      <c r="AF208" s="2" t="str">
        <f ca="1"/>
        <v/>
      </c>
      <c r="AG208" s="26" t="str">
        <f ca="1"/>
        <v/>
      </c>
      <c r="AH208" s="26">
        <f ca="1"/>
        <v>-1.0800000000000001E-2</v>
      </c>
    </row>
    <row r="209" spans="1:34">
      <c r="A209" s="5">
        <f ca="1"/>
        <v>35153</v>
      </c>
      <c r="B209" s="2">
        <f ca="1"/>
        <v>2.1489429283172792E-2</v>
      </c>
      <c r="C209" s="2">
        <f ca="1"/>
        <v>7.7803433390221492E-3</v>
      </c>
      <c r="D209" s="2">
        <f ca="1"/>
        <v>1.539432400963478E-2</v>
      </c>
      <c r="E209" s="2">
        <f ca="1"/>
        <v>-6.9511488704382344E-3</v>
      </c>
      <c r="F209" s="2">
        <f ca="1"/>
        <v>2.4204267043095907E-2</v>
      </c>
      <c r="G209" s="2">
        <f ca="1"/>
        <v>1.899452410116002E-2</v>
      </c>
      <c r="H209" s="2">
        <f ca="1"/>
        <v>1.050689354722968E-2</v>
      </c>
      <c r="I209" s="2" t="str">
        <f ca="1"/>
        <v/>
      </c>
      <c r="J209" s="2" t="str">
        <f ca="1"/>
        <v/>
      </c>
      <c r="K209" s="2">
        <f ca="1"/>
        <v>1.7740069417662881E-3</v>
      </c>
      <c r="L209" s="2" t="str">
        <f ca="1"/>
        <v/>
      </c>
      <c r="M209" s="2" t="str">
        <f ca="1"/>
        <v/>
      </c>
      <c r="N209" s="2">
        <f ca="1"/>
        <v>2.0207411926186883E-3</v>
      </c>
      <c r="O209" s="2" t="str">
        <f ca="1"/>
        <v/>
      </c>
      <c r="P209" s="2">
        <f ca="1"/>
        <v>2.0835123292379045E-2</v>
      </c>
      <c r="Q209" s="2">
        <f ca="1"/>
        <v>-4.2631639589815022E-3</v>
      </c>
      <c r="R209" s="2">
        <f ca="1"/>
        <v>-1.1260657407904334E-3</v>
      </c>
      <c r="S209" s="2">
        <f ca="1"/>
        <v>1.0215083237395669E-2</v>
      </c>
      <c r="T209" s="2">
        <f ca="1"/>
        <v>9.6241079270676499E-3</v>
      </c>
      <c r="U209" s="2">
        <f ca="1"/>
        <v>8.9611423228294039E-3</v>
      </c>
      <c r="V209" s="2">
        <f ca="1"/>
        <v>1.282992824088502E-3</v>
      </c>
      <c r="W209" s="2">
        <f ca="1"/>
        <v>1.6999851288479126E-2</v>
      </c>
      <c r="X209" s="2" t="str">
        <f ca="1"/>
        <v/>
      </c>
      <c r="Y209" s="2" t="str">
        <f ca="1"/>
        <v/>
      </c>
      <c r="Z209" s="2" t="str">
        <f ca="1"/>
        <v/>
      </c>
      <c r="AA209" s="2" t="str">
        <f ca="1"/>
        <v/>
      </c>
      <c r="AB209" s="2" t="str">
        <f ca="1"/>
        <v/>
      </c>
      <c r="AC209" s="2" t="str">
        <f ca="1"/>
        <v/>
      </c>
      <c r="AD209" s="2" t="str">
        <f ca="1"/>
        <v/>
      </c>
      <c r="AE209" s="2" t="str">
        <f ca="1"/>
        <v/>
      </c>
      <c r="AF209" s="2" t="str">
        <f ca="1"/>
        <v/>
      </c>
      <c r="AG209" s="26" t="str">
        <f ca="1"/>
        <v/>
      </c>
      <c r="AH209" s="26">
        <f ca="1"/>
        <v>-1.3500000000000002E-2</v>
      </c>
    </row>
    <row r="210" spans="1:34">
      <c r="A210" s="5">
        <f ca="1"/>
        <v>35185</v>
      </c>
      <c r="B210" s="2">
        <f ca="1"/>
        <v>2.9319538418995587E-2</v>
      </c>
      <c r="C210" s="2">
        <f ca="1"/>
        <v>3.9979412594843257E-2</v>
      </c>
      <c r="D210" s="2">
        <f ca="1"/>
        <v>2.4417678416680563E-2</v>
      </c>
      <c r="E210" s="2">
        <f ca="1"/>
        <v>-5.6237754079480565E-3</v>
      </c>
      <c r="F210" s="2">
        <f ca="1"/>
        <v>2.4388513215478899E-2</v>
      </c>
      <c r="G210" s="2">
        <f ca="1"/>
        <v>3.3954681916075223E-2</v>
      </c>
      <c r="H210" s="2">
        <f ca="1"/>
        <v>1.3491580442280365E-2</v>
      </c>
      <c r="I210" s="2" t="str">
        <f ca="1"/>
        <v/>
      </c>
      <c r="J210" s="2" t="str">
        <f ca="1"/>
        <v/>
      </c>
      <c r="K210" s="2">
        <f ca="1"/>
        <v>2.3303562262601482E-2</v>
      </c>
      <c r="L210" s="2" t="str">
        <f ca="1"/>
        <v/>
      </c>
      <c r="M210" s="2" t="str">
        <f ca="1"/>
        <v/>
      </c>
      <c r="N210" s="2">
        <f ca="1"/>
        <v>2.0547163349948546E-2</v>
      </c>
      <c r="O210" s="2" t="str">
        <f ca="1"/>
        <v/>
      </c>
      <c r="P210" s="2">
        <f ca="1"/>
        <v>2.8363422126835874E-2</v>
      </c>
      <c r="Q210" s="2">
        <f ca="1"/>
        <v>2.8735632183908004E-2</v>
      </c>
      <c r="R210" s="2">
        <f ca="1"/>
        <v>1.8466824135709672E-2</v>
      </c>
      <c r="S210" s="2">
        <f ca="1"/>
        <v>1.6099272819362293E-3</v>
      </c>
      <c r="T210" s="2">
        <f ca="1"/>
        <v>1.4710671712709775E-2</v>
      </c>
      <c r="U210" s="2">
        <f ca="1"/>
        <v>1.5231608473972079E-2</v>
      </c>
      <c r="V210" s="2">
        <f ca="1"/>
        <v>2.6307417684381589E-2</v>
      </c>
      <c r="W210" s="2">
        <f ca="1"/>
        <v>3.8436471197714536E-3</v>
      </c>
      <c r="X210" s="2" t="str">
        <f ca="1"/>
        <v/>
      </c>
      <c r="Y210" s="2" t="str">
        <f ca="1"/>
        <v/>
      </c>
      <c r="Z210" s="2" t="str">
        <f ca="1"/>
        <v/>
      </c>
      <c r="AA210" s="2" t="str">
        <f ca="1"/>
        <v/>
      </c>
      <c r="AB210" s="2" t="str">
        <f ca="1"/>
        <v/>
      </c>
      <c r="AC210" s="2" t="str">
        <f ca="1"/>
        <v/>
      </c>
      <c r="AD210" s="2" t="str">
        <f ca="1"/>
        <v/>
      </c>
      <c r="AE210" s="2" t="str">
        <f ca="1"/>
        <v/>
      </c>
      <c r="AF210" s="2" t="str">
        <f ca="1"/>
        <v/>
      </c>
      <c r="AG210" s="26" t="str">
        <f ca="1"/>
        <v/>
      </c>
      <c r="AH210" s="26">
        <f ca="1"/>
        <v>-5.7999999999999996E-3</v>
      </c>
    </row>
    <row r="211" spans="1:34">
      <c r="A211" s="5">
        <f ca="1"/>
        <v>35216</v>
      </c>
      <c r="B211" s="2">
        <f ca="1"/>
        <v>-1.8163115791905608E-2</v>
      </c>
      <c r="C211" s="2">
        <f ca="1"/>
        <v>-4.4540940947332556E-3</v>
      </c>
      <c r="D211" s="2">
        <f ca="1"/>
        <v>1.0339185084229762E-3</v>
      </c>
      <c r="E211" s="2">
        <f ca="1"/>
        <v>-2.0305942872614392E-3</v>
      </c>
      <c r="F211" s="2">
        <f ca="1"/>
        <v>-2.0678297585014955E-2</v>
      </c>
      <c r="G211" s="2">
        <f ca="1"/>
        <v>-1.5808609822537817E-2</v>
      </c>
      <c r="H211" s="2">
        <f ca="1"/>
        <v>1.986788109298368E-2</v>
      </c>
      <c r="I211" s="2" t="str">
        <f ca="1"/>
        <v/>
      </c>
      <c r="J211" s="2" t="str">
        <f ca="1"/>
        <v/>
      </c>
      <c r="K211" s="2">
        <f ca="1"/>
        <v>6.2700642054574639E-4</v>
      </c>
      <c r="L211" s="2" t="str">
        <f ca="1"/>
        <v/>
      </c>
      <c r="M211" s="2" t="str">
        <f ca="1"/>
        <v/>
      </c>
      <c r="N211" s="2">
        <f ca="1"/>
        <v>2.9529100331829598E-2</v>
      </c>
      <c r="O211" s="2" t="str">
        <f ca="1"/>
        <v/>
      </c>
      <c r="P211" s="2">
        <f ca="1"/>
        <v>-2.2179481933134248E-2</v>
      </c>
      <c r="Q211" s="2">
        <f ca="1"/>
        <v>4.0080986839638552E-2</v>
      </c>
      <c r="R211" s="2">
        <f ca="1"/>
        <v>4.0638836179633188E-2</v>
      </c>
      <c r="S211" s="2">
        <f ca="1"/>
        <v>1.6777735637788668E-2</v>
      </c>
      <c r="T211" s="2">
        <f ca="1"/>
        <v>2.5718881631603883E-2</v>
      </c>
      <c r="U211" s="2">
        <f ca="1"/>
        <v>2.4036843314402472E-2</v>
      </c>
      <c r="V211" s="2">
        <f ca="1"/>
        <v>3.4945194981875247E-2</v>
      </c>
      <c r="W211" s="2">
        <f ca="1"/>
        <v>1.2506450914781315E-2</v>
      </c>
      <c r="X211" s="2" t="str">
        <f ca="1"/>
        <v/>
      </c>
      <c r="Y211" s="2" t="str">
        <f ca="1"/>
        <v/>
      </c>
      <c r="Z211" s="2" t="str">
        <f ca="1"/>
        <v/>
      </c>
      <c r="AA211" s="2" t="str">
        <f ca="1"/>
        <v/>
      </c>
      <c r="AB211" s="2" t="str">
        <f ca="1"/>
        <v/>
      </c>
      <c r="AC211" s="2" t="str">
        <f ca="1"/>
        <v/>
      </c>
      <c r="AD211" s="2" t="str">
        <f ca="1"/>
        <v/>
      </c>
      <c r="AE211" s="2" t="str">
        <f ca="1"/>
        <v/>
      </c>
      <c r="AF211" s="2" t="str">
        <f ca="1"/>
        <v/>
      </c>
      <c r="AG211" s="26" t="str">
        <f ca="1"/>
        <v/>
      </c>
      <c r="AH211" s="26">
        <f ca="1"/>
        <v>-6.6E-3</v>
      </c>
    </row>
    <row r="212" spans="1:34">
      <c r="A212" s="5">
        <f ca="1"/>
        <v>35244</v>
      </c>
      <c r="B212" s="2">
        <f ca="1"/>
        <v>5.8730121256897073E-3</v>
      </c>
      <c r="C212" s="2">
        <f ca="1"/>
        <v>6.2379730596536023E-3</v>
      </c>
      <c r="D212" s="2">
        <f ca="1"/>
        <v>5.4843514594349911E-3</v>
      </c>
      <c r="E212" s="2">
        <f ca="1"/>
        <v>1.3429191535539833E-2</v>
      </c>
      <c r="F212" s="2">
        <f ca="1"/>
        <v>3.6914148001964504E-3</v>
      </c>
      <c r="G212" s="2">
        <f ca="1"/>
        <v>1.0584829183555283E-2</v>
      </c>
      <c r="H212" s="2">
        <f ca="1"/>
        <v>1.7959664360370955E-2</v>
      </c>
      <c r="I212" s="2" t="str">
        <f ca="1"/>
        <v/>
      </c>
      <c r="J212" s="2" t="str">
        <f ca="1"/>
        <v/>
      </c>
      <c r="K212" s="2">
        <f ca="1"/>
        <v>8.0457177231370268E-3</v>
      </c>
      <c r="L212" s="2" t="str">
        <f ca="1"/>
        <v/>
      </c>
      <c r="M212" s="2" t="str">
        <f ca="1"/>
        <v/>
      </c>
      <c r="N212" s="2">
        <f ca="1"/>
        <v>1.1516314779270658E-2</v>
      </c>
      <c r="O212" s="2" t="str">
        <f ca="1"/>
        <v/>
      </c>
      <c r="P212" s="2">
        <f ca="1"/>
        <v>2.3184766687591632E-2</v>
      </c>
      <c r="Q212" s="2">
        <f ca="1"/>
        <v>1.2292718096611482E-2</v>
      </c>
      <c r="R212" s="2">
        <f ca="1"/>
        <v>1.4384845261611727E-2</v>
      </c>
      <c r="S212" s="2">
        <f ca="1"/>
        <v>3.9786856127886489E-3</v>
      </c>
      <c r="T212" s="2">
        <f ca="1"/>
        <v>3.7980574518904067E-3</v>
      </c>
      <c r="U212" s="2">
        <f ca="1"/>
        <v>1.0956331194240303E-3</v>
      </c>
      <c r="V212" s="2">
        <f ca="1"/>
        <v>1.3561014164187835E-3</v>
      </c>
      <c r="W212" s="2">
        <f ca="1"/>
        <v>8.1798414179481277E-4</v>
      </c>
      <c r="X212" s="2" t="str">
        <f ca="1"/>
        <v/>
      </c>
      <c r="Y212" s="2" t="str">
        <f ca="1"/>
        <v/>
      </c>
      <c r="Z212" s="2" t="str">
        <f ca="1"/>
        <v/>
      </c>
      <c r="AA212" s="2" t="str">
        <f ca="1"/>
        <v/>
      </c>
      <c r="AB212" s="2" t="str">
        <f ca="1"/>
        <v/>
      </c>
      <c r="AC212" s="2" t="str">
        <f ca="1"/>
        <v/>
      </c>
      <c r="AD212" s="2" t="str">
        <f ca="1"/>
        <v/>
      </c>
      <c r="AE212" s="2" t="str">
        <f ca="1"/>
        <v/>
      </c>
      <c r="AF212" s="2" t="str">
        <f ca="1"/>
        <v/>
      </c>
      <c r="AG212" s="26" t="str">
        <f ca="1"/>
        <v/>
      </c>
      <c r="AH212" s="26">
        <f ca="1"/>
        <v>-2.3799999999999998E-2</v>
      </c>
    </row>
    <row r="213" spans="1:34">
      <c r="A213" s="5">
        <f ca="1"/>
        <v>35277</v>
      </c>
      <c r="B213" s="2">
        <f ca="1"/>
        <v>-2.897737154043729E-2</v>
      </c>
      <c r="C213" s="2">
        <f ca="1"/>
        <v>-6.8335750370523821E-2</v>
      </c>
      <c r="D213" s="2">
        <f ca="1"/>
        <v>-3.7349100972884894E-2</v>
      </c>
      <c r="E213" s="2">
        <f ca="1"/>
        <v>2.7365070866610624E-3</v>
      </c>
      <c r="F213" s="2">
        <f ca="1"/>
        <v>-3.2182514237100779E-2</v>
      </c>
      <c r="G213" s="2">
        <f ca="1"/>
        <v>-2.5832531169783665E-2</v>
      </c>
      <c r="H213" s="2">
        <f ca="1"/>
        <v>-3.6828151361773857E-2</v>
      </c>
      <c r="I213" s="2" t="str">
        <f ca="1"/>
        <v/>
      </c>
      <c r="J213" s="2" t="str">
        <f ca="1"/>
        <v/>
      </c>
      <c r="K213" s="2">
        <f ca="1"/>
        <v>-4.0653438758764787E-2</v>
      </c>
      <c r="L213" s="2" t="str">
        <f ca="1"/>
        <v/>
      </c>
      <c r="M213" s="2" t="str">
        <f ca="1"/>
        <v/>
      </c>
      <c r="N213" s="2">
        <f ca="1"/>
        <v>-3.0754358955998626E-2</v>
      </c>
      <c r="O213" s="2" t="str">
        <f ca="1"/>
        <v/>
      </c>
      <c r="P213" s="2">
        <f ca="1"/>
        <v>-6.2047527506237536E-2</v>
      </c>
      <c r="Q213" s="2">
        <f ca="1"/>
        <v>-3.247747587336635E-2</v>
      </c>
      <c r="R213" s="2">
        <f ca="1"/>
        <v>-3.889748839067269E-2</v>
      </c>
      <c r="S213" s="2">
        <f ca="1"/>
        <v>-3.9505342863208621E-2</v>
      </c>
      <c r="T213" s="2">
        <f ca="1"/>
        <v>-4.4204665918465544E-2</v>
      </c>
      <c r="U213" s="2">
        <f ca="1"/>
        <v>-4.824443848834107E-2</v>
      </c>
      <c r="V213" s="2">
        <f ca="1"/>
        <v>-5.8590650587194357E-2</v>
      </c>
      <c r="W213" s="2">
        <f ca="1"/>
        <v>-3.7793658616724159E-2</v>
      </c>
      <c r="X213" s="2" t="str">
        <f ca="1"/>
        <v/>
      </c>
      <c r="Y213" s="2" t="str">
        <f ca="1"/>
        <v/>
      </c>
      <c r="Z213" s="2" t="str">
        <f ca="1"/>
        <v/>
      </c>
      <c r="AA213" s="2" t="str">
        <f ca="1"/>
        <v/>
      </c>
      <c r="AB213" s="2" t="str">
        <f ca="1"/>
        <v/>
      </c>
      <c r="AC213" s="2" t="str">
        <f ca="1"/>
        <v/>
      </c>
      <c r="AD213" s="2" t="str">
        <f ca="1"/>
        <v/>
      </c>
      <c r="AE213" s="2" t="str">
        <f ca="1"/>
        <v/>
      </c>
      <c r="AF213" s="2" t="str">
        <f ca="1"/>
        <v/>
      </c>
      <c r="AG213" s="26" t="str">
        <f ca="1"/>
        <v/>
      </c>
      <c r="AH213" s="26">
        <f ca="1"/>
        <v>1.55E-2</v>
      </c>
    </row>
    <row r="214" spans="1:34">
      <c r="A214" s="5">
        <f ca="1"/>
        <v>35307</v>
      </c>
      <c r="B214" s="2">
        <f ca="1"/>
        <v>2.449167199941372E-3</v>
      </c>
      <c r="C214" s="2">
        <f ca="1"/>
        <v>2.5589709378902238E-2</v>
      </c>
      <c r="D214" s="2">
        <f ca="1"/>
        <v>1.2333049662902634E-2</v>
      </c>
      <c r="E214" s="2">
        <f ca="1"/>
        <v>-1.6759859395161821E-3</v>
      </c>
      <c r="F214" s="2">
        <f ca="1"/>
        <v>1.1702819238017094E-3</v>
      </c>
      <c r="G214" s="2">
        <f ca="1"/>
        <v>3.6907531194951704E-3</v>
      </c>
      <c r="H214" s="2">
        <f ca="1"/>
        <v>1.286221910815271E-2</v>
      </c>
      <c r="I214" s="2" t="str">
        <f ca="1"/>
        <v/>
      </c>
      <c r="J214" s="2" t="str">
        <f ca="1"/>
        <v/>
      </c>
      <c r="K214" s="2">
        <f ca="1"/>
        <v>6.8942280278879954E-3</v>
      </c>
      <c r="L214" s="2" t="str">
        <f ca="1"/>
        <v/>
      </c>
      <c r="M214" s="2" t="str">
        <f ca="1"/>
        <v/>
      </c>
      <c r="N214" s="2">
        <f ca="1"/>
        <v>2.7149822695035332E-2</v>
      </c>
      <c r="O214" s="2" t="str">
        <f ca="1"/>
        <v/>
      </c>
      <c r="P214" s="2">
        <f ca="1"/>
        <v>3.61503575789291E-2</v>
      </c>
      <c r="Q214" s="2">
        <f ca="1"/>
        <v>1.6047701424417585E-2</v>
      </c>
      <c r="R214" s="2">
        <f ca="1"/>
        <v>2.6132585203657532E-2</v>
      </c>
      <c r="S214" s="2">
        <f ca="1"/>
        <v>1.8437678436573266E-2</v>
      </c>
      <c r="T214" s="2">
        <f ca="1"/>
        <v>2.1097317667530185E-2</v>
      </c>
      <c r="U214" s="2">
        <f ca="1"/>
        <v>2.7206733627460344E-2</v>
      </c>
      <c r="V214" s="2">
        <f ca="1"/>
        <v>2.5814479937515823E-2</v>
      </c>
      <c r="W214" s="2">
        <f ca="1"/>
        <v>2.8598502633623381E-2</v>
      </c>
      <c r="X214" s="2" t="str">
        <f ca="1"/>
        <v/>
      </c>
      <c r="Y214" s="2" t="str">
        <f ca="1"/>
        <v/>
      </c>
      <c r="Z214" s="2" t="str">
        <f ca="1"/>
        <v/>
      </c>
      <c r="AA214" s="2" t="str">
        <f ca="1"/>
        <v/>
      </c>
      <c r="AB214" s="2" t="str">
        <f ca="1"/>
        <v/>
      </c>
      <c r="AC214" s="2" t="str">
        <f ca="1"/>
        <v/>
      </c>
      <c r="AD214" s="2" t="str">
        <f ca="1"/>
        <v/>
      </c>
      <c r="AE214" s="2" t="str">
        <f ca="1"/>
        <v/>
      </c>
      <c r="AF214" s="2" t="str">
        <f ca="1"/>
        <v/>
      </c>
      <c r="AG214" s="26" t="str">
        <f ca="1"/>
        <v/>
      </c>
      <c r="AH214" s="26">
        <f ca="1"/>
        <v>2.0999999999999999E-3</v>
      </c>
    </row>
    <row r="215" spans="1:34">
      <c r="A215" s="5">
        <f ca="1"/>
        <v>35338</v>
      </c>
      <c r="B215" s="2">
        <f ca="1"/>
        <v>2.6818493724643209E-2</v>
      </c>
      <c r="C215" s="2">
        <f ca="1"/>
        <v>8.6562036125889235E-3</v>
      </c>
      <c r="D215" s="2">
        <f ca="1"/>
        <v>3.6927338775012322E-2</v>
      </c>
      <c r="E215" s="2">
        <f ca="1"/>
        <v>1.7426831080077282E-2</v>
      </c>
      <c r="F215" s="2">
        <f ca="1"/>
        <v>2.7606419329538757E-2</v>
      </c>
      <c r="G215" s="2">
        <f ca="1"/>
        <v>2.5491218714656573E-2</v>
      </c>
      <c r="H215" s="2">
        <f ca="1"/>
        <v>4.5113153473663382E-2</v>
      </c>
      <c r="I215" s="2" t="str">
        <f ca="1"/>
        <v/>
      </c>
      <c r="J215" s="2" t="str">
        <f ca="1"/>
        <v/>
      </c>
      <c r="K215" s="2">
        <f ca="1"/>
        <v>2.2059769878246531E-2</v>
      </c>
      <c r="L215" s="2" t="str">
        <f ca="1"/>
        <v/>
      </c>
      <c r="M215" s="2" t="str">
        <f ca="1"/>
        <v/>
      </c>
      <c r="N215" s="2">
        <f ca="1"/>
        <v>4.9627791563275479E-2</v>
      </c>
      <c r="O215" s="2" t="str">
        <f ca="1"/>
        <v/>
      </c>
      <c r="P215" s="2">
        <f ca="1"/>
        <v>2.272631623248146E-3</v>
      </c>
      <c r="Q215" s="2">
        <f ca="1"/>
        <v>7.1400108675964427E-2</v>
      </c>
      <c r="R215" s="2">
        <f ca="1"/>
        <v>6.769277504936462E-2</v>
      </c>
      <c r="S215" s="2">
        <f ca="1"/>
        <v>4.0240902843087609E-2</v>
      </c>
      <c r="T215" s="2">
        <f ca="1"/>
        <v>5.6288197253010742E-2</v>
      </c>
      <c r="U215" s="2">
        <f ca="1"/>
        <v>5.6220966538221201E-2</v>
      </c>
      <c r="V215" s="2">
        <f ca="1"/>
        <v>7.2814636055870255E-2</v>
      </c>
      <c r="W215" s="2">
        <f ca="1"/>
        <v>3.975051664467287E-2</v>
      </c>
      <c r="X215" s="2" t="str">
        <f ca="1"/>
        <v/>
      </c>
      <c r="Y215" s="2" t="str">
        <f ca="1"/>
        <v/>
      </c>
      <c r="Z215" s="2" t="str">
        <f ca="1"/>
        <v/>
      </c>
      <c r="AA215" s="2" t="str">
        <f ca="1"/>
        <v/>
      </c>
      <c r="AB215" s="2" t="str">
        <f ca="1"/>
        <v/>
      </c>
      <c r="AC215" s="2" t="str">
        <f ca="1"/>
        <v/>
      </c>
      <c r="AD215" s="2" t="str">
        <f ca="1"/>
        <v/>
      </c>
      <c r="AE215" s="2" t="str">
        <f ca="1"/>
        <v/>
      </c>
      <c r="AF215" s="2" t="str">
        <f ca="1"/>
        <v/>
      </c>
      <c r="AG215" s="26" t="str">
        <f ca="1"/>
        <v/>
      </c>
      <c r="AH215" s="26">
        <f ca="1"/>
        <v>-2.7300000000000001E-2</v>
      </c>
    </row>
    <row r="216" spans="1:34">
      <c r="A216" s="5">
        <f ca="1"/>
        <v>35369</v>
      </c>
      <c r="B216" s="2">
        <f ca="1"/>
        <v>-9.9848175955752766E-3</v>
      </c>
      <c r="C216" s="2">
        <f ca="1"/>
        <v>-2.6655202063628553E-2</v>
      </c>
      <c r="D216" s="2">
        <f ca="1"/>
        <v>3.9989246589152419E-3</v>
      </c>
      <c r="E216" s="2">
        <f ca="1"/>
        <v>2.2151482849758274E-2</v>
      </c>
      <c r="F216" s="2">
        <f ca="1"/>
        <v>-8.0869150488160658E-3</v>
      </c>
      <c r="G216" s="2">
        <f ca="1"/>
        <v>-1.2231638256655812E-2</v>
      </c>
      <c r="H216" s="2">
        <f ca="1"/>
        <v>2.3639544229587255E-3</v>
      </c>
      <c r="I216" s="2" t="str">
        <f ca="1"/>
        <v/>
      </c>
      <c r="J216" s="2" t="str">
        <f ca="1"/>
        <v/>
      </c>
      <c r="K216" s="2">
        <f ca="1"/>
        <v>-3.6770261421447126E-3</v>
      </c>
      <c r="L216" s="2" t="str">
        <f ca="1"/>
        <v/>
      </c>
      <c r="M216" s="2" t="str">
        <f ca="1"/>
        <v/>
      </c>
      <c r="N216" s="2">
        <f ca="1"/>
        <v>1.356768424298482E-2</v>
      </c>
      <c r="O216" s="2" t="str">
        <f ca="1"/>
        <v/>
      </c>
      <c r="P216" s="2">
        <f ca="1"/>
        <v>-2.3052697879487757E-2</v>
      </c>
      <c r="Q216" s="2">
        <f ca="1"/>
        <v>1.4133080876386282E-2</v>
      </c>
      <c r="R216" s="2">
        <f ca="1"/>
        <v>3.1060318664643455E-2</v>
      </c>
      <c r="S216" s="2">
        <f ca="1"/>
        <v>1.2865761427056508E-2</v>
      </c>
      <c r="T216" s="2">
        <f ca="1"/>
        <v>2.7563664325387073E-2</v>
      </c>
      <c r="U216" s="2">
        <f ca="1"/>
        <v>2.2141854955348608E-2</v>
      </c>
      <c r="V216" s="2">
        <f ca="1"/>
        <v>6.0266084990015234E-3</v>
      </c>
      <c r="W216" s="2">
        <f ca="1"/>
        <v>3.8665852480673127E-2</v>
      </c>
      <c r="X216" s="2" t="str">
        <f ca="1"/>
        <v/>
      </c>
      <c r="Y216" s="2" t="str">
        <f ca="1"/>
        <v/>
      </c>
      <c r="Z216" s="2" t="str">
        <f ca="1"/>
        <v/>
      </c>
      <c r="AA216" s="2" t="str">
        <f ca="1"/>
        <v/>
      </c>
      <c r="AB216" s="2" t="str">
        <f ca="1"/>
        <v/>
      </c>
      <c r="AC216" s="2" t="str">
        <f ca="1"/>
        <v/>
      </c>
      <c r="AD216" s="2" t="str">
        <f ca="1"/>
        <v/>
      </c>
      <c r="AE216" s="2" t="str">
        <f ca="1"/>
        <v/>
      </c>
      <c r="AF216" s="2" t="str">
        <f ca="1"/>
        <v/>
      </c>
      <c r="AG216" s="26" t="str">
        <f ca="1"/>
        <v/>
      </c>
      <c r="AH216" s="26">
        <f ca="1"/>
        <v>3.7000000000000002E-3</v>
      </c>
    </row>
    <row r="217" spans="1:34">
      <c r="A217" s="5">
        <f ca="1"/>
        <v>35398</v>
      </c>
      <c r="B217" s="2">
        <f ca="1"/>
        <v>4.0038012198431686E-2</v>
      </c>
      <c r="C217" s="2">
        <f ca="1"/>
        <v>1.6750475672737179E-2</v>
      </c>
      <c r="D217" s="2">
        <f ca="1"/>
        <v>5.3460856176992422E-2</v>
      </c>
      <c r="E217" s="2">
        <f ca="1"/>
        <v>1.7128571428571441E-2</v>
      </c>
      <c r="F217" s="2">
        <f ca="1"/>
        <v>3.215627135357299E-2</v>
      </c>
      <c r="G217" s="2">
        <f ca="1"/>
        <v>4.8352245938104686E-2</v>
      </c>
      <c r="H217" s="2">
        <f ca="1"/>
        <v>5.6129427857176575E-2</v>
      </c>
      <c r="I217" s="2" t="str">
        <f ca="1"/>
        <v/>
      </c>
      <c r="J217" s="2" t="str">
        <f ca="1"/>
        <v/>
      </c>
      <c r="K217" s="2">
        <f ca="1"/>
        <v>3.8422649140545974E-2</v>
      </c>
      <c r="L217" s="2" t="str">
        <f ca="1"/>
        <v/>
      </c>
      <c r="M217" s="2" t="str">
        <f ca="1"/>
        <v/>
      </c>
      <c r="N217" s="2">
        <f ca="1"/>
        <v>7.2541662441267071E-2</v>
      </c>
      <c r="O217" s="2" t="str">
        <f ca="1"/>
        <v/>
      </c>
      <c r="P217" s="2">
        <f ca="1"/>
        <v>-8.0374795839422523E-3</v>
      </c>
      <c r="Q217" s="2">
        <f ca="1"/>
        <v>9.0518103620724072E-2</v>
      </c>
      <c r="R217" s="2">
        <f ca="1"/>
        <v>7.1839212620153636E-2</v>
      </c>
      <c r="S217" s="2">
        <f ca="1"/>
        <v>6.3546011638086375E-2</v>
      </c>
      <c r="T217" s="2">
        <f ca="1"/>
        <v>7.5580931441474E-2</v>
      </c>
      <c r="U217" s="2">
        <f ca="1"/>
        <v>7.3796833691196106E-2</v>
      </c>
      <c r="V217" s="2">
        <f ca="1"/>
        <v>7.5082603618217919E-2</v>
      </c>
      <c r="W217" s="2">
        <f ca="1"/>
        <v>7.2512440200580147E-2</v>
      </c>
      <c r="X217" s="2" t="str">
        <f ca="1"/>
        <v/>
      </c>
      <c r="Y217" s="2" t="str">
        <f ca="1"/>
        <v/>
      </c>
      <c r="Z217" s="2" t="str">
        <f ca="1"/>
        <v/>
      </c>
      <c r="AA217" s="2" t="str">
        <f ca="1"/>
        <v/>
      </c>
      <c r="AB217" s="2" t="str">
        <f ca="1"/>
        <v/>
      </c>
      <c r="AC217" s="2" t="str">
        <f ca="1"/>
        <v/>
      </c>
      <c r="AD217" s="2" t="str">
        <f ca="1"/>
        <v/>
      </c>
      <c r="AE217" s="2" t="str">
        <f ca="1"/>
        <v/>
      </c>
      <c r="AF217" s="2" t="str">
        <f ca="1"/>
        <v/>
      </c>
      <c r="AG217" s="26" t="str">
        <f ca="1"/>
        <v/>
      </c>
      <c r="AH217" s="26">
        <f ca="1"/>
        <v>-1.61E-2</v>
      </c>
    </row>
    <row r="218" spans="1:34">
      <c r="A218" s="5">
        <f ca="1"/>
        <v>35430</v>
      </c>
      <c r="B218" s="2">
        <f ca="1"/>
        <v>-1.2623486976105616E-2</v>
      </c>
      <c r="C218" s="2">
        <f ca="1"/>
        <v>4.5279866332498522E-3</v>
      </c>
      <c r="D218" s="2">
        <f ca="1"/>
        <v>-1.4484062368444125E-2</v>
      </c>
      <c r="E218" s="2">
        <f ca="1"/>
        <v>-9.2978833972387313E-3</v>
      </c>
      <c r="F218" s="2">
        <f ca="1"/>
        <v>-1.7997392999961954E-2</v>
      </c>
      <c r="G218" s="2">
        <f ca="1"/>
        <v>-7.5463056212388933E-3</v>
      </c>
      <c r="H218" s="2">
        <f ca="1"/>
        <v>-8.8874994417400249E-3</v>
      </c>
      <c r="I218" s="2" t="str">
        <f ca="1"/>
        <v/>
      </c>
      <c r="J218" s="2" t="str">
        <f ca="1"/>
        <v/>
      </c>
      <c r="K218" s="2">
        <f ca="1"/>
        <v>1.0467380720545444E-3</v>
      </c>
      <c r="L218" s="2" t="str">
        <f ca="1"/>
        <v/>
      </c>
      <c r="M218" s="2" t="str">
        <f ca="1"/>
        <v/>
      </c>
      <c r="N218" s="2">
        <f ca="1"/>
        <v>-2.2061836175109378E-3</v>
      </c>
      <c r="O218" s="2" t="str">
        <f ca="1"/>
        <v/>
      </c>
      <c r="P218" s="2">
        <f ca="1"/>
        <v>-4.419602235798699E-3</v>
      </c>
      <c r="Q218" s="2">
        <f ca="1"/>
        <v>-1.5867192515821329E-2</v>
      </c>
      <c r="R218" s="2">
        <f ca="1"/>
        <v>-2.5230637202317201E-2</v>
      </c>
      <c r="S218" s="2">
        <f ca="1"/>
        <v>-1.5284300908665451E-2</v>
      </c>
      <c r="T218" s="2">
        <f ca="1"/>
        <v>-1.9834149546240597E-2</v>
      </c>
      <c r="U218" s="2">
        <f ca="1"/>
        <v>-1.6182135405992011E-2</v>
      </c>
      <c r="V218" s="2">
        <f ca="1"/>
        <v>-1.9578475170074352E-2</v>
      </c>
      <c r="W218" s="2">
        <f ca="1"/>
        <v>-1.2758136402069315E-2</v>
      </c>
      <c r="X218" s="2" t="str">
        <f ca="1"/>
        <v/>
      </c>
      <c r="Y218" s="2" t="str">
        <f ca="1"/>
        <v/>
      </c>
      <c r="Z218" s="2" t="str">
        <f ca="1"/>
        <v/>
      </c>
      <c r="AA218" s="2" t="str">
        <f ca="1"/>
        <v/>
      </c>
      <c r="AB218" s="2" t="str">
        <f ca="1"/>
        <v/>
      </c>
      <c r="AC218" s="2" t="str">
        <f ca="1"/>
        <v/>
      </c>
      <c r="AD218" s="2" t="str">
        <f ca="1"/>
        <v/>
      </c>
      <c r="AE218" s="2" t="str">
        <f ca="1"/>
        <v/>
      </c>
      <c r="AF218" s="2" t="str">
        <f ca="1"/>
        <v/>
      </c>
      <c r="AG218" s="26" t="str">
        <f ca="1"/>
        <v/>
      </c>
      <c r="AH218" s="26">
        <f ca="1"/>
        <v>-1.0200000000000001E-2</v>
      </c>
    </row>
    <row r="219" spans="1:34">
      <c r="A219" s="5">
        <f ca="1"/>
        <v>35461</v>
      </c>
      <c r="B219" s="2">
        <f ca="1"/>
        <v>-3.4766231568138017E-2</v>
      </c>
      <c r="C219" s="2">
        <f ca="1"/>
        <v>6.8195805126328571E-2</v>
      </c>
      <c r="D219" s="2">
        <f ca="1"/>
        <v>1.6776346278617155E-2</v>
      </c>
      <c r="E219" s="2">
        <f ca="1"/>
        <v>3.0622226632830546E-3</v>
      </c>
      <c r="F219" s="2">
        <f ca="1"/>
        <v>-4.1483302352454017E-2</v>
      </c>
      <c r="G219" s="2">
        <f ca="1"/>
        <v>-2.7459451645009365E-2</v>
      </c>
      <c r="H219" s="2">
        <f ca="1"/>
        <v>4.8080389329488188E-2</v>
      </c>
      <c r="I219" s="2" t="str">
        <f ca="1"/>
        <v/>
      </c>
      <c r="J219" s="2" t="str">
        <f ca="1"/>
        <v/>
      </c>
      <c r="K219" s="2">
        <f ca="1"/>
        <v>1.7508450258979132E-2</v>
      </c>
      <c r="L219" s="2" t="str">
        <f ca="1"/>
        <v/>
      </c>
      <c r="M219" s="2" t="str">
        <f ca="1"/>
        <v/>
      </c>
      <c r="N219" s="2">
        <f ca="1"/>
        <v>5.3539277930446466E-2</v>
      </c>
      <c r="O219" s="2" t="str">
        <f ca="1"/>
        <v/>
      </c>
      <c r="P219" s="2">
        <f ca="1"/>
        <v>8.3692388040214075E-2</v>
      </c>
      <c r="Q219" s="2">
        <f ca="1"/>
        <v>8.6269027648338117E-2</v>
      </c>
      <c r="R219" s="2">
        <f ca="1"/>
        <v>9.1473345952370486E-2</v>
      </c>
      <c r="S219" s="2">
        <f ca="1"/>
        <v>4.7629974431259339E-2</v>
      </c>
      <c r="T219" s="2">
        <f ca="1"/>
        <v>6.2457667542520405E-2</v>
      </c>
      <c r="U219" s="2">
        <f ca="1"/>
        <v>5.9304435847340707E-2</v>
      </c>
      <c r="V219" s="2">
        <f ca="1"/>
        <v>7.0136961437527887E-2</v>
      </c>
      <c r="W219" s="2">
        <f ca="1"/>
        <v>4.8476710638529527E-2</v>
      </c>
      <c r="X219" s="2" t="str">
        <f ca="1"/>
        <v/>
      </c>
      <c r="Y219" s="2" t="str">
        <f ca="1"/>
        <v/>
      </c>
      <c r="Z219" s="2" t="str">
        <f ca="1"/>
        <v/>
      </c>
      <c r="AA219" s="2" t="str">
        <f ca="1"/>
        <v/>
      </c>
      <c r="AB219" s="2" t="str">
        <f ca="1"/>
        <v/>
      </c>
      <c r="AC219" s="2" t="str">
        <f ca="1"/>
        <v/>
      </c>
      <c r="AD219" s="2" t="str">
        <f ca="1"/>
        <v/>
      </c>
      <c r="AE219" s="2" t="str">
        <f ca="1"/>
        <v/>
      </c>
      <c r="AF219" s="2" t="str">
        <f ca="1"/>
        <v/>
      </c>
      <c r="AG219" s="26" t="str">
        <f ca="1"/>
        <v/>
      </c>
      <c r="AH219" s="26">
        <f ca="1"/>
        <v>-6.5799999999999997E-2</v>
      </c>
    </row>
    <row r="220" spans="1:34">
      <c r="A220" s="5">
        <f ca="1"/>
        <v>35489</v>
      </c>
      <c r="B220" s="2">
        <f ca="1"/>
        <v>1.6597409454678379E-2</v>
      </c>
      <c r="C220" s="2">
        <f ca="1"/>
        <v>4.2836455365067486E-2</v>
      </c>
      <c r="D220" s="2">
        <f ca="1"/>
        <v>1.3634021640045966E-2</v>
      </c>
      <c r="E220" s="2">
        <f ca="1"/>
        <v>2.4875270306559311E-3</v>
      </c>
      <c r="F220" s="2">
        <f ca="1"/>
        <v>1.5651373026706234E-2</v>
      </c>
      <c r="G220" s="2">
        <f ca="1"/>
        <v>1.7606348462195991E-2</v>
      </c>
      <c r="H220" s="2">
        <f ca="1"/>
        <v>8.727804290812163E-3</v>
      </c>
      <c r="I220" s="2" t="str">
        <f ca="1"/>
        <v/>
      </c>
      <c r="J220" s="2" t="str">
        <f ca="1"/>
        <v/>
      </c>
      <c r="K220" s="2">
        <f ca="1"/>
        <v>2.0361828740769021E-2</v>
      </c>
      <c r="L220" s="2" t="str">
        <f ca="1"/>
        <v/>
      </c>
      <c r="M220" s="2" t="str">
        <f ca="1"/>
        <v/>
      </c>
      <c r="N220" s="2">
        <f ca="1"/>
        <v>7.1055945313905512E-3</v>
      </c>
      <c r="O220" s="2" t="str">
        <f ca="1"/>
        <v/>
      </c>
      <c r="P220" s="2">
        <f ca="1"/>
        <v>3.9116465863453853E-2</v>
      </c>
      <c r="Q220" s="2">
        <f ca="1"/>
        <v>-2.8598392770300296E-5</v>
      </c>
      <c r="R220" s="2">
        <f ca="1"/>
        <v>2.7828191167574017E-3</v>
      </c>
      <c r="S220" s="2">
        <f ca="1"/>
        <v>1.3423448793767079E-2</v>
      </c>
      <c r="T220" s="2">
        <f ca="1"/>
        <v>7.8378968035453418E-3</v>
      </c>
      <c r="U220" s="2">
        <f ca="1"/>
        <v>3.8349049468005022E-3</v>
      </c>
      <c r="V220" s="2">
        <f ca="1"/>
        <v>-6.7702701747690717E-3</v>
      </c>
      <c r="W220" s="2">
        <f ca="1"/>
        <v>1.4693004468473223E-2</v>
      </c>
      <c r="X220" s="2" t="str">
        <f ca="1"/>
        <v/>
      </c>
      <c r="Y220" s="2" t="str">
        <f ca="1"/>
        <v/>
      </c>
      <c r="Z220" s="2" t="str">
        <f ca="1"/>
        <v/>
      </c>
      <c r="AA220" s="2" t="str">
        <f ca="1"/>
        <v/>
      </c>
      <c r="AB220" s="2" t="str">
        <f ca="1"/>
        <v/>
      </c>
      <c r="AC220" s="2" t="str">
        <f ca="1"/>
        <v/>
      </c>
      <c r="AD220" s="2" t="str">
        <f ca="1"/>
        <v/>
      </c>
      <c r="AE220" s="2" t="str">
        <f ca="1"/>
        <v/>
      </c>
      <c r="AF220" s="2" t="str">
        <f ca="1"/>
        <v/>
      </c>
      <c r="AG220" s="26" t="str">
        <f ca="1"/>
        <v/>
      </c>
      <c r="AH220" s="26">
        <f ca="1"/>
        <v>5.8600000000000006E-2</v>
      </c>
    </row>
    <row r="221" spans="1:34">
      <c r="A221" s="5">
        <f ca="1"/>
        <v>35520</v>
      </c>
      <c r="B221" s="2">
        <f ca="1"/>
        <v>3.8676397441946555E-3</v>
      </c>
      <c r="C221" s="2">
        <f ca="1"/>
        <v>-2.6279639252224842E-2</v>
      </c>
      <c r="D221" s="2">
        <f ca="1"/>
        <v>-2.0003910068426251E-2</v>
      </c>
      <c r="E221" s="2">
        <f ca="1"/>
        <v>-1.1081504039250538E-2</v>
      </c>
      <c r="F221" s="2">
        <f ca="1"/>
        <v>6.1152138337903332E-3</v>
      </c>
      <c r="G221" s="2">
        <f ca="1"/>
        <v>1.6349416814615896E-3</v>
      </c>
      <c r="H221" s="2">
        <f ca="1"/>
        <v>-2.4422470377631993E-2</v>
      </c>
      <c r="I221" s="2" t="str">
        <f ca="1"/>
        <v/>
      </c>
      <c r="J221" s="2" t="str">
        <f ca="1"/>
        <v/>
      </c>
      <c r="K221" s="2">
        <f ca="1"/>
        <v>-2.7801850333762746E-2</v>
      </c>
      <c r="L221" s="2" t="str">
        <f ca="1"/>
        <v/>
      </c>
      <c r="M221" s="2" t="str">
        <f ca="1"/>
        <v/>
      </c>
      <c r="N221" s="2">
        <f ca="1"/>
        <v>-2.7060819862463253E-2</v>
      </c>
      <c r="O221" s="2" t="str">
        <f ca="1"/>
        <v/>
      </c>
      <c r="P221" s="2">
        <f ca="1"/>
        <v>-2.3073355491999684E-2</v>
      </c>
      <c r="Q221" s="2">
        <f ca="1"/>
        <v>-5.2021964193788239E-2</v>
      </c>
      <c r="R221" s="2">
        <f ca="1"/>
        <v>-5.4496460746460688E-2</v>
      </c>
      <c r="S221" s="2">
        <f ca="1"/>
        <v>-4.3179572681240008E-2</v>
      </c>
      <c r="T221" s="2">
        <f ca="1"/>
        <v>-4.1085287131050724E-2</v>
      </c>
      <c r="U221" s="2">
        <f ca="1"/>
        <v>-4.5044971505069857E-2</v>
      </c>
      <c r="V221" s="2">
        <f ca="1"/>
        <v>-5.4115110677870872E-2</v>
      </c>
      <c r="W221" s="2">
        <f ca="1"/>
        <v>-3.5953308454826478E-2</v>
      </c>
      <c r="X221" s="2" t="str">
        <f ca="1"/>
        <v/>
      </c>
      <c r="Y221" s="2" t="str">
        <f ca="1"/>
        <v/>
      </c>
      <c r="Z221" s="2" t="str">
        <f ca="1"/>
        <v/>
      </c>
      <c r="AA221" s="2" t="str">
        <f ca="1"/>
        <v/>
      </c>
      <c r="AB221" s="2" t="str">
        <f ca="1"/>
        <v/>
      </c>
      <c r="AC221" s="2" t="str">
        <f ca="1"/>
        <v/>
      </c>
      <c r="AD221" s="2" t="str">
        <f ca="1"/>
        <v/>
      </c>
      <c r="AE221" s="2" t="str">
        <f ca="1"/>
        <v/>
      </c>
      <c r="AF221" s="2" t="str">
        <f ca="1"/>
        <v/>
      </c>
      <c r="AG221" s="26" t="str">
        <f ca="1"/>
        <v/>
      </c>
      <c r="AH221" s="26">
        <f ca="1"/>
        <v>-3.8599999999999995E-2</v>
      </c>
    </row>
    <row r="222" spans="1:34">
      <c r="A222" s="5">
        <f ca="1"/>
        <v>35550</v>
      </c>
      <c r="B222" s="2">
        <f ca="1"/>
        <v>5.5478976569905483E-3</v>
      </c>
      <c r="C222" s="2">
        <f ca="1"/>
        <v>1.7788137152670799E-3</v>
      </c>
      <c r="D222" s="2">
        <f ca="1"/>
        <v>3.211854736388535E-2</v>
      </c>
      <c r="E222" s="2">
        <f ca="1"/>
        <v>1.4969419614216673E-2</v>
      </c>
      <c r="F222" s="2">
        <f ca="1"/>
        <v>1.022784738000445E-2</v>
      </c>
      <c r="G222" s="2">
        <f ca="1"/>
        <v>8.610099899596037E-4</v>
      </c>
      <c r="H222" s="2">
        <f ca="1"/>
        <v>6.4703569400148556E-2</v>
      </c>
      <c r="I222" s="2" t="str">
        <f ca="1"/>
        <v/>
      </c>
      <c r="J222" s="2" t="str">
        <f ca="1"/>
        <v/>
      </c>
      <c r="K222" s="2">
        <f ca="1"/>
        <v>1.8189264720053992E-2</v>
      </c>
      <c r="L222" s="2" t="str">
        <f ca="1"/>
        <v/>
      </c>
      <c r="M222" s="2" t="str">
        <f ca="1"/>
        <v/>
      </c>
      <c r="N222" s="2">
        <f ca="1"/>
        <v>5.4647818370968777E-2</v>
      </c>
      <c r="O222" s="2" t="str">
        <f ca="1"/>
        <v/>
      </c>
      <c r="P222" s="2">
        <f ca="1"/>
        <v>-1.2224551964236276E-2</v>
      </c>
      <c r="Q222" s="2">
        <f ca="1"/>
        <v>8.7458895224303709E-2</v>
      </c>
      <c r="R222" s="2">
        <f ca="1"/>
        <v>0.10013186439236034</v>
      </c>
      <c r="S222" s="2">
        <f ca="1"/>
        <v>4.5402475031865612E-2</v>
      </c>
      <c r="T222" s="2">
        <f ca="1"/>
        <v>5.9670119197385109E-2</v>
      </c>
      <c r="U222" s="2">
        <f ca="1"/>
        <v>5.4108060943157892E-2</v>
      </c>
      <c r="V222" s="2">
        <f ca="1"/>
        <v>6.6403385049365202E-2</v>
      </c>
      <c r="W222" s="2">
        <f ca="1"/>
        <v>4.2010770722317722E-2</v>
      </c>
      <c r="X222" s="2" t="str">
        <f ca="1"/>
        <v/>
      </c>
      <c r="Y222" s="2" t="str">
        <f ca="1"/>
        <v/>
      </c>
      <c r="Z222" s="2" t="str">
        <f ca="1"/>
        <v/>
      </c>
      <c r="AA222" s="2" t="str">
        <f ca="1"/>
        <v/>
      </c>
      <c r="AB222" s="2" t="str">
        <f ca="1"/>
        <v/>
      </c>
      <c r="AC222" s="2" t="str">
        <f ca="1"/>
        <v/>
      </c>
      <c r="AD222" s="2" t="str">
        <f ca="1"/>
        <v/>
      </c>
      <c r="AE222" s="2" t="str">
        <f ca="1"/>
        <v/>
      </c>
      <c r="AF222" s="2" t="str">
        <f ca="1"/>
        <v/>
      </c>
      <c r="AG222" s="26" t="str">
        <f ca="1"/>
        <v/>
      </c>
      <c r="AH222" s="26">
        <f ca="1"/>
        <v>-2.7900000000000001E-2</v>
      </c>
    </row>
    <row r="223" spans="1:34">
      <c r="A223" s="5">
        <f ca="1"/>
        <v>35580</v>
      </c>
      <c r="B223" s="2">
        <f ca="1"/>
        <v>6.5321742427920451E-2</v>
      </c>
      <c r="C223" s="2">
        <f ca="1"/>
        <v>2.8609478324761288E-2</v>
      </c>
      <c r="D223" s="2">
        <f ca="1"/>
        <v>5.9667393422090279E-2</v>
      </c>
      <c r="E223" s="2">
        <f ca="1"/>
        <v>9.4531765763488252E-3</v>
      </c>
      <c r="F223" s="2">
        <f ca="1"/>
        <v>5.8953074816354374E-2</v>
      </c>
      <c r="G223" s="2">
        <f ca="1"/>
        <v>7.1761030081403249E-2</v>
      </c>
      <c r="H223" s="2">
        <f ca="1"/>
        <v>5.4616331555190821E-2</v>
      </c>
      <c r="I223" s="2" t="str">
        <f ca="1"/>
        <v/>
      </c>
      <c r="J223" s="2" t="str">
        <f ca="1"/>
        <v/>
      </c>
      <c r="K223" s="2">
        <f ca="1"/>
        <v>4.9830821285758234E-2</v>
      </c>
      <c r="L223" s="2" t="str">
        <f ca="1"/>
        <v/>
      </c>
      <c r="M223" s="2" t="str">
        <f ca="1"/>
        <v/>
      </c>
      <c r="N223" s="2">
        <f ca="1"/>
        <v>5.0539630962051801E-2</v>
      </c>
      <c r="O223" s="2" t="str">
        <f ca="1"/>
        <v/>
      </c>
      <c r="P223" s="2">
        <f ca="1"/>
        <v>2.0866709388016581E-2</v>
      </c>
      <c r="Q223" s="2">
        <f ca="1"/>
        <v>5.6677578649503436E-2</v>
      </c>
      <c r="R223" s="2">
        <f ca="1"/>
        <v>5.1231488999729347E-2</v>
      </c>
      <c r="S223" s="2">
        <f ca="1"/>
        <v>5.9296528946028236E-2</v>
      </c>
      <c r="T223" s="2">
        <f ca="1"/>
        <v>6.0879504621819132E-2</v>
      </c>
      <c r="U223" s="2">
        <f ca="1"/>
        <v>6.40446480479267E-2</v>
      </c>
      <c r="V223" s="2">
        <f ca="1"/>
        <v>7.2165202976757367E-2</v>
      </c>
      <c r="W223" s="2">
        <f ca="1"/>
        <v>5.5862488157532905E-2</v>
      </c>
      <c r="X223" s="2" t="str">
        <f ca="1"/>
        <v/>
      </c>
      <c r="Y223" s="2" t="str">
        <f ca="1"/>
        <v/>
      </c>
      <c r="Z223" s="2" t="str">
        <f ca="1"/>
        <v/>
      </c>
      <c r="AA223" s="2" t="str">
        <f ca="1"/>
        <v/>
      </c>
      <c r="AB223" s="2" t="str">
        <f ca="1"/>
        <v/>
      </c>
      <c r="AC223" s="2" t="str">
        <f ca="1"/>
        <v/>
      </c>
      <c r="AD223" s="2" t="str">
        <f ca="1"/>
        <v/>
      </c>
      <c r="AE223" s="2" t="str">
        <f ca="1"/>
        <v/>
      </c>
      <c r="AF223" s="2" t="str">
        <f ca="1"/>
        <v/>
      </c>
      <c r="AG223" s="26" t="str">
        <f ca="1"/>
        <v/>
      </c>
      <c r="AH223" s="26">
        <f ca="1"/>
        <v>1.06E-2</v>
      </c>
    </row>
    <row r="224" spans="1:34">
      <c r="A224" s="5">
        <f ca="1"/>
        <v>35611</v>
      </c>
      <c r="B224" s="2">
        <f ca="1"/>
        <v>5.5374944650532214E-2</v>
      </c>
      <c r="C224" s="2">
        <f ca="1"/>
        <v>5.352917540961654E-2</v>
      </c>
      <c r="D224" s="2">
        <f ca="1"/>
        <v>5.117120666571813E-2</v>
      </c>
      <c r="E224" s="2">
        <f ca="1"/>
        <v>1.1869312331283344E-2</v>
      </c>
      <c r="F224" s="2">
        <f ca="1"/>
        <v>5.8336652168702589E-2</v>
      </c>
      <c r="G224" s="2">
        <f ca="1"/>
        <v>5.2301594356740699E-2</v>
      </c>
      <c r="H224" s="2">
        <f ca="1"/>
        <v>5.9958756468620006E-2</v>
      </c>
      <c r="I224" s="2" t="str">
        <f ca="1"/>
        <v/>
      </c>
      <c r="J224" s="2" t="str">
        <f ca="1"/>
        <v/>
      </c>
      <c r="K224" s="2">
        <f ca="1"/>
        <v>4.3836913160089232E-2</v>
      </c>
      <c r="L224" s="2" t="str">
        <f ca="1"/>
        <v/>
      </c>
      <c r="M224" s="2" t="str">
        <f ca="1"/>
        <v/>
      </c>
      <c r="N224" s="2">
        <f ca="1"/>
        <v>5.1311792322562784E-2</v>
      </c>
      <c r="O224" s="2" t="str">
        <f ca="1"/>
        <v/>
      </c>
      <c r="P224" s="2">
        <f ca="1"/>
        <v>9.415826434932717E-2</v>
      </c>
      <c r="Q224" s="2">
        <f ca="1"/>
        <v>4.5813752001890279E-2</v>
      </c>
      <c r="R224" s="2">
        <f ca="1"/>
        <v>5.5061056348389099E-2</v>
      </c>
      <c r="S224" s="2">
        <f ca="1"/>
        <v>4.624462737670286E-2</v>
      </c>
      <c r="T224" s="2">
        <f ca="1"/>
        <v>4.4803169087216682E-2</v>
      </c>
      <c r="U224" s="2">
        <f ca="1"/>
        <v>4.1442454421331626E-2</v>
      </c>
      <c r="V224" s="2">
        <f ca="1"/>
        <v>4.0020921672023174E-2</v>
      </c>
      <c r="W224" s="2">
        <f ca="1"/>
        <v>4.2898675637257105E-2</v>
      </c>
      <c r="X224" s="2" t="str">
        <f ca="1"/>
        <v/>
      </c>
      <c r="Y224" s="2" t="str">
        <f ca="1"/>
        <v/>
      </c>
      <c r="Z224" s="2" t="str">
        <f ca="1"/>
        <v/>
      </c>
      <c r="AA224" s="2" t="str">
        <f ca="1"/>
        <v/>
      </c>
      <c r="AB224" s="2" t="str">
        <f ca="1"/>
        <v/>
      </c>
      <c r="AC224" s="2" t="str">
        <f ca="1"/>
        <v/>
      </c>
      <c r="AD224" s="2" t="str">
        <f ca="1"/>
        <v/>
      </c>
      <c r="AE224" s="2" t="str">
        <f ca="1"/>
        <v/>
      </c>
      <c r="AF224" s="2" t="str">
        <f ca="1"/>
        <v/>
      </c>
      <c r="AG224" s="26" t="str">
        <f ca="1"/>
        <v/>
      </c>
      <c r="AH224" s="26">
        <f ca="1"/>
        <v>-2.76E-2</v>
      </c>
    </row>
    <row r="225" spans="1:34">
      <c r="A225" s="5">
        <f ca="1"/>
        <v>35642</v>
      </c>
      <c r="B225" s="2">
        <f ca="1"/>
        <v>1.6383337317023558E-2</v>
      </c>
      <c r="C225" s="2">
        <f ca="1"/>
        <v>1.4916518349012552E-2</v>
      </c>
      <c r="D225" s="2">
        <f ca="1"/>
        <v>4.5216660998243931E-2</v>
      </c>
      <c r="E225" s="2">
        <f ca="1"/>
        <v>2.6966817475487698E-2</v>
      </c>
      <c r="F225" s="2">
        <f ca="1"/>
        <v>2.4069396174814944E-2</v>
      </c>
      <c r="G225" s="2">
        <f ca="1"/>
        <v>8.3010748413577511E-3</v>
      </c>
      <c r="H225" s="2">
        <f ca="1"/>
        <v>7.2718596285147943E-2</v>
      </c>
      <c r="I225" s="2" t="str">
        <f ca="1"/>
        <v/>
      </c>
      <c r="J225" s="2" t="str">
        <f ca="1"/>
        <v/>
      </c>
      <c r="K225" s="2">
        <f ca="1"/>
        <v>2.7248780066502581E-2</v>
      </c>
      <c r="L225" s="2" t="str">
        <f ca="1"/>
        <v/>
      </c>
      <c r="M225" s="2" t="str">
        <f ca="1"/>
        <v/>
      </c>
      <c r="N225" s="2">
        <f ca="1"/>
        <v>5.8159083744877549E-2</v>
      </c>
      <c r="O225" s="2" t="str">
        <f ca="1"/>
        <v/>
      </c>
      <c r="P225" s="2">
        <f ca="1"/>
        <v>5.1991824733765594E-3</v>
      </c>
      <c r="Q225" s="2">
        <f ca="1"/>
        <v>7.2375357734598689E-2</v>
      </c>
      <c r="R225" s="2">
        <f ca="1"/>
        <v>8.4887571901690648E-2</v>
      </c>
      <c r="S225" s="2">
        <f ca="1"/>
        <v>5.8126418694035585E-2</v>
      </c>
      <c r="T225" s="2">
        <f ca="1"/>
        <v>7.9519583209975889E-2</v>
      </c>
      <c r="U225" s="2">
        <f ca="1"/>
        <v>8.1832095960605242E-2</v>
      </c>
      <c r="V225" s="2">
        <f ca="1"/>
        <v>8.844023697087211E-2</v>
      </c>
      <c r="W225" s="2">
        <f ca="1"/>
        <v>7.5234133359647931E-2</v>
      </c>
      <c r="X225" s="2" t="str">
        <f ca="1"/>
        <v/>
      </c>
      <c r="Y225" s="2" t="str">
        <f ca="1"/>
        <v/>
      </c>
      <c r="Z225" s="2" t="str">
        <f ca="1"/>
        <v/>
      </c>
      <c r="AA225" s="2" t="str">
        <f ca="1"/>
        <v/>
      </c>
      <c r="AB225" s="2" t="str">
        <f ca="1"/>
        <v/>
      </c>
      <c r="AC225" s="2" t="str">
        <f ca="1"/>
        <v/>
      </c>
      <c r="AD225" s="2" t="str">
        <f ca="1"/>
        <v/>
      </c>
      <c r="AE225" s="2" t="str">
        <f ca="1"/>
        <v/>
      </c>
      <c r="AF225" s="2" t="str">
        <f ca="1"/>
        <v/>
      </c>
      <c r="AG225" s="26" t="str">
        <f ca="1"/>
        <v/>
      </c>
      <c r="AH225" s="26">
        <f ca="1"/>
        <v>-3.3399999999999999E-2</v>
      </c>
    </row>
    <row r="226" spans="1:34">
      <c r="A226" s="5">
        <f ca="1"/>
        <v>35671</v>
      </c>
      <c r="B226" s="2">
        <f ca="1"/>
        <v>-7.4479191930004671E-2</v>
      </c>
      <c r="C226" s="2">
        <f ca="1"/>
        <v>-0.12725121781489207</v>
      </c>
      <c r="D226" s="2">
        <f ca="1"/>
        <v>-7.0161866024736536E-2</v>
      </c>
      <c r="E226" s="2">
        <f ca="1"/>
        <v>-8.5297268344938469E-3</v>
      </c>
      <c r="F226" s="2">
        <f ca="1"/>
        <v>-7.6962856070624322E-2</v>
      </c>
      <c r="G226" s="2">
        <f ca="1"/>
        <v>-7.180048248110614E-2</v>
      </c>
      <c r="H226" s="2">
        <f ca="1"/>
        <v>-7.9937035896383027E-2</v>
      </c>
      <c r="I226" s="2" t="str">
        <f ca="1"/>
        <v/>
      </c>
      <c r="J226" s="2" t="str">
        <f ca="1"/>
        <v/>
      </c>
      <c r="K226" s="2">
        <f ca="1"/>
        <v>-5.0823944846140931E-2</v>
      </c>
      <c r="L226" s="2" t="str">
        <f ca="1"/>
        <v/>
      </c>
      <c r="M226" s="2" t="str">
        <f ca="1"/>
        <v/>
      </c>
      <c r="N226" s="2">
        <f ca="1"/>
        <v>-6.3750558562136947E-2</v>
      </c>
      <c r="O226" s="2" t="str">
        <f ca="1"/>
        <v/>
      </c>
      <c r="P226" s="2">
        <f ca="1"/>
        <v>-9.6061924805593141E-2</v>
      </c>
      <c r="Q226" s="2">
        <f ca="1"/>
        <v>-6.4704918416555568E-2</v>
      </c>
      <c r="R226" s="2">
        <f ca="1"/>
        <v>-7.5385604113110474E-2</v>
      </c>
      <c r="S226" s="2">
        <f ca="1"/>
        <v>-5.465696274166601E-2</v>
      </c>
      <c r="T226" s="2">
        <f ca="1"/>
        <v>-5.6051458710729245E-2</v>
      </c>
      <c r="U226" s="2">
        <f ca="1"/>
        <v>-4.7171166145988437E-2</v>
      </c>
      <c r="V226" s="2">
        <f ca="1"/>
        <v>-5.8529341679307734E-2</v>
      </c>
      <c r="W226" s="2">
        <f ca="1"/>
        <v>-3.5625993036555288E-2</v>
      </c>
      <c r="X226" s="2" t="str">
        <f ca="1"/>
        <v/>
      </c>
      <c r="Y226" s="2" t="str">
        <f ca="1"/>
        <v/>
      </c>
      <c r="Z226" s="2" t="str">
        <f ca="1"/>
        <v/>
      </c>
      <c r="AA226" s="2" t="str">
        <f ca="1"/>
        <v/>
      </c>
      <c r="AB226" s="2" t="str">
        <f ca="1"/>
        <v/>
      </c>
      <c r="AC226" s="2" t="str">
        <f ca="1"/>
        <v/>
      </c>
      <c r="AD226" s="2" t="str">
        <f ca="1"/>
        <v/>
      </c>
      <c r="AE226" s="2" t="str">
        <f ca="1"/>
        <v/>
      </c>
      <c r="AF226" s="2" t="str">
        <f ca="1"/>
        <v/>
      </c>
      <c r="AG226" s="26" t="str">
        <f ca="1"/>
        <v/>
      </c>
      <c r="AH226" s="26">
        <f ca="1"/>
        <v>4.3E-3</v>
      </c>
    </row>
    <row r="227" spans="1:34">
      <c r="A227" s="5">
        <f ca="1"/>
        <v>35703</v>
      </c>
      <c r="B227" s="2">
        <f ca="1"/>
        <v>5.6244964670920286E-2</v>
      </c>
      <c r="C227" s="2">
        <f ca="1"/>
        <v>2.77162039325753E-2</v>
      </c>
      <c r="D227" s="2">
        <f ca="1"/>
        <v>5.3330905143477464E-2</v>
      </c>
      <c r="E227" s="2">
        <f ca="1"/>
        <v>1.4748186864389713E-2</v>
      </c>
      <c r="F227" s="2">
        <f ca="1"/>
        <v>6.6277357424363498E-2</v>
      </c>
      <c r="G227" s="2">
        <f ca="1"/>
        <v>4.5600919611023645E-2</v>
      </c>
      <c r="H227" s="2">
        <f ca="1"/>
        <v>7.8179045635437136E-2</v>
      </c>
      <c r="I227" s="2" t="str">
        <f ca="1"/>
        <v/>
      </c>
      <c r="J227" s="2" t="str">
        <f ca="1"/>
        <v/>
      </c>
      <c r="K227" s="2">
        <f ca="1"/>
        <v>5.137517161964656E-2</v>
      </c>
      <c r="L227" s="2" t="str">
        <f ca="1"/>
        <v/>
      </c>
      <c r="M227" s="2" t="str">
        <f ca="1"/>
        <v/>
      </c>
      <c r="N227" s="2">
        <f ca="1"/>
        <v>5.2394336320729686E-2</v>
      </c>
      <c r="O227" s="2" t="str">
        <f ca="1"/>
        <v/>
      </c>
      <c r="P227" s="2">
        <f ca="1"/>
        <v>8.3658892703524119E-3</v>
      </c>
      <c r="Q227" s="2">
        <f ca="1"/>
        <v>3.9746702375291099E-2</v>
      </c>
      <c r="R227" s="2">
        <f ca="1"/>
        <v>5.4945436852714268E-2</v>
      </c>
      <c r="S227" s="2">
        <f ca="1"/>
        <v>5.240150355004887E-2</v>
      </c>
      <c r="T227" s="2">
        <f ca="1"/>
        <v>5.4764857395149143E-2</v>
      </c>
      <c r="U227" s="2">
        <f ca="1"/>
        <v>5.4843938060153072E-2</v>
      </c>
      <c r="V227" s="2">
        <f ca="1"/>
        <v>4.9210283446047234E-2</v>
      </c>
      <c r="W227" s="2">
        <f ca="1"/>
        <v>6.0439070232204149E-2</v>
      </c>
      <c r="X227" s="2" t="str">
        <f ca="1"/>
        <v/>
      </c>
      <c r="Y227" s="2" t="str">
        <f ca="1"/>
        <v/>
      </c>
      <c r="Z227" s="2" t="str">
        <f ca="1"/>
        <v/>
      </c>
      <c r="AA227" s="2" t="str">
        <f ca="1"/>
        <v/>
      </c>
      <c r="AB227" s="2" t="str">
        <f ca="1"/>
        <v/>
      </c>
      <c r="AC227" s="2" t="str">
        <f ca="1"/>
        <v/>
      </c>
      <c r="AD227" s="2" t="str">
        <f ca="1"/>
        <v/>
      </c>
      <c r="AE227" s="2" t="str">
        <f ca="1"/>
        <v/>
      </c>
      <c r="AF227" s="2" t="str">
        <f ca="1"/>
        <v/>
      </c>
      <c r="AG227" s="26" t="str">
        <f ca="1"/>
        <v/>
      </c>
      <c r="AH227" s="26">
        <f ca="1"/>
        <v>2.7000000000000003E-2</v>
      </c>
    </row>
    <row r="228" spans="1:34">
      <c r="A228" s="5">
        <f ca="1"/>
        <v>35734</v>
      </c>
      <c r="B228" s="2">
        <f ca="1"/>
        <v>-7.66457677032652E-2</v>
      </c>
      <c r="C228" s="2">
        <f ca="1"/>
        <v>-0.16409341298781907</v>
      </c>
      <c r="D228" s="2">
        <f ca="1"/>
        <v>-5.9543221720868157E-2</v>
      </c>
      <c r="E228" s="2">
        <f ca="1"/>
        <v>1.4507220336727194E-2</v>
      </c>
      <c r="F228" s="2">
        <f ca="1"/>
        <v>-9.4462172915385154E-2</v>
      </c>
      <c r="G228" s="2">
        <f ca="1"/>
        <v>-5.738616455676919E-2</v>
      </c>
      <c r="H228" s="2">
        <f ca="1"/>
        <v>-5.312359860636786E-2</v>
      </c>
      <c r="I228" s="2" t="str">
        <f ca="1"/>
        <v/>
      </c>
      <c r="J228" s="2" t="str">
        <f ca="1"/>
        <v/>
      </c>
      <c r="K228" s="2">
        <f ca="1"/>
        <v>-4.7832680399342811E-2</v>
      </c>
      <c r="L228" s="2" t="str">
        <f ca="1"/>
        <v/>
      </c>
      <c r="M228" s="2" t="str">
        <f ca="1"/>
        <v/>
      </c>
      <c r="N228" s="2">
        <f ca="1"/>
        <v>-3.8070042831947488E-2</v>
      </c>
      <c r="O228" s="2" t="str">
        <f ca="1"/>
        <v/>
      </c>
      <c r="P228" s="2">
        <f ca="1"/>
        <v>-0.12182522600086093</v>
      </c>
      <c r="Q228" s="2">
        <f ca="1"/>
        <v>-2.4505909824029289E-2</v>
      </c>
      <c r="R228" s="2">
        <f ca="1"/>
        <v>-2.9319716685883825E-2</v>
      </c>
      <c r="S228" s="2">
        <f ca="1"/>
        <v>-1.8758102494907086E-2</v>
      </c>
      <c r="T228" s="2">
        <f ca="1"/>
        <v>-3.3407235298658161E-2</v>
      </c>
      <c r="U228" s="2">
        <f ca="1"/>
        <v>-3.2402752913866309E-2</v>
      </c>
      <c r="V228" s="2">
        <f ca="1"/>
        <v>-3.6961638032478289E-2</v>
      </c>
      <c r="W228" s="2">
        <f ca="1"/>
        <v>-2.7940512481105229E-2</v>
      </c>
      <c r="X228" s="2" t="str">
        <f ca="1"/>
        <v/>
      </c>
      <c r="Y228" s="2" t="str">
        <f ca="1"/>
        <v/>
      </c>
      <c r="Z228" s="2" t="str">
        <f ca="1"/>
        <v/>
      </c>
      <c r="AA228" s="2" t="str">
        <f ca="1"/>
        <v/>
      </c>
      <c r="AB228" s="2" t="str">
        <f ca="1"/>
        <v/>
      </c>
      <c r="AC228" s="2" t="str">
        <f ca="1"/>
        <v/>
      </c>
      <c r="AD228" s="2" t="str">
        <f ca="1"/>
        <v/>
      </c>
      <c r="AE228" s="2" t="str">
        <f ca="1"/>
        <v/>
      </c>
      <c r="AF228" s="2" t="str">
        <f ca="1"/>
        <v/>
      </c>
      <c r="AG228" s="26" t="str">
        <f ca="1"/>
        <v/>
      </c>
      <c r="AH228" s="26">
        <f ca="1"/>
        <v>-6.6400000000000001E-2</v>
      </c>
    </row>
    <row r="229" spans="1:34">
      <c r="A229" s="5">
        <f ca="1"/>
        <v>35762</v>
      </c>
      <c r="B229" s="2">
        <f ca="1"/>
        <v>-9.9635663675065132E-3</v>
      </c>
      <c r="C229" s="2">
        <f ca="1"/>
        <v>-3.6476703174308685E-2</v>
      </c>
      <c r="D229" s="2">
        <f ca="1"/>
        <v>1.5298379683867028E-2</v>
      </c>
      <c r="E229" s="2">
        <f ca="1"/>
        <v>4.6047884552312115E-3</v>
      </c>
      <c r="F229" s="2">
        <f ca="1"/>
        <v>-1.9731701494258846E-3</v>
      </c>
      <c r="G229" s="2">
        <f ca="1"/>
        <v>-1.8181524339000582E-2</v>
      </c>
      <c r="H229" s="2">
        <f ca="1"/>
        <v>2.3826004590331028E-2</v>
      </c>
      <c r="I229" s="2" t="str">
        <f ca="1"/>
        <v/>
      </c>
      <c r="J229" s="2" t="str">
        <f ca="1"/>
        <v/>
      </c>
      <c r="K229" s="2">
        <f ca="1"/>
        <v>8.8703076957108214E-3</v>
      </c>
      <c r="L229" s="2" t="str">
        <f ca="1"/>
        <v/>
      </c>
      <c r="M229" s="2" t="str">
        <f ca="1"/>
        <v/>
      </c>
      <c r="N229" s="2">
        <f ca="1"/>
        <v>3.7455145498834316E-2</v>
      </c>
      <c r="O229" s="2" t="str">
        <f ca="1"/>
        <v/>
      </c>
      <c r="P229" s="2">
        <f ca="1"/>
        <v>-3.5115864527629215E-2</v>
      </c>
      <c r="Q229" s="2">
        <f ca="1"/>
        <v>5.0588554647977686E-2</v>
      </c>
      <c r="R229" s="2">
        <f ca="1"/>
        <v>3.8995418292889904E-2</v>
      </c>
      <c r="S229" s="2">
        <f ca="1"/>
        <v>5.1364322691975869E-2</v>
      </c>
      <c r="T229" s="2">
        <f ca="1"/>
        <v>4.6299536262142518E-2</v>
      </c>
      <c r="U229" s="2">
        <f ca="1"/>
        <v>4.3355505190911199E-2</v>
      </c>
      <c r="V229" s="2">
        <f ca="1"/>
        <v>4.2473637263407409E-2</v>
      </c>
      <c r="W229" s="2">
        <f ca="1"/>
        <v>4.4213192697394203E-2</v>
      </c>
      <c r="X229" s="2" t="str">
        <f ca="1"/>
        <v/>
      </c>
      <c r="Y229" s="2" t="str">
        <f ca="1"/>
        <v/>
      </c>
      <c r="Z229" s="2" t="str">
        <f ca="1"/>
        <v/>
      </c>
      <c r="AA229" s="2" t="str">
        <f ca="1"/>
        <v/>
      </c>
      <c r="AB229" s="2" t="str">
        <f ca="1"/>
        <v/>
      </c>
      <c r="AC229" s="2" t="str">
        <f ca="1"/>
        <v/>
      </c>
      <c r="AD229" s="2" t="str">
        <f ca="1"/>
        <v/>
      </c>
      <c r="AE229" s="2" t="str">
        <f ca="1"/>
        <v/>
      </c>
      <c r="AF229" s="2" t="str">
        <f ca="1"/>
        <v/>
      </c>
      <c r="AG229" s="26" t="str">
        <f ca="1"/>
        <v/>
      </c>
      <c r="AH229" s="26">
        <f ca="1"/>
        <v>-4.87E-2</v>
      </c>
    </row>
    <row r="230" spans="1:34">
      <c r="A230" s="5">
        <f ca="1"/>
        <v>35795</v>
      </c>
      <c r="B230" s="2">
        <f ca="1"/>
        <v>8.9524549625933543E-3</v>
      </c>
      <c r="C230" s="2">
        <f ca="1"/>
        <v>2.4082458337347078E-2</v>
      </c>
      <c r="D230" s="2">
        <f ca="1"/>
        <v>1.3129351449802904E-2</v>
      </c>
      <c r="E230" s="2">
        <f ca="1"/>
        <v>1.0068428750522405E-2</v>
      </c>
      <c r="F230" s="2">
        <f ca="1"/>
        <v>1.303523443582206E-2</v>
      </c>
      <c r="G230" s="2">
        <f ca="1"/>
        <v>4.7214586316823414E-3</v>
      </c>
      <c r="H230" s="2">
        <f ca="1"/>
        <v>2.7790627335159957E-2</v>
      </c>
      <c r="I230" s="2" t="str">
        <f ca="1"/>
        <v/>
      </c>
      <c r="J230" s="2" t="str">
        <f ca="1"/>
        <v/>
      </c>
      <c r="K230" s="2">
        <f ca="1"/>
        <v>2.5609542185581497E-2</v>
      </c>
      <c r="L230" s="2" t="str">
        <f ca="1"/>
        <v/>
      </c>
      <c r="M230" s="2" t="str">
        <f ca="1"/>
        <v/>
      </c>
      <c r="N230" s="2">
        <f ca="1"/>
        <v>1.3305056931505566E-2</v>
      </c>
      <c r="O230" s="2" t="str">
        <f ca="1"/>
        <v/>
      </c>
      <c r="P230" s="2">
        <f ca="1"/>
        <v>2.6694993534084614E-2</v>
      </c>
      <c r="Q230" s="2">
        <f ca="1"/>
        <v>6.7648509618772361E-3</v>
      </c>
      <c r="R230" s="2">
        <f ca="1"/>
        <v>1.7345005553014967E-2</v>
      </c>
      <c r="S230" s="2">
        <f ca="1"/>
        <v>2.0195932603287774E-2</v>
      </c>
      <c r="T230" s="2">
        <f ca="1"/>
        <v>1.715175674649784E-2</v>
      </c>
      <c r="U230" s="2">
        <f ca="1"/>
        <v>2.0307486555603989E-2</v>
      </c>
      <c r="V230" s="2">
        <f ca="1"/>
        <v>1.1202602121549656E-2</v>
      </c>
      <c r="W230" s="2">
        <f ca="1"/>
        <v>2.9192603214336126E-2</v>
      </c>
      <c r="X230" s="2" t="str">
        <f ca="1"/>
        <v/>
      </c>
      <c r="Y230" s="2" t="str">
        <f ca="1"/>
        <v/>
      </c>
      <c r="Z230" s="2" t="str">
        <f ca="1"/>
        <v/>
      </c>
      <c r="AA230" s="2" t="str">
        <f ca="1"/>
        <v/>
      </c>
      <c r="AB230" s="2" t="str">
        <f ca="1"/>
        <v/>
      </c>
      <c r="AC230" s="2" t="str">
        <f ca="1"/>
        <v/>
      </c>
      <c r="AD230" s="2" t="str">
        <f ca="1"/>
        <v/>
      </c>
      <c r="AE230" s="2" t="str">
        <f ca="1"/>
        <v/>
      </c>
      <c r="AF230" s="2" t="str">
        <f ca="1"/>
        <v/>
      </c>
      <c r="AG230" s="26" t="str">
        <f ca="1"/>
        <v/>
      </c>
      <c r="AH230" s="26">
        <f ca="1"/>
        <v>-2.3599999999999999E-2</v>
      </c>
    </row>
    <row r="231" spans="1:34">
      <c r="A231" s="5">
        <f ca="1"/>
        <v>35825</v>
      </c>
      <c r="B231" s="2">
        <f ca="1"/>
        <v>4.5965996404193563E-2</v>
      </c>
      <c r="C231" s="2">
        <f ca="1"/>
        <v>-7.8412190762863238E-2</v>
      </c>
      <c r="D231" s="2">
        <f ca="1"/>
        <v>2.2014529168725431E-2</v>
      </c>
      <c r="E231" s="2">
        <f ca="1"/>
        <v>1.2838248412995914E-2</v>
      </c>
      <c r="F231" s="2">
        <f ca="1"/>
        <v>4.5387667475249888E-2</v>
      </c>
      <c r="G231" s="2">
        <f ca="1"/>
        <v>4.6577669041332266E-2</v>
      </c>
      <c r="H231" s="2">
        <f ca="1"/>
        <v>2.3957900567788452E-2</v>
      </c>
      <c r="I231" s="2" t="str">
        <f ca="1"/>
        <v/>
      </c>
      <c r="J231" s="2" t="str">
        <f ca="1"/>
        <v/>
      </c>
      <c r="K231" s="2">
        <f ca="1"/>
        <v>-5.1735932957072354E-3</v>
      </c>
      <c r="L231" s="2" t="str">
        <f ca="1"/>
        <v/>
      </c>
      <c r="M231" s="2" t="str">
        <f ca="1"/>
        <v/>
      </c>
      <c r="N231" s="2">
        <f ca="1"/>
        <v>2.9948176200916835E-2</v>
      </c>
      <c r="O231" s="2" t="str">
        <f ca="1"/>
        <v/>
      </c>
      <c r="P231" s="2">
        <f ca="1"/>
        <v>-5.6410256410256501E-2</v>
      </c>
      <c r="Q231" s="2">
        <f ca="1"/>
        <v>3.5300156319264586E-2</v>
      </c>
      <c r="R231" s="2">
        <f ca="1"/>
        <v>2.6456895167763721E-2</v>
      </c>
      <c r="S231" s="2">
        <f ca="1"/>
        <v>3.3433466145472886E-3</v>
      </c>
      <c r="T231" s="2">
        <f ca="1"/>
        <v>1.1049508781650575E-2</v>
      </c>
      <c r="U231" s="2">
        <f ca="1"/>
        <v>7.4499791422697557E-3</v>
      </c>
      <c r="V231" s="2">
        <f ca="1"/>
        <v>2.9902950884279897E-2</v>
      </c>
      <c r="W231" s="2">
        <f ca="1"/>
        <v>-1.4152754176431562E-2</v>
      </c>
      <c r="X231" s="2" t="str">
        <f ca="1"/>
        <v/>
      </c>
      <c r="Y231" s="2" t="str">
        <f ca="1"/>
        <v/>
      </c>
      <c r="Z231" s="2" t="str">
        <f ca="1"/>
        <v/>
      </c>
      <c r="AA231" s="2" t="str">
        <f ca="1"/>
        <v/>
      </c>
      <c r="AB231" s="2" t="str">
        <f ca="1"/>
        <v/>
      </c>
      <c r="AC231" s="2" t="str">
        <f ca="1"/>
        <v/>
      </c>
      <c r="AD231" s="2" t="str">
        <f ca="1"/>
        <v/>
      </c>
      <c r="AE231" s="2" t="str">
        <f ca="1"/>
        <v/>
      </c>
      <c r="AF231" s="2" t="str">
        <f ca="1"/>
        <v/>
      </c>
      <c r="AG231" s="26" t="str">
        <f ca="1"/>
        <v/>
      </c>
      <c r="AH231" s="26">
        <f ca="1"/>
        <v>4.4800000000000006E-2</v>
      </c>
    </row>
    <row r="232" spans="1:34">
      <c r="A232" s="5">
        <f ca="1"/>
        <v>35853</v>
      </c>
      <c r="B232" s="2">
        <f ca="1"/>
        <v>6.4398172993806471E-2</v>
      </c>
      <c r="C232" s="2">
        <f ca="1"/>
        <v>0.10437463000387859</v>
      </c>
      <c r="D232" s="2">
        <f ca="1"/>
        <v>6.8409917740768433E-2</v>
      </c>
      <c r="E232" s="2">
        <f ca="1"/>
        <v>-7.5312739341336723E-4</v>
      </c>
      <c r="F232" s="2">
        <f ca="1"/>
        <v>6.6543708752184627E-2</v>
      </c>
      <c r="G232" s="2">
        <f ca="1"/>
        <v>6.2178274652021387E-2</v>
      </c>
      <c r="H232" s="2">
        <f ca="1"/>
        <v>6.7047606167162516E-2</v>
      </c>
      <c r="I232" s="2" t="str">
        <f ca="1"/>
        <v/>
      </c>
      <c r="J232" s="2" t="str">
        <f ca="1"/>
        <v/>
      </c>
      <c r="K232" s="2">
        <f ca="1"/>
        <v>4.7943439205742053E-2</v>
      </c>
      <c r="L232" s="2" t="str">
        <f ca="1"/>
        <v/>
      </c>
      <c r="M232" s="2" t="str">
        <f ca="1"/>
        <v/>
      </c>
      <c r="N232" s="2">
        <f ca="1"/>
        <v>7.5693066911800333E-2</v>
      </c>
      <c r="O232" s="2" t="str">
        <f ca="1"/>
        <v/>
      </c>
      <c r="P232" s="2">
        <f ca="1"/>
        <v>0.10597826086956533</v>
      </c>
      <c r="Q232" s="2">
        <f ca="1"/>
        <v>7.3263622842204876E-2</v>
      </c>
      <c r="R232" s="2">
        <f ca="1"/>
        <v>6.4218461634708721E-2</v>
      </c>
      <c r="S232" s="2">
        <f ca="1"/>
        <v>5.5870820649654908E-2</v>
      </c>
      <c r="T232" s="2">
        <f ca="1"/>
        <v>7.2123903085859101E-2</v>
      </c>
      <c r="U232" s="2">
        <f ca="1"/>
        <v>7.1285856323768798E-2</v>
      </c>
      <c r="V232" s="2">
        <f ca="1"/>
        <v>7.5221861441410118E-2</v>
      </c>
      <c r="W232" s="2">
        <f ca="1"/>
        <v>6.7322014513867171E-2</v>
      </c>
      <c r="X232" s="2" t="str">
        <f ca="1"/>
        <v/>
      </c>
      <c r="Y232" s="2" t="str">
        <f ca="1"/>
        <v/>
      </c>
      <c r="Z232" s="2" t="str">
        <f ca="1"/>
        <v/>
      </c>
      <c r="AA232" s="2" t="str">
        <f ca="1"/>
        <v/>
      </c>
      <c r="AB232" s="2" t="str">
        <f ca="1"/>
        <v/>
      </c>
      <c r="AC232" s="2" t="str">
        <f ca="1"/>
        <v/>
      </c>
      <c r="AD232" s="2" t="str">
        <f ca="1"/>
        <v/>
      </c>
      <c r="AE232" s="2" t="str">
        <f ca="1"/>
        <v/>
      </c>
      <c r="AF232" s="2" t="str">
        <f ca="1"/>
        <v/>
      </c>
      <c r="AG232" s="26" t="str">
        <f ca="1"/>
        <v/>
      </c>
      <c r="AH232" s="26">
        <f ca="1"/>
        <v>-9.1999999999999998E-3</v>
      </c>
    </row>
    <row r="233" spans="1:34">
      <c r="A233" s="5">
        <f ca="1"/>
        <v>35885</v>
      </c>
      <c r="B233" s="2">
        <f ca="1"/>
        <v>3.1017604568363489E-2</v>
      </c>
      <c r="C233" s="2">
        <f ca="1"/>
        <v>4.3382624768946443E-2</v>
      </c>
      <c r="D233" s="2">
        <f ca="1"/>
        <v>4.2668249943836507E-2</v>
      </c>
      <c r="E233" s="2">
        <f ca="1"/>
        <v>3.4363383196434061E-3</v>
      </c>
      <c r="F233" s="2">
        <f ca="1"/>
        <v>1.3673715216072902E-2</v>
      </c>
      <c r="G233" s="2">
        <f ca="1"/>
        <v>4.9430507691891966E-2</v>
      </c>
      <c r="H233" s="2">
        <f ca="1"/>
        <v>5.9349155549922428E-2</v>
      </c>
      <c r="I233" s="2" t="str">
        <f ca="1"/>
        <v/>
      </c>
      <c r="J233" s="2" t="str">
        <f ca="1"/>
        <v/>
      </c>
      <c r="K233" s="2">
        <f ca="1"/>
        <v>5.6310878703988591E-2</v>
      </c>
      <c r="L233" s="2" t="str">
        <f ca="1"/>
        <v/>
      </c>
      <c r="M233" s="2" t="str">
        <f ca="1"/>
        <v/>
      </c>
      <c r="N233" s="2">
        <f ca="1"/>
        <v>4.5719297456540769E-2</v>
      </c>
      <c r="O233" s="2" t="str">
        <f ca="1"/>
        <v/>
      </c>
      <c r="P233" s="2">
        <f ca="1"/>
        <v>2.5302814776499007E-2</v>
      </c>
      <c r="Q233" s="2">
        <f ca="1"/>
        <v>4.7307086614173176E-2</v>
      </c>
      <c r="R233" s="2">
        <f ca="1"/>
        <v>6.6515783904532347E-2</v>
      </c>
      <c r="S233" s="2">
        <f ca="1"/>
        <v>5.8027928387533033E-2</v>
      </c>
      <c r="T233" s="2">
        <f ca="1"/>
        <v>5.1200925935339571E-2</v>
      </c>
      <c r="U233" s="2">
        <f ca="1"/>
        <v>5.0434831201670811E-2</v>
      </c>
      <c r="V233" s="2">
        <f ca="1"/>
        <v>3.9865388238742173E-2</v>
      </c>
      <c r="W233" s="2">
        <f ca="1"/>
        <v>6.1164716627801936E-2</v>
      </c>
      <c r="X233" s="2" t="str">
        <f ca="1"/>
        <v/>
      </c>
      <c r="Y233" s="2" t="str">
        <f ca="1"/>
        <v/>
      </c>
      <c r="Z233" s="2" t="str">
        <f ca="1"/>
        <v/>
      </c>
      <c r="AA233" s="2" t="str">
        <f ca="1"/>
        <v/>
      </c>
      <c r="AB233" s="2" t="str">
        <f ca="1"/>
        <v/>
      </c>
      <c r="AC233" s="2" t="str">
        <f ca="1"/>
        <v/>
      </c>
      <c r="AD233" s="2" t="str">
        <f ca="1"/>
        <v/>
      </c>
      <c r="AE233" s="2" t="str">
        <f ca="1"/>
        <v/>
      </c>
      <c r="AF233" s="2" t="str">
        <f ca="1"/>
        <v/>
      </c>
      <c r="AG233" s="26" t="str">
        <f ca="1"/>
        <v/>
      </c>
      <c r="AH233" s="26">
        <f ca="1"/>
        <v>1.2999999999999999E-3</v>
      </c>
    </row>
    <row r="234" spans="1:34">
      <c r="A234" s="5">
        <f ca="1"/>
        <v>35915</v>
      </c>
      <c r="B234" s="2">
        <f ca="1"/>
        <v>8.1428234358688293E-3</v>
      </c>
      <c r="C234" s="2">
        <f ca="1"/>
        <v>-1.0895176005810718E-2</v>
      </c>
      <c r="D234" s="2">
        <f ca="1"/>
        <v>9.372547209012469E-3</v>
      </c>
      <c r="E234" s="2">
        <f ca="1"/>
        <v>5.2196053469128235E-3</v>
      </c>
      <c r="F234" s="2">
        <f ca="1"/>
        <v>1.0177681703972008E-2</v>
      </c>
      <c r="G234" s="2">
        <f ca="1"/>
        <v>6.0481086787083039E-3</v>
      </c>
      <c r="H234" s="2">
        <f ca="1"/>
        <v>2.9193586982531678E-2</v>
      </c>
      <c r="I234" s="2" t="str">
        <f ca="1"/>
        <v/>
      </c>
      <c r="J234" s="2" t="str">
        <f ca="1"/>
        <v/>
      </c>
      <c r="K234" s="2">
        <f ca="1"/>
        <v>4.6397856768456954E-3</v>
      </c>
      <c r="L234" s="2" t="str">
        <f ca="1"/>
        <v/>
      </c>
      <c r="M234" s="2" t="str">
        <f ca="1"/>
        <v/>
      </c>
      <c r="N234" s="2">
        <f ca="1"/>
        <v>1.2967741935483812E-2</v>
      </c>
      <c r="O234" s="2" t="str">
        <f ca="1"/>
        <v/>
      </c>
      <c r="P234" s="2">
        <f ca="1"/>
        <v>2.3711426889767032E-2</v>
      </c>
      <c r="Q234" s="2">
        <f ca="1"/>
        <v>9.0420626328241872E-3</v>
      </c>
      <c r="R234" s="2">
        <f ca="1"/>
        <v>4.0760644894584433E-2</v>
      </c>
      <c r="S234" s="2">
        <f ca="1"/>
        <v>-8.5783489201372281E-3</v>
      </c>
      <c r="T234" s="2">
        <f ca="1"/>
        <v>1.0036592696507923E-2</v>
      </c>
      <c r="U234" s="2">
        <f ca="1"/>
        <v>1.0280677114920174E-2</v>
      </c>
      <c r="V234" s="2">
        <f ca="1"/>
        <v>1.3835971512695952E-2</v>
      </c>
      <c r="W234" s="2">
        <f ca="1"/>
        <v>6.6885933277554552E-3</v>
      </c>
      <c r="X234" s="2" t="str">
        <f ca="1"/>
        <v/>
      </c>
      <c r="Y234" s="2" t="str">
        <f ca="1"/>
        <v/>
      </c>
      <c r="Z234" s="2" t="str">
        <f ca="1"/>
        <v/>
      </c>
      <c r="AA234" s="2" t="str">
        <f ca="1"/>
        <v/>
      </c>
      <c r="AB234" s="2" t="str">
        <f ca="1"/>
        <v/>
      </c>
      <c r="AC234" s="2" t="str">
        <f ca="1"/>
        <v/>
      </c>
      <c r="AD234" s="2" t="str">
        <f ca="1"/>
        <v/>
      </c>
      <c r="AE234" s="2" t="str">
        <f ca="1"/>
        <v/>
      </c>
      <c r="AF234" s="2" t="str">
        <f ca="1"/>
        <v/>
      </c>
      <c r="AG234" s="26" t="str">
        <f ca="1"/>
        <v/>
      </c>
      <c r="AH234" s="26">
        <f ca="1"/>
        <v>2.46E-2</v>
      </c>
    </row>
    <row r="235" spans="1:34">
      <c r="A235" s="5">
        <f ca="1"/>
        <v>35944</v>
      </c>
      <c r="B235" s="2">
        <f ca="1"/>
        <v>-4.626680341626061E-3</v>
      </c>
      <c r="C235" s="2">
        <f ca="1"/>
        <v>-0.13703610832497501</v>
      </c>
      <c r="D235" s="2">
        <f ca="1"/>
        <v>-1.8973561430793096E-2</v>
      </c>
      <c r="E235" s="2">
        <f ca="1"/>
        <v>9.4858156028368914E-3</v>
      </c>
      <c r="F235" s="2">
        <f ca="1"/>
        <v>-6.8354614533606087E-3</v>
      </c>
      <c r="G235" s="2">
        <f ca="1"/>
        <v>-2.3567731053335912E-3</v>
      </c>
      <c r="H235" s="2">
        <f ca="1"/>
        <v>-8.8060916066030372E-3</v>
      </c>
      <c r="I235" s="2" t="str">
        <f ca="1"/>
        <v/>
      </c>
      <c r="J235" s="2" t="str">
        <f ca="1"/>
        <v/>
      </c>
      <c r="K235" s="2">
        <f ca="1"/>
        <v>-3.1207729468598989E-2</v>
      </c>
      <c r="L235" s="2" t="str">
        <f ca="1"/>
        <v/>
      </c>
      <c r="M235" s="2" t="str">
        <f ca="1"/>
        <v/>
      </c>
      <c r="N235" s="2">
        <f ca="1"/>
        <v>-1.5370570876589501E-2</v>
      </c>
      <c r="O235" s="2" t="str">
        <f ca="1"/>
        <v/>
      </c>
      <c r="P235" s="2">
        <f ca="1"/>
        <v>-0.12287474332648865</v>
      </c>
      <c r="Q235" s="2">
        <f ca="1"/>
        <v>-1.8538019829521829E-2</v>
      </c>
      <c r="R235" s="2">
        <f ca="1"/>
        <v>-2.4414786569219284E-2</v>
      </c>
      <c r="S235" s="2">
        <f ca="1"/>
        <v>-9.3085858414486758E-3</v>
      </c>
      <c r="T235" s="2">
        <f ca="1"/>
        <v>-1.7218742339429924E-2</v>
      </c>
      <c r="U235" s="2">
        <f ca="1"/>
        <v>-2.1637402265500913E-2</v>
      </c>
      <c r="V235" s="2">
        <f ca="1"/>
        <v>-2.8374058004110487E-2</v>
      </c>
      <c r="W235" s="2">
        <f ca="1"/>
        <v>-1.4828737515344611E-2</v>
      </c>
      <c r="X235" s="2" t="str">
        <f ca="1"/>
        <v/>
      </c>
      <c r="Y235" s="2" t="str">
        <f ca="1"/>
        <v/>
      </c>
      <c r="Z235" s="2" t="str">
        <f ca="1"/>
        <v/>
      </c>
      <c r="AA235" s="2" t="str">
        <f ca="1"/>
        <v/>
      </c>
      <c r="AB235" s="2" t="str">
        <f ca="1"/>
        <v/>
      </c>
      <c r="AC235" s="2" t="str">
        <f ca="1"/>
        <v/>
      </c>
      <c r="AD235" s="2" t="str">
        <f ca="1"/>
        <v/>
      </c>
      <c r="AE235" s="2" t="str">
        <f ca="1"/>
        <v/>
      </c>
      <c r="AF235" s="2" t="str">
        <f ca="1"/>
        <v/>
      </c>
      <c r="AG235" s="26" t="str">
        <f ca="1"/>
        <v/>
      </c>
      <c r="AH235" s="26">
        <f ca="1"/>
        <v>-5.0700000000000002E-2</v>
      </c>
    </row>
    <row r="236" spans="1:34">
      <c r="A236" s="5">
        <f ca="1"/>
        <v>35976</v>
      </c>
      <c r="B236" s="2">
        <f ca="1"/>
        <v>7.7928218686023299E-3</v>
      </c>
      <c r="C236" s="2">
        <f ca="1"/>
        <v>-0.10489612087752438</v>
      </c>
      <c r="D236" s="2">
        <f ca="1"/>
        <v>1.8016337797008442E-2</v>
      </c>
      <c r="E236" s="2">
        <f ca="1"/>
        <v>8.4808490885596235E-3</v>
      </c>
      <c r="F236" s="2">
        <f ca="1"/>
        <v>1.3992389451924615E-2</v>
      </c>
      <c r="G236" s="2">
        <f ca="1"/>
        <v>1.3782263556056861E-3</v>
      </c>
      <c r="H236" s="2">
        <f ca="1"/>
        <v>4.2896935933147619E-2</v>
      </c>
      <c r="I236" s="2" t="str">
        <f ca="1"/>
        <v/>
      </c>
      <c r="J236" s="2" t="str">
        <f ca="1"/>
        <v/>
      </c>
      <c r="K236" s="2">
        <f ca="1"/>
        <v>-2.0923506532362638E-2</v>
      </c>
      <c r="L236" s="2" t="str">
        <f ca="1"/>
        <v/>
      </c>
      <c r="M236" s="2" t="str">
        <f ca="1"/>
        <v/>
      </c>
      <c r="N236" s="2">
        <f ca="1"/>
        <v>4.8578020224670587E-2</v>
      </c>
      <c r="O236" s="2" t="str">
        <f ca="1"/>
        <v/>
      </c>
      <c r="P236" s="2">
        <f ca="1"/>
        <v>-0.12164060305272037</v>
      </c>
      <c r="Q236" s="2">
        <f ca="1"/>
        <v>6.7151186330877036E-2</v>
      </c>
      <c r="R236" s="2">
        <f ca="1"/>
        <v>7.7031648661853303E-2</v>
      </c>
      <c r="S236" s="2">
        <f ca="1"/>
        <v>3.1384861285534887E-2</v>
      </c>
      <c r="T236" s="2">
        <f ca="1"/>
        <v>4.0609838394923166E-2</v>
      </c>
      <c r="U236" s="2">
        <f ca="1"/>
        <v>3.702015950167957E-2</v>
      </c>
      <c r="V236" s="2">
        <f ca="1"/>
        <v>6.1246126452021626E-2</v>
      </c>
      <c r="W236" s="2">
        <f ca="1"/>
        <v>1.281681434164429E-2</v>
      </c>
      <c r="X236" s="2" t="str">
        <f ca="1"/>
        <v/>
      </c>
      <c r="Y236" s="2" t="str">
        <f ca="1"/>
        <v/>
      </c>
      <c r="Z236" s="2" t="str">
        <f ca="1"/>
        <v/>
      </c>
      <c r="AA236" s="2" t="str">
        <f ca="1"/>
        <v/>
      </c>
      <c r="AB236" s="2" t="str">
        <f ca="1"/>
        <v/>
      </c>
      <c r="AC236" s="2" t="str">
        <f ca="1"/>
        <v/>
      </c>
      <c r="AD236" s="2" t="str">
        <f ca="1"/>
        <v/>
      </c>
      <c r="AE236" s="2" t="str">
        <f ca="1"/>
        <v/>
      </c>
      <c r="AF236" s="2" t="str">
        <f ca="1"/>
        <v/>
      </c>
      <c r="AG236" s="26" t="str">
        <f ca="1"/>
        <v/>
      </c>
      <c r="AH236" s="26">
        <f ca="1"/>
        <v>1.9799999999999998E-2</v>
      </c>
    </row>
    <row r="237" spans="1:34">
      <c r="A237" s="5">
        <f ca="1"/>
        <v>36007</v>
      </c>
      <c r="B237" s="2">
        <f ca="1"/>
        <v>1.0360369286312003E-2</v>
      </c>
      <c r="C237" s="2">
        <f ca="1"/>
        <v>3.169708071509731E-2</v>
      </c>
      <c r="D237" s="2">
        <f ca="1"/>
        <v>3.2671356685710982E-4</v>
      </c>
      <c r="E237" s="2">
        <f ca="1"/>
        <v>2.1272625489829229E-3</v>
      </c>
      <c r="F237" s="2">
        <f ca="1"/>
        <v>4.7170980925696007E-3</v>
      </c>
      <c r="G237" s="2">
        <f ca="1"/>
        <v>1.6369238221437665E-2</v>
      </c>
      <c r="H237" s="2">
        <f ca="1"/>
        <v>3.0673639226270717E-2</v>
      </c>
      <c r="I237" s="2" t="str">
        <f ca="1"/>
        <v/>
      </c>
      <c r="J237" s="2" t="str">
        <f ca="1"/>
        <v/>
      </c>
      <c r="K237" s="2">
        <f ca="1"/>
        <v>-9.5139143543984343E-3</v>
      </c>
      <c r="L237" s="2" t="str">
        <f ca="1"/>
        <v/>
      </c>
      <c r="M237" s="2" t="str">
        <f ca="1"/>
        <v/>
      </c>
      <c r="N237" s="2">
        <f ca="1"/>
        <v>5.5107747984866071E-3</v>
      </c>
      <c r="O237" s="2" t="str">
        <f ca="1"/>
        <v/>
      </c>
      <c r="P237" s="2">
        <f ca="1"/>
        <v>1.620469083155646E-2</v>
      </c>
      <c r="Q237" s="2">
        <f ca="1"/>
        <v>4.7616337525847345E-3</v>
      </c>
      <c r="R237" s="2">
        <f ca="1"/>
        <v>1.5574596774193566E-2</v>
      </c>
      <c r="S237" s="2">
        <f ca="1"/>
        <v>-2.8049900928724069E-2</v>
      </c>
      <c r="T237" s="2">
        <f ca="1"/>
        <v>-1.0659673415714705E-2</v>
      </c>
      <c r="U237" s="2">
        <f ca="1"/>
        <v>-1.2026254828926693E-2</v>
      </c>
      <c r="V237" s="2">
        <f ca="1"/>
        <v>-6.6199498809612648E-3</v>
      </c>
      <c r="W237" s="2">
        <f ca="1"/>
        <v>-1.7649931066176391E-2</v>
      </c>
      <c r="X237" s="2" t="str">
        <f ca="1"/>
        <v/>
      </c>
      <c r="Y237" s="2" t="str">
        <f ca="1"/>
        <v/>
      </c>
      <c r="Z237" s="2" t="str">
        <f ca="1"/>
        <v/>
      </c>
      <c r="AA237" s="2" t="str">
        <f ca="1"/>
        <v/>
      </c>
      <c r="AB237" s="2" t="str">
        <f ca="1"/>
        <v/>
      </c>
      <c r="AC237" s="2" t="str">
        <f ca="1"/>
        <v/>
      </c>
      <c r="AD237" s="2" t="str">
        <f ca="1"/>
        <v/>
      </c>
      <c r="AE237" s="2" t="str">
        <f ca="1"/>
        <v/>
      </c>
      <c r="AF237" s="2" t="str">
        <f ca="1"/>
        <v/>
      </c>
      <c r="AG237" s="26" t="str">
        <f ca="1"/>
        <v/>
      </c>
      <c r="AH237" s="26">
        <f ca="1"/>
        <v>-3.9599999999999996E-2</v>
      </c>
    </row>
    <row r="238" spans="1:34">
      <c r="A238" s="5">
        <f ca="1"/>
        <v>36038</v>
      </c>
      <c r="B238" s="2">
        <f ca="1"/>
        <v>-0.12366864878646569</v>
      </c>
      <c r="C238" s="2">
        <f ca="1"/>
        <v>-0.28914010877871171</v>
      </c>
      <c r="D238" s="2">
        <f ca="1"/>
        <v>-0.14010213332275168</v>
      </c>
      <c r="E238" s="2">
        <f ca="1"/>
        <v>1.6274392968866395E-2</v>
      </c>
      <c r="F238" s="2">
        <f ca="1"/>
        <v>-0.10725960437079549</v>
      </c>
      <c r="G238" s="2">
        <f ca="1"/>
        <v>-0.14095666678886973</v>
      </c>
      <c r="H238" s="2">
        <f ca="1"/>
        <v>-0.15183174663793331</v>
      </c>
      <c r="I238" s="2" t="str">
        <f ca="1"/>
        <v/>
      </c>
      <c r="J238" s="2" t="str">
        <f ca="1"/>
        <v/>
      </c>
      <c r="K238" s="2">
        <f ca="1"/>
        <v>-0.10508237520310985</v>
      </c>
      <c r="L238" s="2" t="str">
        <f ca="1"/>
        <v/>
      </c>
      <c r="M238" s="2" t="str">
        <f ca="1"/>
        <v/>
      </c>
      <c r="N238" s="2">
        <f ca="1"/>
        <v>-0.11918200408997949</v>
      </c>
      <c r="O238" s="2" t="str">
        <f ca="1"/>
        <v/>
      </c>
      <c r="P238" s="2">
        <f ca="1"/>
        <v>-0.24790180444817453</v>
      </c>
      <c r="Q238" s="2">
        <f ca="1"/>
        <v>-0.1308813533721018</v>
      </c>
      <c r="R238" s="2">
        <f ca="1"/>
        <v>-0.15755124323787784</v>
      </c>
      <c r="S238" s="2">
        <f ca="1"/>
        <v>-8.9858208530265909E-2</v>
      </c>
      <c r="T238" s="2">
        <f ca="1"/>
        <v>-0.14458261542799455</v>
      </c>
      <c r="U238" s="2">
        <f ca="1"/>
        <v>-0.14947410631343849</v>
      </c>
      <c r="V238" s="2">
        <f ca="1"/>
        <v>-0.15007718199684483</v>
      </c>
      <c r="W238" s="2">
        <f ca="1"/>
        <v>-0.14881657237255674</v>
      </c>
      <c r="X238" s="2" t="str">
        <f ca="1"/>
        <v/>
      </c>
      <c r="Y238" s="2" t="str">
        <f ca="1"/>
        <v/>
      </c>
      <c r="Z238" s="2" t="str">
        <f ca="1"/>
        <v/>
      </c>
      <c r="AA238" s="2" t="str">
        <f ca="1"/>
        <v/>
      </c>
      <c r="AB238" s="2" t="str">
        <f ca="1"/>
        <v/>
      </c>
      <c r="AC238" s="2" t="str">
        <f ca="1"/>
        <v/>
      </c>
      <c r="AD238" s="2" t="str">
        <f ca="1"/>
        <v/>
      </c>
      <c r="AE238" s="2" t="str">
        <f ca="1"/>
        <v/>
      </c>
      <c r="AF238" s="2" t="str">
        <f ca="1"/>
        <v/>
      </c>
      <c r="AG238" s="26" t="str">
        <f ca="1"/>
        <v/>
      </c>
      <c r="AH238" s="26">
        <f ca="1"/>
        <v>-3.4200000000000001E-2</v>
      </c>
    </row>
    <row r="239" spans="1:34">
      <c r="A239" s="5">
        <f ca="1"/>
        <v>36068</v>
      </c>
      <c r="B239" s="2">
        <f ca="1"/>
        <v>-3.0396926267898354E-2</v>
      </c>
      <c r="C239" s="2">
        <f ca="1"/>
        <v>6.3454424736792164E-2</v>
      </c>
      <c r="D239" s="2">
        <f ca="1"/>
        <v>1.9892656329868749E-2</v>
      </c>
      <c r="E239" s="2">
        <f ca="1"/>
        <v>2.3416028436366393E-2</v>
      </c>
      <c r="F239" s="2">
        <f ca="1"/>
        <v>-2.7957432538819226E-2</v>
      </c>
      <c r="G239" s="2">
        <f ca="1"/>
        <v>-3.281819297225496E-2</v>
      </c>
      <c r="H239" s="2">
        <f ca="1"/>
        <v>-1.9972341041391888E-2</v>
      </c>
      <c r="I239" s="2" t="str">
        <f ca="1"/>
        <v/>
      </c>
      <c r="J239" s="2" t="str">
        <f ca="1"/>
        <v/>
      </c>
      <c r="K239" s="2">
        <f ca="1"/>
        <v>3.4934497816593857E-2</v>
      </c>
      <c r="L239" s="2" t="str">
        <f ca="1"/>
        <v/>
      </c>
      <c r="M239" s="2" t="str">
        <f ca="1"/>
        <v/>
      </c>
      <c r="N239" s="2">
        <f ca="1"/>
        <v>5.7786961367013334E-2</v>
      </c>
      <c r="O239" s="2" t="str">
        <f ca="1"/>
        <v/>
      </c>
      <c r="P239" s="2">
        <f ca="1"/>
        <v>3.7313432835820858E-2</v>
      </c>
      <c r="Q239" s="2">
        <f ca="1"/>
        <v>8.909019812304482E-2</v>
      </c>
      <c r="R239" s="2">
        <f ca="1"/>
        <v>4.7836460573212787E-2</v>
      </c>
      <c r="S239" s="2">
        <f ca="1"/>
        <v>5.8487142589000833E-2</v>
      </c>
      <c r="T239" s="2">
        <f ca="1"/>
        <v>6.4064965397228321E-2</v>
      </c>
      <c r="U239" s="2">
        <f ca="1"/>
        <v>6.7348720287329258E-2</v>
      </c>
      <c r="V239" s="2">
        <f ca="1"/>
        <v>7.6819775895988318E-2</v>
      </c>
      <c r="W239" s="2">
        <f ca="1"/>
        <v>5.7396641104250537E-2</v>
      </c>
      <c r="X239" s="2" t="str">
        <f ca="1"/>
        <v/>
      </c>
      <c r="Y239" s="2" t="str">
        <f ca="1"/>
        <v/>
      </c>
      <c r="Z239" s="2" t="str">
        <f ca="1"/>
        <v/>
      </c>
      <c r="AA239" s="2" t="str">
        <f ca="1"/>
        <v/>
      </c>
      <c r="AB239" s="2" t="str">
        <f ca="1"/>
        <v/>
      </c>
      <c r="AC239" s="2" t="str">
        <f ca="1"/>
        <v/>
      </c>
      <c r="AD239" s="2" t="str">
        <f ca="1"/>
        <v/>
      </c>
      <c r="AE239" s="2" t="str">
        <f ca="1"/>
        <v/>
      </c>
      <c r="AF239" s="2" t="str">
        <f ca="1"/>
        <v/>
      </c>
      <c r="AG239" s="26" t="str">
        <f ca="1"/>
        <v/>
      </c>
      <c r="AH239" s="26">
        <f ca="1"/>
        <v>7.2000000000000008E-2</v>
      </c>
    </row>
    <row r="240" spans="1:34">
      <c r="A240" s="5">
        <f ca="1"/>
        <v>36098</v>
      </c>
      <c r="B240" s="2">
        <f ca="1"/>
        <v>0.10452201403966491</v>
      </c>
      <c r="C240" s="2">
        <f ca="1"/>
        <v>0.1053038411226066</v>
      </c>
      <c r="D240" s="2">
        <f ca="1"/>
        <v>9.1328015147085481E-2</v>
      </c>
      <c r="E240" s="2">
        <f ca="1"/>
        <v>-5.275470256851037E-3</v>
      </c>
      <c r="F240" s="2">
        <f ca="1"/>
        <v>0.10162766240920258</v>
      </c>
      <c r="G240" s="2">
        <f ca="1"/>
        <v>0.10744601638123609</v>
      </c>
      <c r="H240" s="2">
        <f ca="1"/>
        <v>9.356130217904958E-2</v>
      </c>
      <c r="I240" s="2" t="str">
        <f ca="1"/>
        <v/>
      </c>
      <c r="J240" s="2" t="str">
        <f ca="1"/>
        <v/>
      </c>
      <c r="K240" s="2">
        <f ca="1"/>
        <v>6.8087941372418317E-2</v>
      </c>
      <c r="L240" s="2" t="str">
        <f ca="1"/>
        <v/>
      </c>
      <c r="M240" s="2" t="str">
        <f ca="1"/>
        <v/>
      </c>
      <c r="N240" s="2">
        <f ca="1"/>
        <v>6.9138078619872256E-2</v>
      </c>
      <c r="O240" s="2" t="str">
        <f ca="1"/>
        <v/>
      </c>
      <c r="P240" s="2">
        <f ca="1"/>
        <v>8.612922745915419E-2</v>
      </c>
      <c r="Q240" s="2">
        <f ca="1"/>
        <v>7.4781082321026204E-2</v>
      </c>
      <c r="R240" s="2">
        <f ca="1"/>
        <v>9.2935653445028535E-2</v>
      </c>
      <c r="S240" s="2">
        <f ca="1"/>
        <v>6.0055089905306919E-2</v>
      </c>
      <c r="T240" s="2">
        <f ca="1"/>
        <v>8.1330777224597986E-2</v>
      </c>
      <c r="U240" s="2">
        <f ca="1"/>
        <v>7.8984157356849341E-2</v>
      </c>
      <c r="V240" s="2">
        <f ca="1"/>
        <v>8.0371114694457874E-2</v>
      </c>
      <c r="W240" s="2">
        <f ca="1"/>
        <v>7.745971758998571E-2</v>
      </c>
      <c r="X240" s="2" t="str">
        <f ca="1"/>
        <v/>
      </c>
      <c r="Y240" s="2" t="str">
        <f ca="1"/>
        <v/>
      </c>
      <c r="Z240" s="2" t="str">
        <f ca="1"/>
        <v/>
      </c>
      <c r="AA240" s="2" t="str">
        <f ca="1"/>
        <v/>
      </c>
      <c r="AB240" s="2" t="str">
        <f ca="1"/>
        <v/>
      </c>
      <c r="AC240" s="2" t="str">
        <f ca="1"/>
        <v/>
      </c>
      <c r="AD240" s="2" t="str">
        <f ca="1"/>
        <v/>
      </c>
      <c r="AE240" s="2" t="str">
        <f ca="1"/>
        <v/>
      </c>
      <c r="AF240" s="2" t="str">
        <f ca="1"/>
        <v/>
      </c>
      <c r="AG240" s="26" t="str">
        <f ca="1"/>
        <v/>
      </c>
      <c r="AH240" s="26">
        <f ca="1"/>
        <v>-9.1000000000000004E-3</v>
      </c>
    </row>
    <row r="241" spans="1:34">
      <c r="A241" s="5">
        <f ca="1"/>
        <v>36129</v>
      </c>
      <c r="B241" s="2">
        <f ca="1"/>
        <v>5.147932444425269E-2</v>
      </c>
      <c r="C241" s="2">
        <f ca="1"/>
        <v>8.3167464629619714E-2</v>
      </c>
      <c r="D241" s="2">
        <f ca="1"/>
        <v>6.0710048603758192E-2</v>
      </c>
      <c r="E241" s="2">
        <f ca="1"/>
        <v>5.6634110052554863E-3</v>
      </c>
      <c r="F241" s="2">
        <f ca="1"/>
        <v>4.8555071602427377E-2</v>
      </c>
      <c r="G241" s="2">
        <f ca="1"/>
        <v>5.4433711597700073E-2</v>
      </c>
      <c r="H241" s="2">
        <f ca="1"/>
        <v>7.8204243315427788E-2</v>
      </c>
      <c r="I241" s="2" t="str">
        <f ca="1"/>
        <v/>
      </c>
      <c r="J241" s="2" t="str">
        <f ca="1"/>
        <v/>
      </c>
      <c r="K241" s="2">
        <f ca="1"/>
        <v>2.3120425815036604E-2</v>
      </c>
      <c r="L241" s="2" t="str">
        <f ca="1"/>
        <v/>
      </c>
      <c r="M241" s="2" t="str">
        <f ca="1"/>
        <v/>
      </c>
      <c r="N241" s="2">
        <f ca="1"/>
        <v>6.9676253823571552E-2</v>
      </c>
      <c r="O241" s="2" t="str">
        <f ca="1"/>
        <v/>
      </c>
      <c r="P241" s="2">
        <f ca="1"/>
        <v>4.729478766868897E-2</v>
      </c>
      <c r="Q241" s="2">
        <f ca="1"/>
        <v>8.3905571433873866E-2</v>
      </c>
      <c r="R241" s="2">
        <f ca="1"/>
        <v>8.2641014429383458E-2</v>
      </c>
      <c r="S241" s="2">
        <f ca="1"/>
        <v>4.8511748764902024E-2</v>
      </c>
      <c r="T241" s="2">
        <f ca="1"/>
        <v>6.0605590118335197E-2</v>
      </c>
      <c r="U241" s="2">
        <f ca="1"/>
        <v>6.1899524334557782E-2</v>
      </c>
      <c r="V241" s="2">
        <f ca="1"/>
        <v>7.6063593830800413E-2</v>
      </c>
      <c r="W241" s="2">
        <f ca="1"/>
        <v>4.6589866961470348E-2</v>
      </c>
      <c r="X241" s="2" t="str">
        <f ca="1"/>
        <v/>
      </c>
      <c r="Y241" s="2" t="str">
        <f ca="1"/>
        <v/>
      </c>
      <c r="Z241" s="2" t="str">
        <f ca="1"/>
        <v/>
      </c>
      <c r="AA241" s="2" t="str">
        <f ca="1"/>
        <v/>
      </c>
      <c r="AB241" s="2" t="str">
        <f ca="1"/>
        <v/>
      </c>
      <c r="AC241" s="2" t="str">
        <f ca="1"/>
        <v/>
      </c>
      <c r="AD241" s="2" t="str">
        <f ca="1"/>
        <v/>
      </c>
      <c r="AE241" s="2" t="str">
        <f ca="1"/>
        <v/>
      </c>
      <c r="AF241" s="2" t="str">
        <f ca="1"/>
        <v/>
      </c>
      <c r="AG241" s="26" t="str">
        <f ca="1"/>
        <v/>
      </c>
      <c r="AH241" s="26">
        <f ca="1"/>
        <v>-4.0999999999999995E-3</v>
      </c>
    </row>
    <row r="242" spans="1:34">
      <c r="A242" s="5">
        <f ca="1"/>
        <v>36160</v>
      </c>
      <c r="B242" s="2">
        <f ca="1"/>
        <v>3.9691716195029328E-2</v>
      </c>
      <c r="C242" s="2">
        <f ca="1"/>
        <v>-1.4502110752421096E-2</v>
      </c>
      <c r="D242" s="2">
        <f ca="1"/>
        <v>4.6441285418771426E-2</v>
      </c>
      <c r="E242" s="2">
        <f ca="1"/>
        <v>3.0066575989691241E-3</v>
      </c>
      <c r="F242" s="2">
        <f ca="1"/>
        <v>5.7606331933004677E-2</v>
      </c>
      <c r="G242" s="2">
        <f ca="1"/>
        <v>2.1406135606829798E-2</v>
      </c>
      <c r="H242" s="2">
        <f ca="1"/>
        <v>8.9760360711403045E-2</v>
      </c>
      <c r="I242" s="2" t="str">
        <f ca="1"/>
        <v/>
      </c>
      <c r="J242" s="2" t="str">
        <f ca="1"/>
        <v/>
      </c>
      <c r="K242" s="2">
        <f ca="1"/>
        <v>4.0156072183384801E-2</v>
      </c>
      <c r="L242" s="2" t="str">
        <f ca="1"/>
        <v/>
      </c>
      <c r="M242" s="2" t="str">
        <f ca="1"/>
        <v/>
      </c>
      <c r="N242" s="2">
        <f ca="1"/>
        <v>6.398618174839274E-2</v>
      </c>
      <c r="O242" s="2" t="str">
        <f ca="1"/>
        <v/>
      </c>
      <c r="P242" s="2">
        <f ca="1"/>
        <v>-5.1424518264570548E-3</v>
      </c>
      <c r="Q242" s="2">
        <f ca="1"/>
        <v>6.7890348098556541E-2</v>
      </c>
      <c r="R242" s="2">
        <f ca="1"/>
        <v>0.10232348189679748</v>
      </c>
      <c r="S242" s="2">
        <f ca="1"/>
        <v>4.0927897552622244E-2</v>
      </c>
      <c r="T242" s="2">
        <f ca="1"/>
        <v>5.7603024349158746E-2</v>
      </c>
      <c r="U242" s="2">
        <f ca="1"/>
        <v>6.3698733626347162E-2</v>
      </c>
      <c r="V242" s="2">
        <f ca="1"/>
        <v>9.0171569911379493E-2</v>
      </c>
      <c r="W242" s="2">
        <f ca="1"/>
        <v>3.4036893707327841E-2</v>
      </c>
      <c r="X242" s="2" t="str">
        <f ca="1"/>
        <v/>
      </c>
      <c r="Y242" s="2" t="str">
        <f ca="1"/>
        <v/>
      </c>
      <c r="Z242" s="2" t="str">
        <f ca="1"/>
        <v/>
      </c>
      <c r="AA242" s="2" t="str">
        <f ca="1"/>
        <v/>
      </c>
      <c r="AB242" s="2" t="str">
        <f ca="1"/>
        <v/>
      </c>
      <c r="AC242" s="2" t="str">
        <f ca="1"/>
        <v/>
      </c>
      <c r="AD242" s="2" t="str">
        <f ca="1"/>
        <v/>
      </c>
      <c r="AE242" s="2" t="str">
        <f ca="1"/>
        <v/>
      </c>
      <c r="AF242" s="2" t="str">
        <f ca="1"/>
        <v/>
      </c>
      <c r="AG242" s="26" t="str">
        <f ca="1"/>
        <v/>
      </c>
      <c r="AH242" s="26">
        <f ca="1"/>
        <v>-1.1299999999999999E-2</v>
      </c>
    </row>
    <row r="243" spans="1:34">
      <c r="A243" s="5">
        <f ca="1"/>
        <v>36189</v>
      </c>
      <c r="B243" s="2">
        <f ca="1"/>
        <v>-2.726755595568267E-3</v>
      </c>
      <c r="C243" s="2">
        <f ca="1"/>
        <v>-1.6126593761024124E-2</v>
      </c>
      <c r="D243" s="2">
        <f ca="1"/>
        <v>2.043742349973279E-2</v>
      </c>
      <c r="E243" s="2">
        <f ca="1"/>
        <v>7.1372493041181933E-3</v>
      </c>
      <c r="F243" s="2">
        <f ca="1"/>
        <v>5.3810701512803077E-3</v>
      </c>
      <c r="G243" s="2">
        <f ca="1"/>
        <v>-1.1232525769143601E-2</v>
      </c>
      <c r="H243" s="2">
        <f ca="1"/>
        <v>3.8003779945854819E-2</v>
      </c>
      <c r="I243" s="2" t="str">
        <f ca="1"/>
        <v/>
      </c>
      <c r="J243" s="2" t="str">
        <f ca="1"/>
        <v/>
      </c>
      <c r="K243" s="2">
        <f ca="1"/>
        <v>-8.8113472960299928E-3</v>
      </c>
      <c r="L243" s="2" t="str">
        <f ca="1"/>
        <v/>
      </c>
      <c r="M243" s="2" t="str">
        <f ca="1"/>
        <v/>
      </c>
      <c r="N243" s="2">
        <f ca="1"/>
        <v>3.7302260141777566E-2</v>
      </c>
      <c r="O243" s="2" t="str">
        <f ca="1"/>
        <v/>
      </c>
      <c r="P243" s="2">
        <f ca="1"/>
        <v>3.0182401521002815E-2</v>
      </c>
      <c r="Q243" s="2">
        <f ca="1"/>
        <v>4.452603899435624E-2</v>
      </c>
      <c r="R243" s="2">
        <f ca="1"/>
        <v>4.3018168495010632E-2</v>
      </c>
      <c r="S243" s="2">
        <f ca="1"/>
        <v>1.5173654040687896E-2</v>
      </c>
      <c r="T243" s="2">
        <f ca="1"/>
        <v>4.1816241717352022E-2</v>
      </c>
      <c r="U243" s="2">
        <f ca="1"/>
        <v>3.5682109090765232E-2</v>
      </c>
      <c r="V243" s="2">
        <f ca="1"/>
        <v>5.8716734843958306E-2</v>
      </c>
      <c r="W243" s="2">
        <f ca="1"/>
        <v>7.9841941280536146E-3</v>
      </c>
      <c r="X243" s="2" t="str">
        <f ca="1"/>
        <v/>
      </c>
      <c r="Y243" s="2" t="str">
        <f ca="1"/>
        <v/>
      </c>
      <c r="Z243" s="2" t="str">
        <f ca="1"/>
        <v/>
      </c>
      <c r="AA243" s="2" t="str">
        <f ca="1"/>
        <v/>
      </c>
      <c r="AB243" s="2" t="str">
        <f ca="1"/>
        <v/>
      </c>
      <c r="AC243" s="2" t="str">
        <f ca="1"/>
        <v/>
      </c>
      <c r="AD243" s="2" t="str">
        <f ca="1"/>
        <v/>
      </c>
      <c r="AE243" s="2" t="str">
        <f ca="1"/>
        <v/>
      </c>
      <c r="AF243" s="2" t="str">
        <f ca="1"/>
        <v/>
      </c>
      <c r="AG243" s="26" t="str">
        <f ca="1"/>
        <v/>
      </c>
      <c r="AH243" s="26">
        <f ca="1"/>
        <v>-0.01</v>
      </c>
    </row>
    <row r="244" spans="1:34">
      <c r="A244" s="5">
        <f ca="1"/>
        <v>36217</v>
      </c>
      <c r="B244" s="2">
        <f ca="1"/>
        <v>-2.3601275099541699E-2</v>
      </c>
      <c r="C244" s="2">
        <f ca="1"/>
        <v>9.7321108436203754E-3</v>
      </c>
      <c r="D244" s="2">
        <f ca="1"/>
        <v>-2.5132971609259126E-2</v>
      </c>
      <c r="E244" s="2">
        <f ca="1"/>
        <v>-1.7456830368743029E-2</v>
      </c>
      <c r="F244" s="2">
        <f ca="1"/>
        <v>-3.2307913787844145E-2</v>
      </c>
      <c r="G244" s="2">
        <f ca="1"/>
        <v>-1.4329944158115723E-2</v>
      </c>
      <c r="H244" s="2">
        <f ca="1"/>
        <v>-3.744894444171061E-2</v>
      </c>
      <c r="I244" s="2" t="str">
        <f ca="1"/>
        <v/>
      </c>
      <c r="J244" s="2" t="str">
        <f ca="1"/>
        <v/>
      </c>
      <c r="K244" s="2">
        <f ca="1"/>
        <v>-3.0433839906963904E-2</v>
      </c>
      <c r="L244" s="2" t="str">
        <f ca="1"/>
        <v/>
      </c>
      <c r="M244" s="2" t="str">
        <f ca="1"/>
        <v/>
      </c>
      <c r="N244" s="2">
        <f ca="1"/>
        <v>-3.4048028935607905E-2</v>
      </c>
      <c r="O244" s="2" t="str">
        <f ca="1"/>
        <v/>
      </c>
      <c r="P244" s="2">
        <f ca="1"/>
        <v>3.2008766364842331E-2</v>
      </c>
      <c r="Q244" s="2">
        <f ca="1"/>
        <v>-3.6625988180213391E-2</v>
      </c>
      <c r="R244" s="2">
        <f ca="1"/>
        <v>-2.4651306953197658E-2</v>
      </c>
      <c r="S244" s="2">
        <f ca="1"/>
        <v>-2.58575569691601E-2</v>
      </c>
      <c r="T244" s="2">
        <f ca="1"/>
        <v>-3.1086326020909265E-2</v>
      </c>
      <c r="U244" s="2">
        <f ca="1"/>
        <v>-3.1736456486010041E-2</v>
      </c>
      <c r="V244" s="2">
        <f ca="1"/>
        <v>-4.568246444562412E-2</v>
      </c>
      <c r="W244" s="2">
        <f ca="1"/>
        <v>-1.411444957562227E-2</v>
      </c>
      <c r="X244" s="2" t="str">
        <f ca="1"/>
        <v/>
      </c>
      <c r="Y244" s="2" t="str">
        <f ca="1"/>
        <v/>
      </c>
      <c r="Z244" s="2" t="str">
        <f ca="1"/>
        <v/>
      </c>
      <c r="AA244" s="2" t="str">
        <f ca="1"/>
        <v/>
      </c>
      <c r="AB244" s="2" t="str">
        <f ca="1"/>
        <v/>
      </c>
      <c r="AC244" s="2" t="str">
        <f ca="1"/>
        <v/>
      </c>
      <c r="AD244" s="2" t="str">
        <f ca="1"/>
        <v/>
      </c>
      <c r="AE244" s="2" t="str">
        <f ca="1"/>
        <v/>
      </c>
      <c r="AF244" s="2" t="str">
        <f ca="1"/>
        <v/>
      </c>
      <c r="AG244" s="26" t="str">
        <f ca="1"/>
        <v/>
      </c>
      <c r="AH244" s="26">
        <f ca="1"/>
        <v>6.9999999999999993E-3</v>
      </c>
    </row>
    <row r="245" spans="1:34">
      <c r="A245" s="5">
        <f ca="1"/>
        <v>36250</v>
      </c>
      <c r="B245" s="2">
        <f ca="1"/>
        <v>4.1984262709092522E-2</v>
      </c>
      <c r="C245" s="2">
        <f ca="1"/>
        <v>0.13176583980114642</v>
      </c>
      <c r="D245" s="2">
        <f ca="1"/>
        <v>4.4979420896815593E-2</v>
      </c>
      <c r="E245" s="2">
        <f ca="1"/>
        <v>5.5416646631725897E-3</v>
      </c>
      <c r="F245" s="2">
        <f ca="1"/>
        <v>1.3687222034383143E-2</v>
      </c>
      <c r="G245" s="2">
        <f ca="1"/>
        <v>7.0105430976399027E-2</v>
      </c>
      <c r="H245" s="2">
        <f ca="1"/>
        <v>2.9831288343558329E-2</v>
      </c>
      <c r="I245" s="2" t="str">
        <f ca="1"/>
        <v/>
      </c>
      <c r="J245" s="2" t="str">
        <f ca="1"/>
        <v/>
      </c>
      <c r="K245" s="2">
        <f ca="1"/>
        <v>3.1673748195734902E-2</v>
      </c>
      <c r="L245" s="2" t="str">
        <f ca="1"/>
        <v/>
      </c>
      <c r="M245" s="2" t="str">
        <f ca="1"/>
        <v/>
      </c>
      <c r="N245" s="2">
        <f ca="1"/>
        <v>3.6508307980341631E-2</v>
      </c>
      <c r="O245" s="2" t="str">
        <f ca="1"/>
        <v/>
      </c>
      <c r="P245" s="2">
        <f ca="1"/>
        <v>0.10601318877836147</v>
      </c>
      <c r="Q245" s="2">
        <f ca="1"/>
        <v>3.6759667936072812E-2</v>
      </c>
      <c r="R245" s="2">
        <f ca="1"/>
        <v>5.7878903436295065E-2</v>
      </c>
      <c r="S245" s="2">
        <f ca="1"/>
        <v>2.1739355052023561E-2</v>
      </c>
      <c r="T245" s="2">
        <f ca="1"/>
        <v>4.0007738196225995E-2</v>
      </c>
      <c r="U245" s="2">
        <f ca="1"/>
        <v>3.8317508103320054E-2</v>
      </c>
      <c r="V245" s="2">
        <f ca="1"/>
        <v>5.2664445864324269E-2</v>
      </c>
      <c r="W245" s="2">
        <f ca="1"/>
        <v>2.0694472674091267E-2</v>
      </c>
      <c r="X245" s="2" t="str">
        <f ca="1"/>
        <v/>
      </c>
      <c r="Y245" s="2" t="str">
        <f ca="1"/>
        <v/>
      </c>
      <c r="Z245" s="2" t="str">
        <f ca="1"/>
        <v/>
      </c>
      <c r="AA245" s="2" t="str">
        <f ca="1"/>
        <v/>
      </c>
      <c r="AB245" s="2" t="str">
        <f ca="1"/>
        <v/>
      </c>
      <c r="AC245" s="2" t="str">
        <f ca="1"/>
        <v/>
      </c>
      <c r="AD245" s="2" t="str">
        <f ca="1"/>
        <v/>
      </c>
      <c r="AE245" s="2" t="str">
        <f ca="1"/>
        <v/>
      </c>
      <c r="AF245" s="2" t="str">
        <f ca="1"/>
        <v/>
      </c>
      <c r="AG245" s="26" t="str">
        <f ca="1"/>
        <v/>
      </c>
      <c r="AH245" s="26">
        <f ca="1"/>
        <v>-2.9500000000000002E-2</v>
      </c>
    </row>
    <row r="246" spans="1:34">
      <c r="A246" s="5">
        <f ca="1"/>
        <v>36280</v>
      </c>
      <c r="B246" s="2">
        <f ca="1"/>
        <v>4.0748723649100892E-2</v>
      </c>
      <c r="C246" s="2">
        <f ca="1"/>
        <v>0.12373097868716533</v>
      </c>
      <c r="D246" s="2">
        <f ca="1"/>
        <v>4.3203666134141082E-2</v>
      </c>
      <c r="E246" s="2">
        <f ca="1"/>
        <v>3.1679996174490757E-3</v>
      </c>
      <c r="F246" s="2">
        <f ca="1"/>
        <v>1.0394286016308851E-2</v>
      </c>
      <c r="G246" s="2">
        <f ca="1"/>
        <v>6.9680617570246003E-2</v>
      </c>
      <c r="H246" s="2">
        <f ca="1"/>
        <v>-5.9572566832975674E-4</v>
      </c>
      <c r="I246" s="2" t="str">
        <f ca="1"/>
        <v/>
      </c>
      <c r="J246" s="2" t="str">
        <f ca="1"/>
        <v/>
      </c>
      <c r="K246" s="2">
        <f ca="1"/>
        <v>4.4672591483240306E-2</v>
      </c>
      <c r="L246" s="2" t="str">
        <f ca="1"/>
        <v/>
      </c>
      <c r="M246" s="2" t="str">
        <f ca="1"/>
        <v/>
      </c>
      <c r="N246" s="2">
        <f ca="1"/>
        <v>1.3686020459558497E-2</v>
      </c>
      <c r="O246" s="2" t="str">
        <f ca="1"/>
        <v/>
      </c>
      <c r="P246" s="2">
        <f ca="1"/>
        <v>5.9067252791672971E-2</v>
      </c>
      <c r="Q246" s="2">
        <f ca="1"/>
        <v>8.7295976393201736E-3</v>
      </c>
      <c r="R246" s="2">
        <f ca="1"/>
        <v>2.9438859294268981E-3</v>
      </c>
      <c r="S246" s="2">
        <f ca="1"/>
        <v>4.4778383407323596E-2</v>
      </c>
      <c r="T246" s="2">
        <f ca="1"/>
        <v>3.8717188261070797E-2</v>
      </c>
      <c r="U246" s="2">
        <f ca="1"/>
        <v>4.1822958090781563E-2</v>
      </c>
      <c r="V246" s="2">
        <f ca="1"/>
        <v>1.2787824262686868E-3</v>
      </c>
      <c r="W246" s="2">
        <f ca="1"/>
        <v>9.340001602215646E-2</v>
      </c>
      <c r="X246" s="2" t="str">
        <f ca="1"/>
        <v/>
      </c>
      <c r="Y246" s="2" t="str">
        <f ca="1"/>
        <v/>
      </c>
      <c r="Z246" s="2" t="str">
        <f ca="1"/>
        <v/>
      </c>
      <c r="AA246" s="2" t="str">
        <f ca="1"/>
        <v/>
      </c>
      <c r="AB246" s="2" t="str">
        <f ca="1"/>
        <v/>
      </c>
      <c r="AC246" s="2" t="str">
        <f ca="1"/>
        <v/>
      </c>
      <c r="AD246" s="2" t="str">
        <f ca="1"/>
        <v/>
      </c>
      <c r="AE246" s="2" t="str">
        <f ca="1"/>
        <v/>
      </c>
      <c r="AF246" s="2" t="str">
        <f ca="1"/>
        <v/>
      </c>
      <c r="AG246" s="26" t="str">
        <f ca="1"/>
        <v/>
      </c>
      <c r="AH246" s="26">
        <f ca="1"/>
        <v>2.86E-2</v>
      </c>
    </row>
    <row r="247" spans="1:34">
      <c r="A247" s="5">
        <f ca="1"/>
        <v>36311</v>
      </c>
      <c r="B247" s="2">
        <f ca="1"/>
        <v>-5.1279678030811751E-2</v>
      </c>
      <c r="C247" s="2">
        <f ca="1"/>
        <v>-5.8234613697100554E-3</v>
      </c>
      <c r="D247" s="2">
        <f ca="1"/>
        <v>-3.5336447384806124E-2</v>
      </c>
      <c r="E247" s="2">
        <f ca="1"/>
        <v>-8.7589675143599673E-3</v>
      </c>
      <c r="F247" s="2">
        <f ca="1"/>
        <v>-4.3282974923045392E-2</v>
      </c>
      <c r="G247" s="2">
        <f ca="1"/>
        <v>-5.8471920545174159E-2</v>
      </c>
      <c r="H247" s="2">
        <f ca="1"/>
        <v>-2.7370041974020768E-2</v>
      </c>
      <c r="I247" s="2" t="str">
        <f ca="1"/>
        <v/>
      </c>
      <c r="J247" s="2" t="str">
        <f ca="1"/>
        <v/>
      </c>
      <c r="K247" s="2">
        <f ca="1"/>
        <v>-5.6588825593230948E-4</v>
      </c>
      <c r="L247" s="2" t="str">
        <f ca="1"/>
        <v/>
      </c>
      <c r="M247" s="2" t="str">
        <f ca="1"/>
        <v/>
      </c>
      <c r="N247" s="2">
        <f ca="1"/>
        <v>-2.4415317399126193E-2</v>
      </c>
      <c r="O247" s="2" t="str">
        <f ca="1"/>
        <v/>
      </c>
      <c r="P247" s="2">
        <f ca="1"/>
        <v>9.5896946564886423E-3</v>
      </c>
      <c r="Q247" s="2">
        <f ca="1"/>
        <v>-2.2244568363957742E-2</v>
      </c>
      <c r="R247" s="2">
        <f ca="1"/>
        <v>-2.7515425011481458E-2</v>
      </c>
      <c r="S247" s="2">
        <f ca="1"/>
        <v>-8.5369984997339821E-3</v>
      </c>
      <c r="T247" s="2">
        <f ca="1"/>
        <v>-2.3616698111890058E-2</v>
      </c>
      <c r="U247" s="2">
        <f ca="1"/>
        <v>-2.1618898837151099E-2</v>
      </c>
      <c r="V247" s="2">
        <f ca="1"/>
        <v>-3.0732016424413686E-2</v>
      </c>
      <c r="W247" s="2">
        <f ca="1"/>
        <v>-1.099013818267075E-2</v>
      </c>
      <c r="X247" s="2" t="str">
        <f ca="1"/>
        <v/>
      </c>
      <c r="Y247" s="2" t="str">
        <f ca="1"/>
        <v/>
      </c>
      <c r="Z247" s="2" t="str">
        <f ca="1"/>
        <v/>
      </c>
      <c r="AA247" s="2" t="str">
        <f ca="1"/>
        <v/>
      </c>
      <c r="AB247" s="2" t="str">
        <f ca="1"/>
        <v/>
      </c>
      <c r="AC247" s="2" t="str">
        <f ca="1"/>
        <v/>
      </c>
      <c r="AD247" s="2" t="str">
        <f ca="1"/>
        <v/>
      </c>
      <c r="AE247" s="2" t="str">
        <f ca="1"/>
        <v/>
      </c>
      <c r="AF247" s="2" t="str">
        <f ca="1"/>
        <v/>
      </c>
      <c r="AG247" s="26" t="str">
        <f ca="1"/>
        <v/>
      </c>
      <c r="AH247" s="26">
        <f ca="1"/>
        <v>-6.0499999999999998E-2</v>
      </c>
    </row>
    <row r="248" spans="1:34">
      <c r="A248" s="5">
        <f ca="1"/>
        <v>36341</v>
      </c>
      <c r="B248" s="2">
        <f ca="1"/>
        <v>3.9217738001627991E-2</v>
      </c>
      <c r="C248" s="2">
        <f ca="1"/>
        <v>0.11350050150451363</v>
      </c>
      <c r="D248" s="2">
        <f ca="1"/>
        <v>4.9786867055579387E-2</v>
      </c>
      <c r="E248" s="2">
        <f ca="1"/>
        <v>-3.1859002873321119E-3</v>
      </c>
      <c r="F248" s="2">
        <f ca="1"/>
        <v>3.888429414256548E-2</v>
      </c>
      <c r="G248" s="2">
        <f ca="1"/>
        <v>3.9467196153880009E-2</v>
      </c>
      <c r="H248" s="2">
        <f ca="1"/>
        <v>7.4104338500038253E-2</v>
      </c>
      <c r="I248" s="2" t="str">
        <f ca="1"/>
        <v/>
      </c>
      <c r="J248" s="2" t="str">
        <f ca="1"/>
        <v/>
      </c>
      <c r="K248" s="2">
        <f ca="1"/>
        <v>9.5311792239165683E-3</v>
      </c>
      <c r="L248" s="2" t="str">
        <f ca="1"/>
        <v/>
      </c>
      <c r="M248" s="2" t="str">
        <f ca="1"/>
        <v/>
      </c>
      <c r="N248" s="2">
        <f ca="1"/>
        <v>5.1352300667369184E-2</v>
      </c>
      <c r="O248" s="2" t="str">
        <f ca="1"/>
        <v/>
      </c>
      <c r="P248" s="2">
        <f ca="1"/>
        <v>8.8889939038797675E-2</v>
      </c>
      <c r="Q248" s="2">
        <f ca="1"/>
        <v>6.1239754417676866E-2</v>
      </c>
      <c r="R248" s="2">
        <f ca="1"/>
        <v>8.1083300823357921E-2</v>
      </c>
      <c r="S248" s="2">
        <f ca="1"/>
        <v>1.808987338064879E-2</v>
      </c>
      <c r="T248" s="2">
        <f ca="1"/>
        <v>5.5497421279642814E-2</v>
      </c>
      <c r="U248" s="2">
        <f ca="1"/>
        <v>5.0957776702438631E-2</v>
      </c>
      <c r="V248" s="2">
        <f ca="1"/>
        <v>7.0045581139285648E-2</v>
      </c>
      <c r="W248" s="2">
        <f ca="1"/>
        <v>2.903158211116063E-2</v>
      </c>
      <c r="X248" s="2" t="str">
        <f ca="1"/>
        <v/>
      </c>
      <c r="Y248" s="2" t="str">
        <f ca="1"/>
        <v/>
      </c>
      <c r="Z248" s="2" t="str">
        <f ca="1"/>
        <v/>
      </c>
      <c r="AA248" s="2" t="str">
        <f ca="1"/>
        <v/>
      </c>
      <c r="AB248" s="2" t="str">
        <f ca="1"/>
        <v/>
      </c>
      <c r="AC248" s="2" t="str">
        <f ca="1"/>
        <v/>
      </c>
      <c r="AD248" s="2" t="str">
        <f ca="1"/>
        <v/>
      </c>
      <c r="AE248" s="2" t="str">
        <f ca="1"/>
        <v/>
      </c>
      <c r="AF248" s="2" t="str">
        <f ca="1"/>
        <v/>
      </c>
      <c r="AG248" s="26" t="str">
        <f ca="1"/>
        <v/>
      </c>
      <c r="AH248" s="26">
        <f ca="1"/>
        <v>-2.5099999999999997E-2</v>
      </c>
    </row>
    <row r="249" spans="1:34">
      <c r="A249" s="5">
        <f ca="1"/>
        <v>36371</v>
      </c>
      <c r="B249" s="2">
        <f ca="1"/>
        <v>2.9953579281700459E-2</v>
      </c>
      <c r="C249" s="2">
        <f ca="1"/>
        <v>-2.7167255170425956E-2</v>
      </c>
      <c r="D249" s="2">
        <f ca="1"/>
        <v>-4.0866623584908442E-3</v>
      </c>
      <c r="E249" s="2">
        <f ca="1"/>
        <v>-4.2574233543189004E-3</v>
      </c>
      <c r="F249" s="2">
        <f ca="1"/>
        <v>1.941141844536955E-2</v>
      </c>
      <c r="G249" s="2">
        <f ca="1"/>
        <v>3.9268961573892563E-2</v>
      </c>
      <c r="H249" s="2">
        <f ca="1"/>
        <v>-8.2733043292204985E-3</v>
      </c>
      <c r="I249" s="2" t="str">
        <f ca="1"/>
        <v/>
      </c>
      <c r="J249" s="2" t="str">
        <f ca="1"/>
        <v/>
      </c>
      <c r="K249" s="2">
        <f ca="1"/>
        <v>1.3647665875226809E-2</v>
      </c>
      <c r="L249" s="2" t="str">
        <f ca="1"/>
        <v/>
      </c>
      <c r="M249" s="2" t="str">
        <f ca="1"/>
        <v/>
      </c>
      <c r="N249" s="2">
        <f ca="1"/>
        <v>-1.6286917011893626E-2</v>
      </c>
      <c r="O249" s="2" t="str">
        <f ca="1"/>
        <v/>
      </c>
      <c r="P249" s="2">
        <f ca="1"/>
        <v>-9.9817724155884806E-4</v>
      </c>
      <c r="Q249" s="2">
        <f ca="1"/>
        <v>-2.5901562316457169E-2</v>
      </c>
      <c r="R249" s="2">
        <f ca="1"/>
        <v>-3.3256096634505794E-2</v>
      </c>
      <c r="S249" s="2">
        <f ca="1"/>
        <v>-2.3080758682852864E-2</v>
      </c>
      <c r="T249" s="2">
        <f ca="1"/>
        <v>-3.1234199598522385E-2</v>
      </c>
      <c r="U249" s="2">
        <f ca="1"/>
        <v>-3.053197093341891E-2</v>
      </c>
      <c r="V249" s="2">
        <f ca="1"/>
        <v>-3.178158060495094E-2</v>
      </c>
      <c r="W249" s="2">
        <f ca="1"/>
        <v>-2.9275948388105214E-2</v>
      </c>
      <c r="X249" s="2" t="str">
        <f ca="1"/>
        <v/>
      </c>
      <c r="Y249" s="2" t="str">
        <f ca="1"/>
        <v/>
      </c>
      <c r="Z249" s="2" t="str">
        <f ca="1"/>
        <v/>
      </c>
      <c r="AA249" s="2" t="str">
        <f ca="1"/>
        <v/>
      </c>
      <c r="AB249" s="2" t="str">
        <f ca="1"/>
        <v/>
      </c>
      <c r="AC249" s="2" t="str">
        <f ca="1"/>
        <v/>
      </c>
      <c r="AD249" s="2" t="str">
        <f ca="1"/>
        <v/>
      </c>
      <c r="AE249" s="2" t="str">
        <f ca="1"/>
        <v/>
      </c>
      <c r="AF249" s="2" t="str">
        <f ca="1"/>
        <v/>
      </c>
      <c r="AG249" s="26" t="str">
        <f ca="1"/>
        <v/>
      </c>
      <c r="AH249" s="26">
        <f ca="1"/>
        <v>-2.5399999999999999E-2</v>
      </c>
    </row>
    <row r="250" spans="1:34">
      <c r="A250" s="5">
        <f ca="1"/>
        <v>36403</v>
      </c>
      <c r="B250" s="2">
        <f ca="1"/>
        <v>3.8753604936354914E-3</v>
      </c>
      <c r="C250" s="2">
        <f ca="1"/>
        <v>9.0925925925925341E-3</v>
      </c>
      <c r="D250" s="2">
        <f ca="1"/>
        <v>-1.2005558810162264E-3</v>
      </c>
      <c r="E250" s="2">
        <f ca="1"/>
        <v>-5.0871476847416945E-4</v>
      </c>
      <c r="F250" s="2">
        <f ca="1"/>
        <v>5.7833629819657173E-3</v>
      </c>
      <c r="G250" s="2">
        <f ca="1"/>
        <v>2.0438188235103669E-3</v>
      </c>
      <c r="H250" s="2">
        <f ca="1"/>
        <v>1.7259978425027626E-3</v>
      </c>
      <c r="I250" s="2" t="str">
        <f ca="1"/>
        <v/>
      </c>
      <c r="J250" s="2" t="str">
        <f ca="1"/>
        <v/>
      </c>
      <c r="K250" s="2">
        <f ca="1"/>
        <v>-1.1213781146830522E-2</v>
      </c>
      <c r="L250" s="2" t="str">
        <f ca="1"/>
        <v/>
      </c>
      <c r="M250" s="2" t="str">
        <f ca="1"/>
        <v/>
      </c>
      <c r="N250" s="2">
        <f ca="1"/>
        <v>6.2490448131231023E-3</v>
      </c>
      <c r="O250" s="2" t="str">
        <f ca="1"/>
        <v/>
      </c>
      <c r="P250" s="2">
        <f ca="1"/>
        <v>2.2590034319475167E-2</v>
      </c>
      <c r="Q250" s="2">
        <f ca="1"/>
        <v>1.1214953271028122E-2</v>
      </c>
      <c r="R250" s="2">
        <f ca="1"/>
        <v>-4.3221154790671866E-3</v>
      </c>
      <c r="S250" s="2">
        <f ca="1"/>
        <v>-1.6892588266472896E-2</v>
      </c>
      <c r="T250" s="2">
        <f ca="1"/>
        <v>-4.9351742334963833E-3</v>
      </c>
      <c r="U250" s="2">
        <f ca="1"/>
        <v>-9.3696463998559701E-3</v>
      </c>
      <c r="V250" s="2">
        <f ca="1"/>
        <v>1.6338164647595268E-2</v>
      </c>
      <c r="W250" s="2">
        <f ca="1"/>
        <v>-3.7113240410735486E-2</v>
      </c>
      <c r="X250" s="2" t="str">
        <f ca="1"/>
        <v/>
      </c>
      <c r="Y250" s="2" t="str">
        <f ca="1"/>
        <v/>
      </c>
      <c r="Z250" s="2" t="str">
        <f ca="1"/>
        <v/>
      </c>
      <c r="AA250" s="2" t="str">
        <f ca="1"/>
        <v/>
      </c>
      <c r="AB250" s="2" t="str">
        <f ca="1"/>
        <v/>
      </c>
      <c r="AC250" s="2" t="str">
        <f ca="1"/>
        <v/>
      </c>
      <c r="AD250" s="2" t="str">
        <f ca="1"/>
        <v/>
      </c>
      <c r="AE250" s="2" t="str">
        <f ca="1"/>
        <v/>
      </c>
      <c r="AF250" s="2" t="str">
        <f ca="1"/>
        <v/>
      </c>
      <c r="AG250" s="26" t="str">
        <f ca="1"/>
        <v/>
      </c>
      <c r="AH250" s="26">
        <f ca="1"/>
        <v>-8.0000000000000004E-4</v>
      </c>
    </row>
    <row r="251" spans="1:34">
      <c r="A251" s="5">
        <f ca="1"/>
        <v>36433</v>
      </c>
      <c r="B251" s="2">
        <f ca="1"/>
        <v>1.0288576217552596E-2</v>
      </c>
      <c r="C251" s="2">
        <f ca="1"/>
        <v>-3.3840450716631998E-2</v>
      </c>
      <c r="D251" s="2">
        <f ca="1"/>
        <v>-1.0781167806417647E-2</v>
      </c>
      <c r="E251" s="2">
        <f ca="1"/>
        <v>1.1609447521176852E-2</v>
      </c>
      <c r="F251" s="2">
        <f ca="1"/>
        <v>1.6033820881493854E-2</v>
      </c>
      <c r="G251" s="2">
        <f ca="1"/>
        <v>4.9089884921432632E-3</v>
      </c>
      <c r="H251" s="2">
        <f ca="1"/>
        <v>6.5570632014741647E-3</v>
      </c>
      <c r="I251" s="2" t="str">
        <f ca="1"/>
        <v/>
      </c>
      <c r="J251" s="2" t="str">
        <f ca="1"/>
        <v/>
      </c>
      <c r="K251" s="2">
        <f ca="1"/>
        <v>-1.1378261923858952E-2</v>
      </c>
      <c r="L251" s="2" t="str">
        <f ca="1"/>
        <v/>
      </c>
      <c r="M251" s="2" t="str">
        <f ca="1"/>
        <v/>
      </c>
      <c r="N251" s="2">
        <f ca="1"/>
        <v>-2.6072869028131773E-2</v>
      </c>
      <c r="O251" s="2" t="str">
        <f ca="1"/>
        <v/>
      </c>
      <c r="P251" s="2">
        <f ca="1"/>
        <v>1.6143421555717061E-3</v>
      </c>
      <c r="Q251" s="2">
        <f ca="1"/>
        <v>-3.6387216027666924E-2</v>
      </c>
      <c r="R251" s="2">
        <f ca="1"/>
        <v>-2.3480199680353539E-3</v>
      </c>
      <c r="S251" s="2">
        <f ca="1"/>
        <v>-3.5384093132850153E-2</v>
      </c>
      <c r="T251" s="2">
        <f ca="1"/>
        <v>-2.7415587639102696E-2</v>
      </c>
      <c r="U251" s="2">
        <f ca="1"/>
        <v>-2.74960875271066E-2</v>
      </c>
      <c r="V251" s="2">
        <f ca="1"/>
        <v>-2.1006012702025244E-2</v>
      </c>
      <c r="W251" s="2">
        <f ca="1"/>
        <v>-3.4945721899832527E-2</v>
      </c>
      <c r="X251" s="2" t="str">
        <f ca="1"/>
        <v/>
      </c>
      <c r="Y251" s="2" t="str">
        <f ca="1"/>
        <v/>
      </c>
      <c r="Z251" s="2" t="str">
        <f ca="1"/>
        <v/>
      </c>
      <c r="AA251" s="2" t="str">
        <f ca="1"/>
        <v/>
      </c>
      <c r="AB251" s="2" t="str">
        <f ca="1"/>
        <v/>
      </c>
      <c r="AC251" s="2" t="str">
        <f ca="1"/>
        <v/>
      </c>
      <c r="AD251" s="2" t="str">
        <f ca="1"/>
        <v/>
      </c>
      <c r="AE251" s="2" t="str">
        <f ca="1"/>
        <v/>
      </c>
      <c r="AF251" s="2" t="str">
        <f ca="1"/>
        <v/>
      </c>
      <c r="AG251" s="26" t="str">
        <f ca="1"/>
        <v/>
      </c>
      <c r="AH251" s="26">
        <f ca="1"/>
        <v>0.1605</v>
      </c>
    </row>
    <row r="252" spans="1:34">
      <c r="A252" s="5">
        <f ca="1"/>
        <v>36462</v>
      </c>
      <c r="B252" s="2">
        <f ca="1"/>
        <v>3.7674472800345075E-2</v>
      </c>
      <c r="C252" s="2">
        <f ca="1"/>
        <v>2.129276122096211E-2</v>
      </c>
      <c r="D252" s="2">
        <f ca="1"/>
        <v>5.0645970098457602E-2</v>
      </c>
      <c r="E252" s="2">
        <f ca="1"/>
        <v>3.6896390622567186E-3</v>
      </c>
      <c r="F252" s="2">
        <f ca="1"/>
        <v>5.3731120729233341E-2</v>
      </c>
      <c r="G252" s="2">
        <f ca="1"/>
        <v>2.2543077716957002E-2</v>
      </c>
      <c r="H252" s="2">
        <f ca="1"/>
        <v>7.6079979078005747E-2</v>
      </c>
      <c r="I252" s="2" t="str">
        <f ca="1"/>
        <v/>
      </c>
      <c r="J252" s="2" t="str">
        <f ca="1"/>
        <v/>
      </c>
      <c r="K252" s="2">
        <f ca="1"/>
        <v>2.5074998584932291E-2</v>
      </c>
      <c r="L252" s="2" t="str">
        <f ca="1"/>
        <v/>
      </c>
      <c r="M252" s="2" t="str">
        <f ca="1"/>
        <v/>
      </c>
      <c r="N252" s="2">
        <f ca="1"/>
        <v>5.0284169670085914E-2</v>
      </c>
      <c r="O252" s="2" t="str">
        <f ca="1"/>
        <v/>
      </c>
      <c r="P252" s="2">
        <f ca="1"/>
        <v>-4.6231496797726739E-3</v>
      </c>
      <c r="Q252" s="2">
        <f ca="1"/>
        <v>5.7562303729715575E-2</v>
      </c>
      <c r="R252" s="2">
        <f ca="1"/>
        <v>8.2829002017325251E-2</v>
      </c>
      <c r="S252" s="2">
        <f ca="1"/>
        <v>6.0291469145258569E-2</v>
      </c>
      <c r="T252" s="2">
        <f ca="1"/>
        <v>6.3273545013253732E-2</v>
      </c>
      <c r="U252" s="2">
        <f ca="1"/>
        <v>6.7221816041094895E-2</v>
      </c>
      <c r="V252" s="2">
        <f ca="1"/>
        <v>7.5516783689113021E-2</v>
      </c>
      <c r="W252" s="2">
        <f ca="1"/>
        <v>5.7557024574781228E-2</v>
      </c>
      <c r="X252" s="2" t="str">
        <f ca="1"/>
        <v/>
      </c>
      <c r="Y252" s="2" t="str">
        <f ca="1"/>
        <v/>
      </c>
      <c r="Z252" s="2" t="str">
        <f ca="1"/>
        <v/>
      </c>
      <c r="AA252" s="2" t="str">
        <f ca="1"/>
        <v/>
      </c>
      <c r="AB252" s="2" t="str">
        <f ca="1"/>
        <v/>
      </c>
      <c r="AC252" s="2" t="str">
        <f ca="1"/>
        <v/>
      </c>
      <c r="AD252" s="2" t="str">
        <f ca="1"/>
        <v/>
      </c>
      <c r="AE252" s="2" t="str">
        <f ca="1"/>
        <v/>
      </c>
      <c r="AF252" s="2" t="str">
        <f ca="1"/>
        <v/>
      </c>
      <c r="AG252" s="26" t="str">
        <f ca="1"/>
        <v/>
      </c>
      <c r="AH252" s="26">
        <f ca="1"/>
        <v>8.1000000000000013E-3</v>
      </c>
    </row>
    <row r="253" spans="1:34">
      <c r="A253" s="5">
        <f ca="1"/>
        <v>36494</v>
      </c>
      <c r="B253" s="2">
        <f ca="1"/>
        <v>3.4950686541588165E-2</v>
      </c>
      <c r="C253" s="2">
        <f ca="1"/>
        <v>8.9662996577890286E-2</v>
      </c>
      <c r="D253" s="2">
        <f ca="1"/>
        <v>3.1071823539981173E-2</v>
      </c>
      <c r="E253" s="2">
        <f ca="1"/>
        <v>-7.161186369882332E-5</v>
      </c>
      <c r="F253" s="2">
        <f ca="1"/>
        <v>7.3411479280245398E-2</v>
      </c>
      <c r="G253" s="2">
        <f ca="1"/>
        <v>-1.6564253272775631E-3</v>
      </c>
      <c r="H253" s="2">
        <f ca="1"/>
        <v>6.2990212324075895E-2</v>
      </c>
      <c r="I253" s="2" t="str">
        <f ca="1"/>
        <v/>
      </c>
      <c r="J253" s="2" t="str">
        <f ca="1"/>
        <v/>
      </c>
      <c r="K253" s="2">
        <f ca="1"/>
        <v>5.0800662617338337E-3</v>
      </c>
      <c r="L253" s="2" t="str">
        <f ca="1"/>
        <v/>
      </c>
      <c r="M253" s="2" t="str">
        <f ca="1"/>
        <v/>
      </c>
      <c r="N253" s="2">
        <f ca="1"/>
        <v>3.7681063780644786E-2</v>
      </c>
      <c r="O253" s="2" t="str">
        <f ca="1"/>
        <v/>
      </c>
      <c r="P253" s="2">
        <f ca="1"/>
        <v>5.6843361172660666E-2</v>
      </c>
      <c r="Q253" s="2">
        <f ca="1"/>
        <v>3.1112866420923268E-2</v>
      </c>
      <c r="R253" s="2">
        <f ca="1"/>
        <v>4.1406392694063855E-2</v>
      </c>
      <c r="S253" s="2">
        <f ca="1"/>
        <v>-2.6357149132654996E-3</v>
      </c>
      <c r="T253" s="2">
        <f ca="1"/>
        <v>2.0324020955875793E-2</v>
      </c>
      <c r="U253" s="2">
        <f ca="1"/>
        <v>2.5724977445936929E-2</v>
      </c>
      <c r="V253" s="2">
        <f ca="1"/>
        <v>5.3955619654413964E-2</v>
      </c>
      <c r="W253" s="2">
        <f ca="1"/>
        <v>-7.8226745439647812E-3</v>
      </c>
      <c r="X253" s="2" t="str">
        <f ca="1"/>
        <v/>
      </c>
      <c r="Y253" s="2" t="str">
        <f ca="1"/>
        <v/>
      </c>
      <c r="Z253" s="2" t="str">
        <f ca="1"/>
        <v/>
      </c>
      <c r="AA253" s="2" t="str">
        <f ca="1"/>
        <v/>
      </c>
      <c r="AB253" s="2" t="str">
        <f ca="1"/>
        <v/>
      </c>
      <c r="AC253" s="2" t="str">
        <f ca="1"/>
        <v/>
      </c>
      <c r="AD253" s="2" t="str">
        <f ca="1"/>
        <v/>
      </c>
      <c r="AE253" s="2" t="str">
        <f ca="1"/>
        <v/>
      </c>
      <c r="AF253" s="2" t="str">
        <f ca="1"/>
        <v/>
      </c>
      <c r="AG253" s="26" t="str">
        <f ca="1"/>
        <v/>
      </c>
      <c r="AH253" s="26">
        <f ca="1"/>
        <v>-3.4000000000000002E-2</v>
      </c>
    </row>
    <row r="254" spans="1:34">
      <c r="A254" s="5">
        <f ca="1"/>
        <v>36525</v>
      </c>
      <c r="B254" s="2">
        <f ca="1"/>
        <v>8.9947630489519453E-2</v>
      </c>
      <c r="C254" s="2">
        <f ca="1"/>
        <v>0.12719111095939509</v>
      </c>
      <c r="D254" s="2">
        <f ca="1"/>
        <v>8.3308175452289621E-2</v>
      </c>
      <c r="E254" s="2">
        <f ca="1"/>
        <v>-4.8222108165530313E-3</v>
      </c>
      <c r="F254" s="2">
        <f ca="1"/>
        <v>0.11144116839701015</v>
      </c>
      <c r="G254" s="2">
        <f ca="1"/>
        <v>6.7703005938929708E-2</v>
      </c>
      <c r="H254" s="2">
        <f ca="1"/>
        <v>0.17958097771865641</v>
      </c>
      <c r="I254" s="2" t="str">
        <f ca="1"/>
        <v/>
      </c>
      <c r="J254" s="2" t="str">
        <f ca="1"/>
        <v/>
      </c>
      <c r="K254" s="2">
        <f ca="1"/>
        <v>5.1111599457935183E-2</v>
      </c>
      <c r="L254" s="2" t="str">
        <f ca="1"/>
        <v/>
      </c>
      <c r="M254" s="2" t="str">
        <f ca="1"/>
        <v/>
      </c>
      <c r="N254" s="2">
        <f ca="1"/>
        <v>7.8285478075614492E-2</v>
      </c>
      <c r="O254" s="2" t="str">
        <f ca="1"/>
        <v/>
      </c>
      <c r="P254" s="2">
        <f ca="1"/>
        <v>0.14216595435851931</v>
      </c>
      <c r="Q254" s="2">
        <f ca="1"/>
        <v>6.3015136684115805E-2</v>
      </c>
      <c r="R254" s="2">
        <f ca="1"/>
        <v>0.14443060841503416</v>
      </c>
      <c r="S254" s="2">
        <f ca="1"/>
        <v>3.2593056602296153E-2</v>
      </c>
      <c r="T254" s="2">
        <f ca="1"/>
        <v>5.8882452524873077E-2</v>
      </c>
      <c r="U254" s="2">
        <f ca="1"/>
        <v>6.025327874540292E-2</v>
      </c>
      <c r="V254" s="2">
        <f ca="1"/>
        <v>0.10400644356682595</v>
      </c>
      <c r="W254" s="2">
        <f ca="1"/>
        <v>4.8288391661886441E-3</v>
      </c>
      <c r="X254" s="2" t="str">
        <f ca="1"/>
        <v/>
      </c>
      <c r="Y254" s="2" t="str">
        <f ca="1"/>
        <v/>
      </c>
      <c r="Z254" s="2" t="str">
        <f ca="1"/>
        <v/>
      </c>
      <c r="AA254" s="2" t="str">
        <f ca="1"/>
        <v/>
      </c>
      <c r="AB254" s="2" t="str">
        <f ca="1"/>
        <v/>
      </c>
      <c r="AC254" s="2" t="str">
        <f ca="1"/>
        <v/>
      </c>
      <c r="AD254" s="2" t="str">
        <f ca="1"/>
        <v/>
      </c>
      <c r="AE254" s="2" t="str">
        <f ca="1"/>
        <v/>
      </c>
      <c r="AF254" s="2" t="str">
        <f ca="1"/>
        <v/>
      </c>
      <c r="AG254" s="26" t="str">
        <f ca="1"/>
        <v/>
      </c>
      <c r="AH254" s="26">
        <f ca="1"/>
        <v>-1.7000000000000001E-3</v>
      </c>
    </row>
    <row r="255" spans="1:34">
      <c r="A255" s="5">
        <f ca="1"/>
        <v>36556</v>
      </c>
      <c r="B255" s="2">
        <f ca="1"/>
        <v>-6.3364489195557733E-2</v>
      </c>
      <c r="C255" s="2">
        <f ca="1"/>
        <v>5.9508487151921745E-3</v>
      </c>
      <c r="D255" s="2">
        <f ca="1"/>
        <v>-5.3943525712045991E-2</v>
      </c>
      <c r="E255" s="2">
        <f ca="1"/>
        <v>-3.2743628185907263E-3</v>
      </c>
      <c r="F255" s="2">
        <f ca="1"/>
        <v>-5.6764781621393874E-2</v>
      </c>
      <c r="G255" s="2">
        <f ca="1"/>
        <v>-7.2056098711155606E-2</v>
      </c>
      <c r="H255" s="2">
        <f ca="1"/>
        <v>-6.1389906963631294E-2</v>
      </c>
      <c r="I255" s="2" t="str">
        <f ca="1"/>
        <v/>
      </c>
      <c r="J255" s="2" t="str">
        <f ca="1"/>
        <v/>
      </c>
      <c r="K255" s="2">
        <f ca="1"/>
        <v>-3.3538338240674599E-2</v>
      </c>
      <c r="L255" s="2" t="str">
        <f ca="1"/>
        <v/>
      </c>
      <c r="M255" s="2" t="str">
        <f ca="1"/>
        <v/>
      </c>
      <c r="N255" s="2">
        <f ca="1"/>
        <v>-5.650084043525707E-2</v>
      </c>
      <c r="O255" s="2" t="str">
        <f ca="1"/>
        <v/>
      </c>
      <c r="P255" s="2">
        <f ca="1"/>
        <v>8.4721829991529028E-3</v>
      </c>
      <c r="Q255" s="2">
        <f ca="1"/>
        <v>-6.1241375628895124E-2</v>
      </c>
      <c r="R255" s="2">
        <f ca="1"/>
        <v>-6.8564948200821443E-2</v>
      </c>
      <c r="S255" s="2">
        <f ca="1"/>
        <v>-3.7061962672631989E-2</v>
      </c>
      <c r="T255" s="2">
        <f ca="1"/>
        <v>-5.0242412635889314E-2</v>
      </c>
      <c r="U255" s="2">
        <f ca="1"/>
        <v>-4.0940657660588048E-2</v>
      </c>
      <c r="V255" s="2">
        <f ca="1"/>
        <v>-4.6888360672456122E-2</v>
      </c>
      <c r="W255" s="2">
        <f ca="1"/>
        <v>-3.262294160138763E-2</v>
      </c>
      <c r="X255" s="2" t="str">
        <f ca="1"/>
        <v/>
      </c>
      <c r="Y255" s="2" t="str">
        <f ca="1"/>
        <v/>
      </c>
      <c r="Z255" s="2" t="str">
        <f ca="1"/>
        <v/>
      </c>
      <c r="AA255" s="2" t="str">
        <f ca="1"/>
        <v/>
      </c>
      <c r="AB255" s="2" t="str">
        <f ca="1"/>
        <v/>
      </c>
      <c r="AC255" s="2" t="str">
        <f ca="1"/>
        <v/>
      </c>
      <c r="AD255" s="2" t="str">
        <f ca="1"/>
        <v/>
      </c>
      <c r="AE255" s="2" t="str">
        <f ca="1"/>
        <v/>
      </c>
      <c r="AF255" s="2" t="str">
        <f ca="1"/>
        <v/>
      </c>
      <c r="AG255" s="26" t="str">
        <f ca="1"/>
        <v/>
      </c>
      <c r="AH255" s="26">
        <f ca="1"/>
        <v>-2.2099999999999998E-2</v>
      </c>
    </row>
    <row r="256" spans="1:34">
      <c r="A256" s="5">
        <f ca="1"/>
        <v>36585</v>
      </c>
      <c r="B256" s="2">
        <f ca="1"/>
        <v>2.7108823949993692E-2</v>
      </c>
      <c r="C256" s="2">
        <f ca="1"/>
        <v>1.3216124273715225E-2</v>
      </c>
      <c r="D256" s="2">
        <f ca="1"/>
        <v>3.3959191493438223E-3</v>
      </c>
      <c r="E256" s="2">
        <f ca="1"/>
        <v>1.2093571755192496E-2</v>
      </c>
      <c r="F256" s="2">
        <f ca="1"/>
        <v>5.5478547404273826E-2</v>
      </c>
      <c r="G256" s="2">
        <f ca="1"/>
        <v>-4.623747776659512E-3</v>
      </c>
      <c r="H256" s="2">
        <f ca="1"/>
        <v>7.5148306675677873E-2</v>
      </c>
      <c r="I256" s="2" t="str">
        <f ca="1"/>
        <v/>
      </c>
      <c r="J256" s="2" t="str">
        <f ca="1"/>
        <v/>
      </c>
      <c r="K256" s="2">
        <f ca="1"/>
        <v>-1.7828814537063718E-2</v>
      </c>
      <c r="L256" s="2" t="str">
        <f ca="1"/>
        <v/>
      </c>
      <c r="M256" s="2" t="str">
        <f ca="1"/>
        <v/>
      </c>
      <c r="N256" s="2">
        <f ca="1"/>
        <v>1.161118924832015E-2</v>
      </c>
      <c r="O256" s="2" t="str">
        <f ca="1"/>
        <v/>
      </c>
      <c r="P256" s="2">
        <f ca="1"/>
        <v>5.7721926631195776E-2</v>
      </c>
      <c r="Q256" s="2">
        <f ca="1"/>
        <v>-1.1145229159558786E-2</v>
      </c>
      <c r="R256" s="2">
        <f ca="1"/>
        <v>3.5193655599065433E-2</v>
      </c>
      <c r="S256" s="2">
        <f ca="1"/>
        <v>-5.0094006240833155E-2</v>
      </c>
      <c r="T256" s="2">
        <f ca="1"/>
        <v>-1.8937993275906458E-2</v>
      </c>
      <c r="U256" s="2">
        <f ca="1"/>
        <v>-2.6747392223090589E-3</v>
      </c>
      <c r="V256" s="2">
        <f ca="1"/>
        <v>4.8885560018436823E-2</v>
      </c>
      <c r="W256" s="2">
        <f ca="1"/>
        <v>-7.4296317825124691E-2</v>
      </c>
      <c r="X256" s="2" t="str">
        <f ca="1"/>
        <v/>
      </c>
      <c r="Y256" s="2" t="str">
        <f ca="1"/>
        <v/>
      </c>
      <c r="Z256" s="2" t="str">
        <f ca="1"/>
        <v/>
      </c>
      <c r="AA256" s="2" t="str">
        <f ca="1"/>
        <v/>
      </c>
      <c r="AB256" s="2" t="str">
        <f ca="1"/>
        <v/>
      </c>
      <c r="AC256" s="2" t="str">
        <f ca="1"/>
        <v/>
      </c>
      <c r="AD256" s="2" t="str">
        <f ca="1"/>
        <v/>
      </c>
      <c r="AE256" s="2" t="str">
        <f ca="1"/>
        <v/>
      </c>
      <c r="AF256" s="2" t="str">
        <f ca="1"/>
        <v/>
      </c>
      <c r="AG256" s="26" t="str">
        <f ca="1"/>
        <v/>
      </c>
      <c r="AH256" s="26">
        <f ca="1"/>
        <v>3.8800000000000001E-2</v>
      </c>
    </row>
    <row r="257" spans="1:34">
      <c r="A257" s="5">
        <f ca="1"/>
        <v>36616</v>
      </c>
      <c r="B257" s="2">
        <f ca="1"/>
        <v>3.8957197158326885E-2</v>
      </c>
      <c r="C257" s="2">
        <f ca="1"/>
        <v>4.8728309959590755E-3</v>
      </c>
      <c r="D257" s="2">
        <f ca="1"/>
        <v>6.5738535197552156E-2</v>
      </c>
      <c r="E257" s="2">
        <f ca="1"/>
        <v>1.317369541179679E-2</v>
      </c>
      <c r="F257" s="2">
        <f ca="1"/>
        <v>1.9807086657375794E-2</v>
      </c>
      <c r="G257" s="2">
        <f ca="1"/>
        <v>6.2552763819095442E-2</v>
      </c>
      <c r="H257" s="2">
        <f ca="1"/>
        <v>4.57474114298684E-2</v>
      </c>
      <c r="I257" s="2" t="str">
        <f ca="1"/>
        <v/>
      </c>
      <c r="J257" s="2" t="str">
        <f ca="1"/>
        <v/>
      </c>
      <c r="K257" s="2">
        <f ca="1"/>
        <v>4.7978268450709377E-2</v>
      </c>
      <c r="L257" s="2" t="str">
        <f ca="1"/>
        <v/>
      </c>
      <c r="M257" s="2" t="str">
        <f ca="1"/>
        <v/>
      </c>
      <c r="N257" s="2">
        <f ca="1"/>
        <v>6.7940617613890752E-2</v>
      </c>
      <c r="O257" s="2" t="str">
        <f ca="1"/>
        <v/>
      </c>
      <c r="P257" s="2">
        <f ca="1"/>
        <v>-2.9585994638779485E-2</v>
      </c>
      <c r="Q257" s="2">
        <f ca="1"/>
        <v>8.6515238642898146E-2</v>
      </c>
      <c r="R257" s="2">
        <f ca="1"/>
        <v>9.2995533798496427E-2</v>
      </c>
      <c r="S257" s="2">
        <f ca="1"/>
        <v>9.5295336787564799E-2</v>
      </c>
      <c r="T257" s="2">
        <f ca="1"/>
        <v>9.7830727430714207E-2</v>
      </c>
      <c r="U257" s="2">
        <f ca="1"/>
        <v>9.1120026110928939E-2</v>
      </c>
      <c r="V257" s="2">
        <f ca="1"/>
        <v>7.157665766341216E-2</v>
      </c>
      <c r="W257" s="2">
        <f ca="1"/>
        <v>0.12201430717435725</v>
      </c>
      <c r="X257" s="2" t="str">
        <f ca="1"/>
        <v/>
      </c>
      <c r="Y257" s="2" t="str">
        <f ca="1"/>
        <v/>
      </c>
      <c r="Z257" s="2" t="str">
        <f ca="1"/>
        <v/>
      </c>
      <c r="AA257" s="2" t="str">
        <f ca="1"/>
        <v/>
      </c>
      <c r="AB257" s="2" t="str">
        <f ca="1"/>
        <v/>
      </c>
      <c r="AC257" s="2" t="str">
        <f ca="1"/>
        <v/>
      </c>
      <c r="AD257" s="2" t="str">
        <f ca="1"/>
        <v/>
      </c>
      <c r="AE257" s="2" t="str">
        <f ca="1"/>
        <v/>
      </c>
      <c r="AF257" s="2" t="str">
        <f ca="1"/>
        <v/>
      </c>
      <c r="AG257" s="26" t="str">
        <f ca="1"/>
        <v/>
      </c>
      <c r="AH257" s="26">
        <f ca="1"/>
        <v>-5.3699999999999998E-2</v>
      </c>
    </row>
    <row r="258" spans="1:34">
      <c r="A258" s="5">
        <f ca="1"/>
        <v>36644</v>
      </c>
      <c r="B258" s="2">
        <f ca="1"/>
        <v>-5.2443257612197515E-2</v>
      </c>
      <c r="C258" s="2">
        <f ca="1"/>
        <v>-9.4795978710822015E-2</v>
      </c>
      <c r="D258" s="2">
        <f ca="1"/>
        <v>-4.485567308144521E-2</v>
      </c>
      <c r="E258" s="2">
        <f ca="1"/>
        <v>-2.8633456551075995E-3</v>
      </c>
      <c r="F258" s="2">
        <f ca="1"/>
        <v>-6.5624144938497109E-2</v>
      </c>
      <c r="G258" s="2">
        <f ca="1"/>
        <v>-3.7826794294578345E-2</v>
      </c>
      <c r="H258" s="2">
        <f ca="1"/>
        <v>-7.5403649964101399E-2</v>
      </c>
      <c r="I258" s="2" t="str">
        <f ca="1"/>
        <v/>
      </c>
      <c r="J258" s="2" t="str">
        <f ca="1"/>
        <v/>
      </c>
      <c r="K258" s="2">
        <f ca="1"/>
        <v>-2.2207821776976135E-2</v>
      </c>
      <c r="L258" s="2" t="str">
        <f ca="1"/>
        <v/>
      </c>
      <c r="M258" s="2" t="str">
        <f ca="1"/>
        <v/>
      </c>
      <c r="N258" s="2">
        <f ca="1"/>
        <v>-3.355947404203604E-2</v>
      </c>
      <c r="O258" s="2" t="str">
        <f ca="1"/>
        <v/>
      </c>
      <c r="P258" s="2">
        <f ca="1"/>
        <v>-7.1445622889881807E-2</v>
      </c>
      <c r="Q258" s="2">
        <f ca="1"/>
        <v>-3.0762920426579164E-2</v>
      </c>
      <c r="R258" s="2">
        <f ca="1"/>
        <v>-5.2393555141926451E-2</v>
      </c>
      <c r="S258" s="2">
        <f ca="1"/>
        <v>-7.2093551316985676E-3</v>
      </c>
      <c r="T258" s="2">
        <f ca="1"/>
        <v>-3.0091708340944909E-2</v>
      </c>
      <c r="U258" s="2">
        <f ca="1"/>
        <v>-3.3336050795641614E-2</v>
      </c>
      <c r="V258" s="2">
        <f ca="1"/>
        <v>-4.75845948352627E-2</v>
      </c>
      <c r="W258" s="2">
        <f ca="1"/>
        <v>-1.1636341720138031E-2</v>
      </c>
      <c r="X258" s="2" t="str">
        <f ca="1"/>
        <v/>
      </c>
      <c r="Y258" s="2" t="str">
        <f ca="1"/>
        <v/>
      </c>
      <c r="Z258" s="2" t="str">
        <f ca="1"/>
        <v/>
      </c>
      <c r="AA258" s="2" t="str">
        <f ca="1"/>
        <v/>
      </c>
      <c r="AB258" s="2" t="str">
        <f ca="1"/>
        <v/>
      </c>
      <c r="AC258" s="2" t="str">
        <f ca="1"/>
        <v/>
      </c>
      <c r="AD258" s="2" t="str">
        <f ca="1"/>
        <v/>
      </c>
      <c r="AE258" s="2" t="str">
        <f ca="1"/>
        <v/>
      </c>
      <c r="AF258" s="2" t="str">
        <f ca="1"/>
        <v/>
      </c>
      <c r="AG258" s="26" t="str">
        <f ca="1"/>
        <v/>
      </c>
      <c r="AH258" s="26">
        <f ca="1"/>
        <v>-1.3300000000000001E-2</v>
      </c>
    </row>
    <row r="259" spans="1:34">
      <c r="A259" s="5">
        <f ca="1"/>
        <v>36677</v>
      </c>
      <c r="B259" s="2">
        <f ca="1"/>
        <v>-2.4227280259741874E-2</v>
      </c>
      <c r="C259" s="2">
        <f ca="1"/>
        <v>-4.1337296661657981E-2</v>
      </c>
      <c r="D259" s="2">
        <f ca="1"/>
        <v>-2.5951248792474513E-2</v>
      </c>
      <c r="E259" s="2">
        <f ca="1"/>
        <v>-4.5898012263005775E-4</v>
      </c>
      <c r="F259" s="2">
        <f ca="1"/>
        <v>-6.090800810072268E-2</v>
      </c>
      <c r="G259" s="2">
        <f ca="1"/>
        <v>1.472797193997921E-2</v>
      </c>
      <c r="H259" s="2">
        <f ca="1"/>
        <v>-7.496162528216703E-2</v>
      </c>
      <c r="I259" s="2" t="str">
        <f ca="1"/>
        <v/>
      </c>
      <c r="J259" s="2" t="str">
        <f ca="1"/>
        <v/>
      </c>
      <c r="K259" s="2">
        <f ca="1"/>
        <v>-1.3792115208941469E-2</v>
      </c>
      <c r="L259" s="2" t="str">
        <f ca="1"/>
        <v/>
      </c>
      <c r="M259" s="2" t="str">
        <f ca="1"/>
        <v/>
      </c>
      <c r="N259" s="2">
        <f ca="1"/>
        <v>-3.4006376195536703E-2</v>
      </c>
      <c r="O259" s="2" t="str">
        <f ca="1"/>
        <v/>
      </c>
      <c r="P259" s="2">
        <f ca="1"/>
        <v>-3.1070956368444178E-2</v>
      </c>
      <c r="Q259" s="2">
        <f ca="1"/>
        <v>-2.3384707793537463E-2</v>
      </c>
      <c r="R259" s="2">
        <f ca="1"/>
        <v>-6.1582137650579301E-2</v>
      </c>
      <c r="S259" s="2">
        <f ca="1"/>
        <v>-9.3487334896219972E-3</v>
      </c>
      <c r="T259" s="2">
        <f ca="1"/>
        <v>-2.0522665904366594E-2</v>
      </c>
      <c r="U259" s="2">
        <f ca="1"/>
        <v>-2.5863358042487503E-2</v>
      </c>
      <c r="V259" s="2">
        <f ca="1"/>
        <v>-5.0357223040655395E-2</v>
      </c>
      <c r="W259" s="2">
        <f ca="1"/>
        <v>1.0542867285315139E-2</v>
      </c>
      <c r="X259" s="2" t="str">
        <f ca="1"/>
        <v/>
      </c>
      <c r="Y259" s="2" t="str">
        <f ca="1"/>
        <v/>
      </c>
      <c r="Z259" s="2" t="str">
        <f ca="1"/>
        <v/>
      </c>
      <c r="AA259" s="2" t="str">
        <f ca="1"/>
        <v/>
      </c>
      <c r="AB259" s="2" t="str">
        <f ca="1"/>
        <v/>
      </c>
      <c r="AC259" s="2" t="str">
        <f ca="1"/>
        <v/>
      </c>
      <c r="AD259" s="2" t="str">
        <f ca="1"/>
        <v/>
      </c>
      <c r="AE259" s="2" t="str">
        <f ca="1"/>
        <v/>
      </c>
      <c r="AF259" s="2" t="str">
        <f ca="1"/>
        <v/>
      </c>
      <c r="AG259" s="26" t="str">
        <f ca="1"/>
        <v/>
      </c>
      <c r="AH259" s="26">
        <f ca="1"/>
        <v>-1.09E-2</v>
      </c>
    </row>
    <row r="260" spans="1:34">
      <c r="A260" s="5">
        <f ca="1"/>
        <v>36707</v>
      </c>
      <c r="B260" s="2">
        <f ca="1"/>
        <v>3.934210205610799E-2</v>
      </c>
      <c r="C260" s="2">
        <f ca="1"/>
        <v>3.5231783566451347E-2</v>
      </c>
      <c r="D260" s="2">
        <f ca="1"/>
        <v>3.3895489909104959E-2</v>
      </c>
      <c r="E260" s="2">
        <f ca="1"/>
        <v>2.0804879197475579E-2</v>
      </c>
      <c r="F260" s="2">
        <f ca="1"/>
        <v>3.5704509750593062E-2</v>
      </c>
      <c r="G260" s="2">
        <f ca="1"/>
        <v>4.3484494734700667E-2</v>
      </c>
      <c r="H260" s="2">
        <f ca="1"/>
        <v>5.6301733562392688E-2</v>
      </c>
      <c r="I260" s="2" t="str">
        <f ca="1"/>
        <v/>
      </c>
      <c r="J260" s="2" t="str">
        <f ca="1"/>
        <v/>
      </c>
      <c r="K260" s="2">
        <f ca="1"/>
        <v>1.9270237381717816E-2</v>
      </c>
      <c r="L260" s="2" t="str">
        <f ca="1"/>
        <v/>
      </c>
      <c r="M260" s="2" t="str">
        <f ca="1"/>
        <v/>
      </c>
      <c r="N260" s="2">
        <f ca="1"/>
        <v>5.4370225754969914E-2</v>
      </c>
      <c r="O260" s="2" t="str">
        <f ca="1"/>
        <v/>
      </c>
      <c r="P260" s="2">
        <f ca="1"/>
        <v>2.717762110529913E-2</v>
      </c>
      <c r="Q260" s="2">
        <f ca="1"/>
        <v>6.5278166060944998E-2</v>
      </c>
      <c r="R260" s="2">
        <f ca="1"/>
        <v>6.0128859236002072E-2</v>
      </c>
      <c r="S260" s="2">
        <f ca="1"/>
        <v>-6.4259809721701764E-3</v>
      </c>
      <c r="T260" s="2">
        <f ca="1"/>
        <v>2.4652610274345729E-2</v>
      </c>
      <c r="U260" s="2">
        <f ca="1"/>
        <v>2.5494489540816179E-2</v>
      </c>
      <c r="V260" s="2">
        <f ca="1"/>
        <v>7.5788563461566483E-2</v>
      </c>
      <c r="W260" s="2">
        <f ca="1"/>
        <v>-4.5703362398548303E-2</v>
      </c>
      <c r="X260" s="2" t="str">
        <f ca="1"/>
        <v/>
      </c>
      <c r="Y260" s="2" t="str">
        <f ca="1"/>
        <v/>
      </c>
      <c r="Z260" s="2" t="str">
        <f ca="1"/>
        <v/>
      </c>
      <c r="AA260" s="2" t="str">
        <f ca="1"/>
        <v/>
      </c>
      <c r="AB260" s="2" t="str">
        <f ca="1"/>
        <v/>
      </c>
      <c r="AC260" s="2" t="str">
        <f ca="1"/>
        <v/>
      </c>
      <c r="AD260" s="2" t="str">
        <f ca="1"/>
        <v/>
      </c>
      <c r="AE260" s="2" t="str">
        <f ca="1"/>
        <v/>
      </c>
      <c r="AF260" s="2" t="str">
        <f ca="1"/>
        <v/>
      </c>
      <c r="AG260" s="26" t="str">
        <f ca="1"/>
        <v/>
      </c>
      <c r="AH260" s="26">
        <f ca="1"/>
        <v>7.2900000000000006E-2</v>
      </c>
    </row>
    <row r="261" spans="1:34">
      <c r="A261" s="5">
        <f ca="1"/>
        <v>36738</v>
      </c>
      <c r="B261" s="2">
        <f ca="1"/>
        <v>-4.1729360184440629E-2</v>
      </c>
      <c r="C261" s="2">
        <f ca="1"/>
        <v>-5.1427631037603887E-2</v>
      </c>
      <c r="D261" s="2">
        <f ca="1"/>
        <v>-2.9371020127821584E-2</v>
      </c>
      <c r="E261" s="2">
        <f ca="1"/>
        <v>9.0773826687735783E-3</v>
      </c>
      <c r="F261" s="2">
        <f ca="1"/>
        <v>-6.2736249382088591E-2</v>
      </c>
      <c r="G261" s="2">
        <f ca="1"/>
        <v>-2.336609984439933E-2</v>
      </c>
      <c r="H261" s="2">
        <f ca="1"/>
        <v>-4.6129962297627031E-2</v>
      </c>
      <c r="I261" s="2" t="str">
        <f ca="1"/>
        <v/>
      </c>
      <c r="J261" s="2" t="str">
        <f ca="1"/>
        <v/>
      </c>
      <c r="K261" s="2">
        <f ca="1"/>
        <v>-1.4415538132573114E-2</v>
      </c>
      <c r="L261" s="2" t="str">
        <f ca="1"/>
        <v/>
      </c>
      <c r="M261" s="2" t="str">
        <f ca="1"/>
        <v/>
      </c>
      <c r="N261" s="2">
        <f ca="1"/>
        <v>-3.29326357865036E-2</v>
      </c>
      <c r="O261" s="2" t="str">
        <f ca="1"/>
        <v/>
      </c>
      <c r="P261" s="2">
        <f ca="1"/>
        <v>-4.4798701059079619E-2</v>
      </c>
      <c r="Q261" s="2">
        <f ca="1"/>
        <v>-3.2895945413987729E-2</v>
      </c>
      <c r="R261" s="2">
        <f ca="1"/>
        <v>-1.7368770149161626E-2</v>
      </c>
      <c r="S261" s="2">
        <f ca="1"/>
        <v>-1.0843781768891836E-2</v>
      </c>
      <c r="T261" s="2">
        <f ca="1"/>
        <v>-1.5573168742743306E-2</v>
      </c>
      <c r="U261" s="2">
        <f ca="1"/>
        <v>-1.6614590148657502E-2</v>
      </c>
      <c r="V261" s="2">
        <f ca="1"/>
        <v>-4.1687363588470014E-2</v>
      </c>
      <c r="W261" s="2">
        <f ca="1"/>
        <v>1.2522385599143553E-2</v>
      </c>
      <c r="X261" s="2" t="str">
        <f ca="1"/>
        <v/>
      </c>
      <c r="Y261" s="2" t="str">
        <f ca="1"/>
        <v/>
      </c>
      <c r="Z261" s="2" t="str">
        <f ca="1"/>
        <v/>
      </c>
      <c r="AA261" s="2" t="str">
        <f ca="1"/>
        <v/>
      </c>
      <c r="AB261" s="2" t="str">
        <f ca="1"/>
        <v/>
      </c>
      <c r="AC261" s="2" t="str">
        <f ca="1"/>
        <v/>
      </c>
      <c r="AD261" s="2" t="str">
        <f ca="1"/>
        <v/>
      </c>
      <c r="AE261" s="2" t="str">
        <f ca="1"/>
        <v/>
      </c>
      <c r="AF261" s="2" t="str">
        <f ca="1"/>
        <v/>
      </c>
      <c r="AG261" s="26" t="str">
        <f ca="1"/>
        <v/>
      </c>
      <c r="AH261" s="26">
        <f ca="1"/>
        <v>-5.04E-2</v>
      </c>
    </row>
    <row r="262" spans="1:34">
      <c r="A262" s="5">
        <f ca="1"/>
        <v>36769</v>
      </c>
      <c r="B262" s="2">
        <f ca="1"/>
        <v>8.8847160464329625E-3</v>
      </c>
      <c r="C262" s="2">
        <f ca="1"/>
        <v>4.9097848716170038E-3</v>
      </c>
      <c r="D262" s="2">
        <f ca="1"/>
        <v>3.1087337187267711E-2</v>
      </c>
      <c r="E262" s="2">
        <f ca="1"/>
        <v>1.449374757103988E-2</v>
      </c>
      <c r="F262" s="2">
        <f ca="1"/>
        <v>1.1015758905751181E-2</v>
      </c>
      <c r="G262" s="2">
        <f ca="1"/>
        <v>7.4642472821850924E-3</v>
      </c>
      <c r="H262" s="2">
        <f ca="1"/>
        <v>6.3492986127257192E-2</v>
      </c>
      <c r="I262" s="2" t="str">
        <f ca="1"/>
        <v/>
      </c>
      <c r="J262" s="2" t="str">
        <f ca="1"/>
        <v/>
      </c>
      <c r="K262" s="2">
        <f ca="1"/>
        <v>2.9379327800979915E-2</v>
      </c>
      <c r="L262" s="2" t="str">
        <f ca="1"/>
        <v/>
      </c>
      <c r="M262" s="2" t="str">
        <f ca="1"/>
        <v/>
      </c>
      <c r="N262" s="2">
        <f ca="1"/>
        <v>2.4617441913474144E-2</v>
      </c>
      <c r="O262" s="2" t="str">
        <f ca="1"/>
        <v/>
      </c>
      <c r="P262" s="2">
        <f ca="1"/>
        <v>3.0133281823449695E-2</v>
      </c>
      <c r="Q262" s="2">
        <f ca="1"/>
        <v>3.9713444500223849E-2</v>
      </c>
      <c r="R262" s="2">
        <f ca="1"/>
        <v>8.1236362494701994E-2</v>
      </c>
      <c r="S262" s="2">
        <f ca="1"/>
        <v>5.1964958645328664E-2</v>
      </c>
      <c r="T262" s="2">
        <f ca="1"/>
        <v>6.2114833321250562E-2</v>
      </c>
      <c r="U262" s="2">
        <f ca="1"/>
        <v>7.4017514397770004E-2</v>
      </c>
      <c r="V262" s="2">
        <f ca="1"/>
        <v>9.0543543991643799E-2</v>
      </c>
      <c r="W262" s="2">
        <f ca="1"/>
        <v>5.5641549496823935E-2</v>
      </c>
      <c r="X262" s="2" t="str">
        <f ca="1"/>
        <v/>
      </c>
      <c r="Y262" s="2" t="str">
        <f ca="1"/>
        <v/>
      </c>
      <c r="Z262" s="2" t="str">
        <f ca="1"/>
        <v/>
      </c>
      <c r="AA262" s="2" t="str">
        <f ca="1"/>
        <v/>
      </c>
      <c r="AB262" s="2" t="str">
        <f ca="1"/>
        <v/>
      </c>
      <c r="AC262" s="2" t="str">
        <f ca="1"/>
        <v/>
      </c>
      <c r="AD262" s="2" t="str">
        <f ca="1"/>
        <v/>
      </c>
      <c r="AE262" s="2" t="str">
        <f ca="1"/>
        <v/>
      </c>
      <c r="AF262" s="2" t="str">
        <f ca="1"/>
        <v/>
      </c>
      <c r="AG262" s="26" t="str">
        <f ca="1"/>
        <v/>
      </c>
      <c r="AH262" s="26">
        <f ca="1"/>
        <v>1.01E-2</v>
      </c>
    </row>
    <row r="263" spans="1:34">
      <c r="A263" s="5">
        <f ca="1"/>
        <v>36798</v>
      </c>
      <c r="B263" s="2">
        <f ca="1"/>
        <v>-4.8493765515788011E-2</v>
      </c>
      <c r="C263" s="2">
        <f ca="1"/>
        <v>-8.732282512991392E-2</v>
      </c>
      <c r="D263" s="2">
        <f ca="1"/>
        <v>-5.4923810631615763E-2</v>
      </c>
      <c r="E263" s="2">
        <f ca="1"/>
        <v>6.287040584086398E-3</v>
      </c>
      <c r="F263" s="2">
        <f ca="1"/>
        <v>-6.6048248074302984E-2</v>
      </c>
      <c r="G263" s="2">
        <f ca="1"/>
        <v>-3.0156633327042874E-2</v>
      </c>
      <c r="H263" s="2">
        <f ca="1"/>
        <v>-0.12660095829765527</v>
      </c>
      <c r="I263" s="2" t="str">
        <f ca="1"/>
        <v/>
      </c>
      <c r="J263" s="2" t="str">
        <f ca="1"/>
        <v/>
      </c>
      <c r="K263" s="2">
        <f ca="1"/>
        <v>4.9178024448502779E-3</v>
      </c>
      <c r="L263" s="2" t="str">
        <f ca="1"/>
        <v/>
      </c>
      <c r="M263" s="2" t="str">
        <f ca="1"/>
        <v/>
      </c>
      <c r="N263" s="2">
        <f ca="1"/>
        <v>-6.1637029676538994E-2</v>
      </c>
      <c r="O263" s="2" t="str">
        <f ca="1"/>
        <v/>
      </c>
      <c r="P263" s="2">
        <f ca="1"/>
        <v>-7.6429776861053705E-2</v>
      </c>
      <c r="Q263" s="2">
        <f ca="1"/>
        <v>-5.2642568184783925E-2</v>
      </c>
      <c r="R263" s="2">
        <f ca="1"/>
        <v>-9.2714654897064402E-2</v>
      </c>
      <c r="S263" s="2">
        <f ca="1"/>
        <v>-4.0009676759029666E-3</v>
      </c>
      <c r="T263" s="2">
        <f ca="1"/>
        <v>-5.2795756257702595E-2</v>
      </c>
      <c r="U263" s="2">
        <f ca="1"/>
        <v>-4.6415616508180844E-2</v>
      </c>
      <c r="V263" s="2">
        <f ca="1"/>
        <v>-9.4594555667578725E-2</v>
      </c>
      <c r="W263" s="2">
        <f ca="1"/>
        <v>9.1570022332605888E-3</v>
      </c>
      <c r="X263" s="2" t="str">
        <f ca="1"/>
        <v/>
      </c>
      <c r="Y263" s="2" t="str">
        <f ca="1"/>
        <v/>
      </c>
      <c r="Z263" s="2" t="str">
        <f ca="1"/>
        <v/>
      </c>
      <c r="AA263" s="2" t="str">
        <f ca="1"/>
        <v/>
      </c>
      <c r="AB263" s="2" t="str">
        <f ca="1"/>
        <v/>
      </c>
      <c r="AC263" s="2" t="str">
        <f ca="1"/>
        <v/>
      </c>
      <c r="AD263" s="2" t="str">
        <f ca="1"/>
        <v/>
      </c>
      <c r="AE263" s="2" t="str">
        <f ca="1"/>
        <v/>
      </c>
      <c r="AF263" s="2" t="str">
        <f ca="1"/>
        <v/>
      </c>
      <c r="AG263" s="26" t="str">
        <f ca="1"/>
        <v/>
      </c>
      <c r="AH263" s="26">
        <f ca="1"/>
        <v>-2.1499999999999998E-2</v>
      </c>
    </row>
    <row r="264" spans="1:34">
      <c r="A264" s="5">
        <f ca="1"/>
        <v>36830</v>
      </c>
      <c r="B264" s="2">
        <f ca="1"/>
        <v>-2.3418665141843379E-2</v>
      </c>
      <c r="C264" s="2">
        <f ca="1"/>
        <v>-7.2486522273716061E-2</v>
      </c>
      <c r="D264" s="2">
        <f ca="1"/>
        <v>-1.95647411265726E-2</v>
      </c>
      <c r="E264" s="2">
        <f ca="1"/>
        <v>6.617251881046185E-3</v>
      </c>
      <c r="F264" s="2">
        <f ca="1"/>
        <v>-4.662064694861754E-2</v>
      </c>
      <c r="G264" s="2">
        <f ca="1"/>
        <v>-1.4146170610210786E-3</v>
      </c>
      <c r="H264" s="2">
        <f ca="1"/>
        <v>-6.702127659574468E-2</v>
      </c>
      <c r="I264" s="2" t="str">
        <f ca="1"/>
        <v/>
      </c>
      <c r="J264" s="2" t="str">
        <f ca="1"/>
        <v/>
      </c>
      <c r="K264" s="2">
        <f ca="1"/>
        <v>-1.0696308724832224E-2</v>
      </c>
      <c r="L264" s="2" t="str">
        <f ca="1"/>
        <v/>
      </c>
      <c r="M264" s="2" t="str">
        <f ca="1"/>
        <v/>
      </c>
      <c r="N264" s="2">
        <f ca="1"/>
        <v>6.8909927138815783E-3</v>
      </c>
      <c r="O264" s="2" t="str">
        <f ca="1"/>
        <v/>
      </c>
      <c r="P264" s="2">
        <f ca="1"/>
        <v>-4.4747634709871316E-2</v>
      </c>
      <c r="Q264" s="2">
        <f ca="1"/>
        <v>1.909196098958622E-2</v>
      </c>
      <c r="R264" s="2">
        <f ca="1"/>
        <v>-4.507776995455412E-2</v>
      </c>
      <c r="S264" s="2">
        <f ca="1"/>
        <v>1.3695302866110995E-2</v>
      </c>
      <c r="T264" s="2">
        <f ca="1"/>
        <v>-4.233030057949185E-3</v>
      </c>
      <c r="U264" s="2">
        <f ca="1"/>
        <v>-1.2045648568694752E-2</v>
      </c>
      <c r="V264" s="2">
        <f ca="1"/>
        <v>-4.7317708706172072E-2</v>
      </c>
      <c r="W264" s="2">
        <f ca="1"/>
        <v>2.4564885592075935E-2</v>
      </c>
      <c r="X264" s="2" t="str">
        <f ca="1"/>
        <v/>
      </c>
      <c r="Y264" s="2" t="str">
        <f ca="1"/>
        <v/>
      </c>
      <c r="Z264" s="2" t="str">
        <f ca="1"/>
        <v/>
      </c>
      <c r="AA264" s="2" t="str">
        <f ca="1"/>
        <v/>
      </c>
      <c r="AB264" s="2" t="str">
        <f ca="1"/>
        <v/>
      </c>
      <c r="AC264" s="2" t="str">
        <f ca="1"/>
        <v/>
      </c>
      <c r="AD264" s="2" t="str">
        <f ca="1"/>
        <v/>
      </c>
      <c r="AE264" s="2" t="str">
        <f ca="1"/>
        <v/>
      </c>
      <c r="AF264" s="2" t="str">
        <f ca="1"/>
        <v/>
      </c>
      <c r="AG264" s="26" t="str">
        <f ca="1"/>
        <v/>
      </c>
      <c r="AH264" s="26">
        <f ca="1"/>
        <v>-2.63E-2</v>
      </c>
    </row>
    <row r="265" spans="1:34">
      <c r="A265" s="5">
        <f ca="1"/>
        <v>36860</v>
      </c>
      <c r="B265" s="2">
        <f ca="1"/>
        <v>-3.7286394359239146E-2</v>
      </c>
      <c r="C265" s="2">
        <f ca="1"/>
        <v>-8.7451308302571737E-2</v>
      </c>
      <c r="D265" s="2">
        <f ca="1"/>
        <v>-6.1951879646390998E-2</v>
      </c>
      <c r="E265" s="2">
        <f ca="1"/>
        <v>1.6350956030388358E-2</v>
      </c>
      <c r="F265" s="2">
        <f ca="1"/>
        <v>-4.64461484488548E-2</v>
      </c>
      <c r="G265" s="2">
        <f ca="1"/>
        <v>-2.9606795104376037E-2</v>
      </c>
      <c r="H265" s="2">
        <f ca="1"/>
        <v>-3.0361973751872436E-2</v>
      </c>
      <c r="I265" s="2" t="str">
        <f ca="1"/>
        <v/>
      </c>
      <c r="J265" s="2" t="str">
        <f ca="1"/>
        <v/>
      </c>
      <c r="K265" s="2">
        <f ca="1"/>
        <v>-1.2684615928202867E-2</v>
      </c>
      <c r="L265" s="2" t="str">
        <f ca="1"/>
        <v/>
      </c>
      <c r="M265" s="2" t="str">
        <f ca="1"/>
        <v/>
      </c>
      <c r="N265" s="2">
        <f ca="1"/>
        <v>-5.3071091088891416E-2</v>
      </c>
      <c r="O265" s="2" t="str">
        <f ca="1"/>
        <v/>
      </c>
      <c r="P265" s="2">
        <f ca="1"/>
        <v>-0.10350690754516471</v>
      </c>
      <c r="Q265" s="2">
        <f ca="1"/>
        <v>-5.9068422048606475E-2</v>
      </c>
      <c r="R265" s="2">
        <f ca="1"/>
        <v>-4.118977796397158E-2</v>
      </c>
      <c r="S265" s="2">
        <f ca="1"/>
        <v>-3.2015482444014386E-2</v>
      </c>
      <c r="T265" s="2">
        <f ca="1"/>
        <v>-7.8835017030182059E-2</v>
      </c>
      <c r="U265" s="2">
        <f ca="1"/>
        <v>-9.1449249303538926E-2</v>
      </c>
      <c r="V265" s="2">
        <f ca="1"/>
        <v>-0.14740731835198495</v>
      </c>
      <c r="W265" s="2">
        <f ca="1"/>
        <v>-3.7119456603033237E-2</v>
      </c>
      <c r="X265" s="2" t="str">
        <f ca="1"/>
        <v/>
      </c>
      <c r="Y265" s="2" t="str">
        <f ca="1"/>
        <v/>
      </c>
      <c r="Z265" s="2" t="str">
        <f ca="1"/>
        <v/>
      </c>
      <c r="AA265" s="2" t="str">
        <f ca="1"/>
        <v/>
      </c>
      <c r="AB265" s="2" t="str">
        <f ca="1"/>
        <v/>
      </c>
      <c r="AC265" s="2" t="str">
        <f ca="1"/>
        <v/>
      </c>
      <c r="AD265" s="2" t="str">
        <f ca="1"/>
        <v/>
      </c>
      <c r="AE265" s="2" t="str">
        <f ca="1"/>
        <v/>
      </c>
      <c r="AF265" s="2" t="str">
        <f ca="1"/>
        <v/>
      </c>
      <c r="AG265" s="26" t="str">
        <f ca="1"/>
        <v/>
      </c>
      <c r="AH265" s="26">
        <f ca="1"/>
        <v>1.3899999999999999E-2</v>
      </c>
    </row>
    <row r="266" spans="1:34">
      <c r="A266" s="5">
        <f ca="1"/>
        <v>36889</v>
      </c>
      <c r="B266" s="2">
        <f ca="1"/>
        <v>3.5777283936507073E-2</v>
      </c>
      <c r="C266" s="2">
        <f ca="1"/>
        <v>2.4159123924460839E-2</v>
      </c>
      <c r="D266" s="2">
        <f ca="1"/>
        <v>1.6704227312388551E-2</v>
      </c>
      <c r="E266" s="2">
        <f ca="1"/>
        <v>1.8550337627088891E-2</v>
      </c>
      <c r="F266" s="2">
        <f ca="1"/>
        <v>1.8449238053090882E-2</v>
      </c>
      <c r="G266" s="2">
        <f ca="1"/>
        <v>5.1068375639308647E-2</v>
      </c>
      <c r="H266" s="2">
        <f ca="1"/>
        <v>3.3918236528395811E-2</v>
      </c>
      <c r="I266" s="2" t="str">
        <f ca="1"/>
        <v/>
      </c>
      <c r="J266" s="2" t="str">
        <f ca="1"/>
        <v/>
      </c>
      <c r="K266" s="2">
        <f ca="1"/>
        <v>2.8772859034463086E-2</v>
      </c>
      <c r="L266" s="2" t="str">
        <f ca="1"/>
        <v/>
      </c>
      <c r="M266" s="2" t="str">
        <f ca="1"/>
        <v/>
      </c>
      <c r="N266" s="2">
        <f ca="1"/>
        <v>1.4255876404867119E-3</v>
      </c>
      <c r="O266" s="2" t="str">
        <f ca="1"/>
        <v/>
      </c>
      <c r="P266" s="2">
        <f ca="1"/>
        <v>2.8117591275486045E-2</v>
      </c>
      <c r="Q266" s="2">
        <f ca="1"/>
        <v>-2.496695971958857E-2</v>
      </c>
      <c r="R266" s="2">
        <f ca="1"/>
        <v>3.2472866455773707E-2</v>
      </c>
      <c r="S266" s="2">
        <f ca="1"/>
        <v>3.2855401957424119E-2</v>
      </c>
      <c r="T266" s="2">
        <f ca="1"/>
        <v>4.8872492503505248E-3</v>
      </c>
      <c r="U266" s="2">
        <f ca="1"/>
        <v>1.2087931033244308E-2</v>
      </c>
      <c r="V266" s="2">
        <f ca="1"/>
        <v>-3.1641268392613393E-2</v>
      </c>
      <c r="W266" s="2">
        <f ca="1"/>
        <v>5.0099639007557227E-2</v>
      </c>
      <c r="X266" s="2" t="str">
        <f ca="1"/>
        <v/>
      </c>
      <c r="Y266" s="2" t="str">
        <f ca="1"/>
        <v/>
      </c>
      <c r="Z266" s="2" t="str">
        <f ca="1"/>
        <v/>
      </c>
      <c r="AA266" s="2" t="str">
        <f ca="1"/>
        <v/>
      </c>
      <c r="AB266" s="2" t="str">
        <f ca="1"/>
        <v/>
      </c>
      <c r="AC266" s="2" t="str">
        <f ca="1"/>
        <v/>
      </c>
      <c r="AD266" s="2" t="str">
        <f ca="1"/>
        <v/>
      </c>
      <c r="AE266" s="2" t="str">
        <f ca="1"/>
        <v/>
      </c>
      <c r="AF266" s="2" t="str">
        <f ca="1"/>
        <v/>
      </c>
      <c r="AG266" s="26" t="str">
        <f ca="1"/>
        <v/>
      </c>
      <c r="AH266" s="26">
        <f ca="1"/>
        <v>1.3000000000000001E-2</v>
      </c>
    </row>
    <row r="267" spans="1:34">
      <c r="A267" s="5">
        <f ca="1"/>
        <v>36922</v>
      </c>
      <c r="B267" s="2">
        <f ca="1"/>
        <v>-4.714974844554125E-4</v>
      </c>
      <c r="C267" s="2">
        <f ca="1"/>
        <v>0.13769475843407677</v>
      </c>
      <c r="D267" s="2">
        <f ca="1"/>
        <v>2.5283065558536304E-2</v>
      </c>
      <c r="E267" s="2">
        <f ca="1"/>
        <v>1.6353633902093122E-2</v>
      </c>
      <c r="F267" s="2">
        <f ca="1"/>
        <v>-2.8192811374970921E-3</v>
      </c>
      <c r="G267" s="2">
        <f ca="1"/>
        <v>1.7385290515845365E-3</v>
      </c>
      <c r="H267" s="2">
        <f ca="1"/>
        <v>-2.4576271186440641E-2</v>
      </c>
      <c r="I267" s="2" t="str">
        <f ca="1"/>
        <v/>
      </c>
      <c r="J267" s="2" t="str">
        <f ca="1"/>
        <v/>
      </c>
      <c r="K267" s="2">
        <f ca="1"/>
        <v>-2.530698855532763E-2</v>
      </c>
      <c r="L267" s="2" t="str">
        <f ca="1"/>
        <v/>
      </c>
      <c r="M267" s="2" t="str">
        <f ca="1"/>
        <v/>
      </c>
      <c r="N267" s="2">
        <f ca="1"/>
        <v>1.2977554128318929E-2</v>
      </c>
      <c r="O267" s="2" t="str">
        <f ca="1"/>
        <v/>
      </c>
      <c r="P267" s="2">
        <f ca="1"/>
        <v>0.12392196651754819</v>
      </c>
      <c r="Q267" s="2">
        <f ca="1"/>
        <v>2.8361375489878302E-2</v>
      </c>
      <c r="R267" s="2">
        <f ca="1"/>
        <v>-3.9898434193821497E-2</v>
      </c>
      <c r="S267" s="2">
        <f ca="1"/>
        <v>-1.3586881377492034E-2</v>
      </c>
      <c r="T267" s="2">
        <f ca="1"/>
        <v>3.5478761305024732E-2</v>
      </c>
      <c r="U267" s="2">
        <f ca="1"/>
        <v>3.2905026089159878E-2</v>
      </c>
      <c r="V267" s="2">
        <f ca="1"/>
        <v>6.908581980127132E-2</v>
      </c>
      <c r="W267" s="2">
        <f ca="1"/>
        <v>3.8459362015165885E-3</v>
      </c>
      <c r="X267" s="2" t="str">
        <f ca="1"/>
        <v/>
      </c>
      <c r="Y267" s="2" t="str">
        <f ca="1"/>
        <v/>
      </c>
      <c r="Z267" s="2" t="str">
        <f ca="1"/>
        <v/>
      </c>
      <c r="AA267" s="2" t="str">
        <f ca="1"/>
        <v/>
      </c>
      <c r="AB267" s="2" t="str">
        <f ca="1"/>
        <v/>
      </c>
      <c r="AC267" s="2" t="str">
        <f ca="1"/>
        <v/>
      </c>
      <c r="AD267" s="2" t="str">
        <f ca="1"/>
        <v/>
      </c>
      <c r="AE267" s="2" t="str">
        <f ca="1"/>
        <v/>
      </c>
      <c r="AF267" s="2" t="str">
        <f ca="1"/>
        <v/>
      </c>
      <c r="AG267" s="26" t="str">
        <f ca="1"/>
        <v/>
      </c>
      <c r="AH267" s="26">
        <f ca="1"/>
        <v>-2.92E-2</v>
      </c>
    </row>
    <row r="268" spans="1:34">
      <c r="A268" s="5">
        <f ca="1"/>
        <v>36950</v>
      </c>
      <c r="B268" s="2">
        <f ca="1"/>
        <v>-7.4895038802129874E-2</v>
      </c>
      <c r="C268" s="2">
        <f ca="1"/>
        <v>-7.8295227865582309E-2</v>
      </c>
      <c r="D268" s="2">
        <f ca="1"/>
        <v>-8.4138929757127126E-2</v>
      </c>
      <c r="E268" s="2">
        <f ca="1"/>
        <v>8.7112802621841737E-3</v>
      </c>
      <c r="F268" s="2">
        <f ca="1"/>
        <v>-0.10142294147024354</v>
      </c>
      <c r="G268" s="2">
        <f ca="1"/>
        <v>-5.0158198576880315E-2</v>
      </c>
      <c r="H268" s="2">
        <f ca="1"/>
        <v>-7.0282134528327794E-2</v>
      </c>
      <c r="I268" s="2" t="str">
        <f ca="1"/>
        <v/>
      </c>
      <c r="J268" s="2" t="str">
        <f ca="1"/>
        <v/>
      </c>
      <c r="K268" s="2">
        <f ca="1"/>
        <v>-1.7559199842966562E-2</v>
      </c>
      <c r="L268" s="2" t="str">
        <f ca="1"/>
        <v/>
      </c>
      <c r="M268" s="2" t="str">
        <f ca="1"/>
        <v/>
      </c>
      <c r="N268" s="2">
        <f ca="1"/>
        <v>-9.0904634289822858E-2</v>
      </c>
      <c r="O268" s="2" t="str">
        <f ca="1"/>
        <v/>
      </c>
      <c r="P268" s="2">
        <f ca="1"/>
        <v>-8.6499794829708598E-2</v>
      </c>
      <c r="Q268" s="2">
        <f ca="1"/>
        <v>-9.5588762016647844E-2</v>
      </c>
      <c r="R268" s="2">
        <f ca="1"/>
        <v>-8.1032476462498546E-2</v>
      </c>
      <c r="S268" s="2">
        <f ca="1"/>
        <v>-3.2827787278181253E-2</v>
      </c>
      <c r="T268" s="2">
        <f ca="1"/>
        <v>-9.1189493445838682E-2</v>
      </c>
      <c r="U268" s="2">
        <f ca="1"/>
        <v>-9.3278333570401342E-2</v>
      </c>
      <c r="V268" s="2">
        <f ca="1"/>
        <v>-0.16977234289692431</v>
      </c>
      <c r="W268" s="2">
        <f ca="1"/>
        <v>-2.7806913879499368E-2</v>
      </c>
      <c r="X268" s="2" t="str">
        <f ca="1"/>
        <v/>
      </c>
      <c r="Y268" s="2" t="str">
        <f ca="1"/>
        <v/>
      </c>
      <c r="Z268" s="2" t="str">
        <f ca="1"/>
        <v/>
      </c>
      <c r="AA268" s="2" t="str">
        <f ca="1"/>
        <v/>
      </c>
      <c r="AB268" s="2" t="str">
        <f ca="1"/>
        <v/>
      </c>
      <c r="AC268" s="2" t="str">
        <f ca="1"/>
        <v/>
      </c>
      <c r="AD268" s="2" t="str">
        <f ca="1"/>
        <v/>
      </c>
      <c r="AE268" s="2" t="str">
        <f ca="1"/>
        <v/>
      </c>
      <c r="AF268" s="2" t="str">
        <f ca="1"/>
        <v/>
      </c>
      <c r="AG268" s="26" t="str">
        <f ca="1"/>
        <v/>
      </c>
      <c r="AH268" s="26">
        <f ca="1"/>
        <v>8.3000000000000001E-3</v>
      </c>
    </row>
    <row r="269" spans="1:34">
      <c r="A269" s="5">
        <f ca="1"/>
        <v>36980</v>
      </c>
      <c r="B269" s="2">
        <f ca="1"/>
        <v>-6.6210619757825009E-2</v>
      </c>
      <c r="C269" s="2">
        <f ca="1"/>
        <v>-9.8222832646605987E-2</v>
      </c>
      <c r="D269" s="2">
        <f ca="1"/>
        <v>-6.7315401997230184E-2</v>
      </c>
      <c r="E269" s="2">
        <f ca="1"/>
        <v>5.0202276395497139E-3</v>
      </c>
      <c r="F269" s="2">
        <f ca="1"/>
        <v>-6.8728765775743605E-2</v>
      </c>
      <c r="G269" s="2">
        <f ca="1"/>
        <v>-6.3779889607482043E-2</v>
      </c>
      <c r="H269" s="2">
        <f ca="1"/>
        <v>-7.3922880188864851E-2</v>
      </c>
      <c r="I269" s="2" t="str">
        <f ca="1"/>
        <v/>
      </c>
      <c r="J269" s="2" t="str">
        <f ca="1"/>
        <v/>
      </c>
      <c r="K269" s="2">
        <f ca="1"/>
        <v>-4.853328489692111E-2</v>
      </c>
      <c r="L269" s="2" t="str">
        <f ca="1"/>
        <v/>
      </c>
      <c r="M269" s="2" t="str">
        <f ca="1"/>
        <v/>
      </c>
      <c r="N269" s="2">
        <f ca="1"/>
        <v>-7.242104506318206E-2</v>
      </c>
      <c r="O269" s="2" t="str">
        <f ca="1"/>
        <v/>
      </c>
      <c r="P269" s="2">
        <f ca="1"/>
        <v>-0.10857065852124703</v>
      </c>
      <c r="Q269" s="2">
        <f ca="1"/>
        <v>-6.9970060354523356E-2</v>
      </c>
      <c r="R269" s="2">
        <f ca="1"/>
        <v>-7.7011626568435673E-2</v>
      </c>
      <c r="S269" s="2">
        <f ca="1"/>
        <v>-4.4956521739130409E-2</v>
      </c>
      <c r="T269" s="2">
        <f ca="1"/>
        <v>-6.3349679603944969E-2</v>
      </c>
      <c r="U269" s="2">
        <f ca="1"/>
        <v>-6.6416679234244158E-2</v>
      </c>
      <c r="V269" s="2">
        <f ca="1"/>
        <v>-0.10881830196417998</v>
      </c>
      <c r="W269" s="2">
        <f ca="1"/>
        <v>-3.5336581769686876E-2</v>
      </c>
      <c r="X269" s="2" t="str">
        <f ca="1"/>
        <v/>
      </c>
      <c r="Y269" s="2" t="str">
        <f ca="1"/>
        <v/>
      </c>
      <c r="Z269" s="2" t="str">
        <f ca="1"/>
        <v/>
      </c>
      <c r="AA269" s="2" t="str">
        <f ca="1"/>
        <v/>
      </c>
      <c r="AB269" s="2" t="str">
        <f ca="1"/>
        <v/>
      </c>
      <c r="AC269" s="2" t="str">
        <f ca="1"/>
        <v/>
      </c>
      <c r="AD269" s="2" t="str">
        <f ca="1"/>
        <v/>
      </c>
      <c r="AE269" s="2" t="str">
        <f ca="1"/>
        <v/>
      </c>
      <c r="AF269" s="2" t="str">
        <f ca="1"/>
        <v/>
      </c>
      <c r="AG269" s="26" t="str">
        <f ca="1"/>
        <v/>
      </c>
      <c r="AH269" s="26">
        <f ca="1"/>
        <v>-3.7000000000000005E-2</v>
      </c>
    </row>
    <row r="270" spans="1:34">
      <c r="A270" s="5">
        <f ca="1"/>
        <v>37011</v>
      </c>
      <c r="B270" s="2">
        <f ca="1"/>
        <v>7.0136900913835648E-2</v>
      </c>
      <c r="C270" s="2">
        <f ca="1"/>
        <v>4.940693220104312E-2</v>
      </c>
      <c r="D270" s="2">
        <f ca="1"/>
        <v>7.2838107147043973E-2</v>
      </c>
      <c r="E270" s="2">
        <f ca="1"/>
        <v>-4.1504593661684424E-3</v>
      </c>
      <c r="F270" s="2">
        <f ca="1"/>
        <v>6.9061866865888791E-2</v>
      </c>
      <c r="G270" s="2">
        <f ca="1"/>
        <v>7.1155281421304062E-2</v>
      </c>
      <c r="H270" s="2">
        <f ca="1"/>
        <v>6.489988846991343E-2</v>
      </c>
      <c r="I270" s="2" t="str">
        <f ca="1"/>
        <v/>
      </c>
      <c r="J270" s="2" t="str">
        <f ca="1"/>
        <v/>
      </c>
      <c r="K270" s="2">
        <f ca="1"/>
        <v>3.7130366722028005E-2</v>
      </c>
      <c r="L270" s="2" t="str">
        <f ca="1"/>
        <v/>
      </c>
      <c r="M270" s="2" t="str">
        <f ca="1"/>
        <v/>
      </c>
      <c r="N270" s="2">
        <f ca="1"/>
        <v>7.4529106270831799E-2</v>
      </c>
      <c r="O270" s="2" t="str">
        <f ca="1"/>
        <v/>
      </c>
      <c r="P270" s="2">
        <f ca="1"/>
        <v>7.482993197278924E-2</v>
      </c>
      <c r="Q270" s="2">
        <f ca="1"/>
        <v>6.7688639073411702E-2</v>
      </c>
      <c r="R270" s="2">
        <f ca="1"/>
        <v>7.2711399351459136E-2</v>
      </c>
      <c r="S270" s="2">
        <f ca="1"/>
        <v>5.4983965117808238E-2</v>
      </c>
      <c r="T270" s="2">
        <f ca="1"/>
        <v>7.7701809071182321E-2</v>
      </c>
      <c r="U270" s="2">
        <f ca="1"/>
        <v>8.034863389220176E-2</v>
      </c>
      <c r="V270" s="2">
        <f ca="1"/>
        <v>0.12647531091474398</v>
      </c>
      <c r="W270" s="2">
        <f ca="1"/>
        <v>4.9040969441969867E-2</v>
      </c>
      <c r="X270" s="2" t="str">
        <f ca="1"/>
        <v/>
      </c>
      <c r="Y270" s="2" t="str">
        <f ca="1"/>
        <v/>
      </c>
      <c r="Z270" s="2" t="str">
        <f ca="1"/>
        <v/>
      </c>
      <c r="AA270" s="2" t="str">
        <f ca="1"/>
        <v/>
      </c>
      <c r="AB270" s="2" t="str">
        <f ca="1"/>
        <v/>
      </c>
      <c r="AC270" s="2" t="str">
        <f ca="1"/>
        <v/>
      </c>
      <c r="AD270" s="2" t="str">
        <f ca="1"/>
        <v/>
      </c>
      <c r="AE270" s="2" t="str">
        <f ca="1"/>
        <v/>
      </c>
      <c r="AF270" s="2" t="str">
        <f ca="1"/>
        <v/>
      </c>
      <c r="AG270" s="26" t="str">
        <f ca="1"/>
        <v/>
      </c>
      <c r="AH270" s="26">
        <f ca="1"/>
        <v>2.52E-2</v>
      </c>
    </row>
    <row r="271" spans="1:34">
      <c r="A271" s="5">
        <f ca="1"/>
        <v>37042</v>
      </c>
      <c r="B271" s="2">
        <f ca="1"/>
        <v>-3.4500123227781919E-2</v>
      </c>
      <c r="C271" s="2">
        <f ca="1"/>
        <v>1.1940626717976925E-2</v>
      </c>
      <c r="D271" s="2">
        <f ca="1"/>
        <v>-1.1148312623453879E-2</v>
      </c>
      <c r="E271" s="2">
        <f ca="1"/>
        <v>6.0317294099167399E-3</v>
      </c>
      <c r="F271" s="2">
        <f ca="1"/>
        <v>-3.9910888763677037E-2</v>
      </c>
      <c r="G271" s="2">
        <f ca="1"/>
        <v>-2.9392096169016606E-2</v>
      </c>
      <c r="H271" s="2">
        <f ca="1"/>
        <v>-2.7928781606902514E-3</v>
      </c>
      <c r="I271" s="2" t="str">
        <f ca="1"/>
        <v/>
      </c>
      <c r="J271" s="2" t="str">
        <f ca="1"/>
        <v/>
      </c>
      <c r="K271" s="2">
        <f ca="1"/>
        <v>1.1412163157119801E-2</v>
      </c>
      <c r="L271" s="2" t="str">
        <f ca="1"/>
        <v/>
      </c>
      <c r="M271" s="2" t="str">
        <f ca="1"/>
        <v/>
      </c>
      <c r="N271" s="2">
        <f ca="1"/>
        <v>-6.6185752930567341E-3</v>
      </c>
      <c r="O271" s="2" t="str">
        <f ca="1"/>
        <v/>
      </c>
      <c r="P271" s="2">
        <f ca="1"/>
        <v>8.2512892639474492E-3</v>
      </c>
      <c r="Q271" s="2">
        <f ca="1"/>
        <v>5.1847361368132219E-3</v>
      </c>
      <c r="R271" s="2">
        <f ca="1"/>
        <v>1.1432779134209819E-3</v>
      </c>
      <c r="S271" s="2">
        <f ca="1"/>
        <v>1.9044513914194327E-2</v>
      </c>
      <c r="T271" s="2">
        <f ca="1"/>
        <v>6.6989229845759203E-3</v>
      </c>
      <c r="U271" s="2">
        <f ca="1"/>
        <v>6.7598384521461224E-3</v>
      </c>
      <c r="V271" s="2">
        <f ca="1"/>
        <v>-1.4717331450919236E-2</v>
      </c>
      <c r="W271" s="2">
        <f ca="1"/>
        <v>2.2464598510272587E-2</v>
      </c>
      <c r="X271" s="2" t="str">
        <f ca="1"/>
        <v/>
      </c>
      <c r="Y271" s="2" t="str">
        <f ca="1"/>
        <v/>
      </c>
      <c r="Z271" s="2" t="str">
        <f ca="1"/>
        <v/>
      </c>
      <c r="AA271" s="2" t="str">
        <f ca="1"/>
        <v/>
      </c>
      <c r="AB271" s="2" t="str">
        <f ca="1"/>
        <v/>
      </c>
      <c r="AC271" s="2" t="str">
        <f ca="1"/>
        <v/>
      </c>
      <c r="AD271" s="2" t="str">
        <f ca="1"/>
        <v/>
      </c>
      <c r="AE271" s="2" t="str">
        <f ca="1"/>
        <v/>
      </c>
      <c r="AF271" s="2" t="str">
        <f ca="1"/>
        <v/>
      </c>
      <c r="AG271" s="26" t="str">
        <f ca="1"/>
        <v/>
      </c>
      <c r="AH271" s="26">
        <f ca="1"/>
        <v>3.4000000000000002E-3</v>
      </c>
    </row>
    <row r="272" spans="1:34">
      <c r="A272" s="5">
        <f ca="1"/>
        <v>37071</v>
      </c>
      <c r="B272" s="2">
        <f ca="1"/>
        <v>-4.0522627931610045E-2</v>
      </c>
      <c r="C272" s="2">
        <f ca="1"/>
        <v>-2.0535442652874939E-2</v>
      </c>
      <c r="D272" s="2">
        <f ca="1"/>
        <v>-3.0637282680145945E-2</v>
      </c>
      <c r="E272" s="2">
        <f ca="1"/>
        <v>3.7784555172736783E-3</v>
      </c>
      <c r="F272" s="2">
        <f ca="1"/>
        <v>-4.8363043681291427E-2</v>
      </c>
      <c r="G272" s="2">
        <f ca="1"/>
        <v>-3.3194849558763478E-2</v>
      </c>
      <c r="H272" s="2">
        <f ca="1"/>
        <v>-1.7579394848712109E-2</v>
      </c>
      <c r="I272" s="2" t="str">
        <f ca="1"/>
        <v/>
      </c>
      <c r="J272" s="2" t="str">
        <f ca="1"/>
        <v/>
      </c>
      <c r="K272" s="2">
        <f ca="1"/>
        <v>-2.282157676348541E-2</v>
      </c>
      <c r="L272" s="2" t="str">
        <f ca="1"/>
        <v/>
      </c>
      <c r="M272" s="2" t="str">
        <f ca="1"/>
        <v/>
      </c>
      <c r="N272" s="2">
        <f ca="1"/>
        <v>-3.0717281193834888E-2</v>
      </c>
      <c r="O272" s="2" t="str">
        <f ca="1"/>
        <v/>
      </c>
      <c r="P272" s="2">
        <f ca="1"/>
        <v>-3.2084069561982731E-2</v>
      </c>
      <c r="Q272" s="2">
        <f ca="1"/>
        <v>-2.4298116142138518E-2</v>
      </c>
      <c r="R272" s="2">
        <f ca="1"/>
        <v>-3.3872060389044813E-2</v>
      </c>
      <c r="S272" s="2">
        <f ca="1"/>
        <v>-3.8685210976022899E-2</v>
      </c>
      <c r="T272" s="2">
        <f ca="1"/>
        <v>-2.4345325392357956E-2</v>
      </c>
      <c r="U272" s="2">
        <f ca="1"/>
        <v>-2.2589479662788597E-2</v>
      </c>
      <c r="V272" s="2">
        <f ca="1"/>
        <v>-2.3159058709699708E-2</v>
      </c>
      <c r="W272" s="2">
        <f ca="1"/>
        <v>-2.2179170552658004E-2</v>
      </c>
      <c r="X272" s="2" t="str">
        <f ca="1"/>
        <v/>
      </c>
      <c r="Y272" s="2" t="str">
        <f ca="1"/>
        <v/>
      </c>
      <c r="Z272" s="2" t="str">
        <f ca="1"/>
        <v/>
      </c>
      <c r="AA272" s="2" t="str">
        <f ca="1"/>
        <v/>
      </c>
      <c r="AB272" s="2" t="str">
        <f ca="1"/>
        <v/>
      </c>
      <c r="AC272" s="2" t="str">
        <f ca="1"/>
        <v/>
      </c>
      <c r="AD272" s="2" t="str">
        <f ca="1"/>
        <v/>
      </c>
      <c r="AE272" s="2" t="str">
        <f ca="1"/>
        <v/>
      </c>
      <c r="AF272" s="2" t="str">
        <f ca="1"/>
        <v/>
      </c>
      <c r="AG272" s="26" t="str">
        <f ca="1"/>
        <v/>
      </c>
      <c r="AH272" s="26">
        <f ca="1"/>
        <v>2.2599999999999999E-2</v>
      </c>
    </row>
    <row r="273" spans="1:34">
      <c r="A273" s="5">
        <f ca="1"/>
        <v>37103</v>
      </c>
      <c r="B273" s="2">
        <f ca="1"/>
        <v>-1.8115252150458533E-2</v>
      </c>
      <c r="C273" s="2">
        <f ca="1"/>
        <v>-6.3186386528520433E-2</v>
      </c>
      <c r="D273" s="2">
        <f ca="1"/>
        <v>-1.5760413652399857E-2</v>
      </c>
      <c r="E273" s="2">
        <f ca="1"/>
        <v>2.2357259887591456E-2</v>
      </c>
      <c r="F273" s="2">
        <f ca="1"/>
        <v>-2.4213452199294633E-2</v>
      </c>
      <c r="G273" s="2">
        <f ca="1"/>
        <v>-1.2524483551747203E-2</v>
      </c>
      <c r="H273" s="2">
        <f ca="1"/>
        <v>-2.0337516226741698E-2</v>
      </c>
      <c r="I273" s="2" t="str">
        <f ca="1"/>
        <v/>
      </c>
      <c r="J273" s="2" t="str">
        <f ca="1"/>
        <v/>
      </c>
      <c r="K273" s="2">
        <f ca="1"/>
        <v>-3.7993071851604972E-3</v>
      </c>
      <c r="L273" s="2" t="str">
        <f ca="1"/>
        <v/>
      </c>
      <c r="M273" s="2" t="str">
        <f ca="1"/>
        <v/>
      </c>
      <c r="N273" s="2">
        <f ca="1"/>
        <v>7.5668183776293344E-3</v>
      </c>
      <c r="O273" s="2" t="str">
        <f ca="1"/>
        <v/>
      </c>
      <c r="P273" s="2">
        <f ca="1"/>
        <v>-5.721560338201382E-2</v>
      </c>
      <c r="Q273" s="2">
        <f ca="1"/>
        <v>1.5257490484400917E-2</v>
      </c>
      <c r="R273" s="2">
        <f ca="1"/>
        <v>-2.0635079635379599E-3</v>
      </c>
      <c r="S273" s="2">
        <f ca="1"/>
        <v>7.7038284209599E-3</v>
      </c>
      <c r="T273" s="2">
        <f ca="1"/>
        <v>-9.853934793301055E-3</v>
      </c>
      <c r="U273" s="2">
        <f ca="1"/>
        <v>-1.3654504088829747E-2</v>
      </c>
      <c r="V273" s="2">
        <f ca="1"/>
        <v>-2.4993396724775387E-2</v>
      </c>
      <c r="W273" s="2">
        <f ca="1"/>
        <v>-2.1265882892324717E-3</v>
      </c>
      <c r="X273" s="2" t="str">
        <f ca="1"/>
        <v/>
      </c>
      <c r="Y273" s="2" t="str">
        <f ca="1"/>
        <v/>
      </c>
      <c r="Z273" s="2" t="str">
        <f ca="1"/>
        <v/>
      </c>
      <c r="AA273" s="2" t="str">
        <f ca="1"/>
        <v/>
      </c>
      <c r="AB273" s="2" t="str">
        <f ca="1"/>
        <v/>
      </c>
      <c r="AC273" s="2" t="str">
        <f ca="1"/>
        <v/>
      </c>
      <c r="AD273" s="2" t="str">
        <f ca="1"/>
        <v/>
      </c>
      <c r="AE273" s="2" t="str">
        <f ca="1"/>
        <v/>
      </c>
      <c r="AF273" s="2" t="str">
        <f ca="1"/>
        <v/>
      </c>
      <c r="AG273" s="26" t="str">
        <f ca="1"/>
        <v/>
      </c>
      <c r="AH273" s="26">
        <f ca="1"/>
        <v>-1.8799999999999997E-2</v>
      </c>
    </row>
    <row r="274" spans="1:34">
      <c r="A274" s="5">
        <f ca="1"/>
        <v>37134</v>
      </c>
      <c r="B274" s="2">
        <f ca="1"/>
        <v>-2.5124448342927177E-2</v>
      </c>
      <c r="C274" s="2">
        <f ca="1"/>
        <v>-9.8519834221433393E-3</v>
      </c>
      <c r="D274" s="2">
        <f ca="1"/>
        <v>-4.5956564735649595E-2</v>
      </c>
      <c r="E274" s="2">
        <f ca="1"/>
        <v>1.1451465665889114E-2</v>
      </c>
      <c r="F274" s="2">
        <f ca="1"/>
        <v>-4.5540668912640594E-2</v>
      </c>
      <c r="G274" s="2">
        <f ca="1"/>
        <v>-6.3870426868792279E-3</v>
      </c>
      <c r="H274" s="2">
        <f ca="1"/>
        <v>-3.8193722718768718E-3</v>
      </c>
      <c r="I274" s="2" t="str">
        <f ca="1"/>
        <v/>
      </c>
      <c r="J274" s="2" t="str">
        <f ca="1"/>
        <v/>
      </c>
      <c r="K274" s="2">
        <f ca="1"/>
        <v>-1.0431856421760942E-2</v>
      </c>
      <c r="L274" s="2" t="str">
        <f ca="1"/>
        <v/>
      </c>
      <c r="M274" s="2" t="str">
        <f ca="1"/>
        <v/>
      </c>
      <c r="N274" s="2">
        <f ca="1"/>
        <v>-5.4837810205409523E-2</v>
      </c>
      <c r="O274" s="2" t="str">
        <f ca="1"/>
        <v/>
      </c>
      <c r="P274" s="2">
        <f ca="1"/>
        <v>-1.1821656050955379E-2</v>
      </c>
      <c r="Q274" s="2">
        <f ca="1"/>
        <v>-6.0401179184824301E-2</v>
      </c>
      <c r="R274" s="2">
        <f ca="1"/>
        <v>-2.6198506384003877E-2</v>
      </c>
      <c r="S274" s="2">
        <f ca="1"/>
        <v>-3.4329344109418743E-2</v>
      </c>
      <c r="T274" s="2">
        <f ca="1"/>
        <v>-6.2599064526801598E-2</v>
      </c>
      <c r="U274" s="2">
        <f ca="1"/>
        <v>-6.0945365587423021E-2</v>
      </c>
      <c r="V274" s="2">
        <f ca="1"/>
        <v>-8.1773632550782113E-2</v>
      </c>
      <c r="W274" s="2">
        <f ca="1"/>
        <v>-4.0054395871492759E-2</v>
      </c>
      <c r="X274" s="2" t="str">
        <f ca="1"/>
        <v/>
      </c>
      <c r="Y274" s="2" t="str">
        <f ca="1"/>
        <v/>
      </c>
      <c r="Z274" s="2" t="str">
        <f ca="1"/>
        <v/>
      </c>
      <c r="AA274" s="2" t="str">
        <f ca="1"/>
        <v/>
      </c>
      <c r="AB274" s="2" t="str">
        <f ca="1"/>
        <v/>
      </c>
      <c r="AC274" s="2" t="str">
        <f ca="1"/>
        <v/>
      </c>
      <c r="AD274" s="2" t="str">
        <f ca="1"/>
        <v/>
      </c>
      <c r="AE274" s="2" t="str">
        <f ca="1"/>
        <v/>
      </c>
      <c r="AF274" s="2" t="str">
        <f ca="1"/>
        <v/>
      </c>
      <c r="AG274" s="26" t="str">
        <f ca="1"/>
        <v/>
      </c>
      <c r="AH274" s="26">
        <f ca="1"/>
        <v>3.3399999999999999E-2</v>
      </c>
    </row>
    <row r="275" spans="1:34">
      <c r="A275" s="5">
        <f ca="1"/>
        <v>37162</v>
      </c>
      <c r="B275" s="2">
        <f ca="1"/>
        <v>-0.10106120014662832</v>
      </c>
      <c r="C275" s="2">
        <f ca="1"/>
        <v>-0.15479920591260249</v>
      </c>
      <c r="D275" s="2">
        <f ca="1"/>
        <v>-9.1344597454989088E-2</v>
      </c>
      <c r="E275" s="2">
        <f ca="1"/>
        <v>1.1652744211233457E-2</v>
      </c>
      <c r="F275" s="2">
        <f ca="1"/>
        <v>-9.441555898796955E-2</v>
      </c>
      <c r="G275" s="2">
        <f ca="1"/>
        <v>-0.10706612504784113</v>
      </c>
      <c r="H275" s="2">
        <f ca="1"/>
        <v>-7.1072741973344455E-2</v>
      </c>
      <c r="I275" s="2" t="str">
        <f ca="1"/>
        <v/>
      </c>
      <c r="J275" s="2" t="str">
        <f ca="1"/>
        <v/>
      </c>
      <c r="K275" s="2">
        <f ca="1"/>
        <v>-5.9283609158920982E-2</v>
      </c>
      <c r="L275" s="2" t="str">
        <f ca="1"/>
        <v/>
      </c>
      <c r="M275" s="2" t="str">
        <f ca="1"/>
        <v/>
      </c>
      <c r="N275" s="2">
        <f ca="1"/>
        <v>-6.1716982987511056E-2</v>
      </c>
      <c r="O275" s="2" t="str">
        <f ca="1"/>
        <v/>
      </c>
      <c r="P275" s="2">
        <f ca="1"/>
        <v>-0.15165265817563037</v>
      </c>
      <c r="Q275" s="2">
        <f ca="1"/>
        <v>-5.6474439859495969E-2</v>
      </c>
      <c r="R275" s="2">
        <f ca="1"/>
        <v>-6.4526769332261341E-2</v>
      </c>
      <c r="S275" s="2">
        <f ca="1"/>
        <v>-4.9713308520269665E-2</v>
      </c>
      <c r="T275" s="2">
        <f ca="1"/>
        <v>-8.0765437996562661E-2</v>
      </c>
      <c r="U275" s="2">
        <f ca="1"/>
        <v>-8.4807229690403524E-2</v>
      </c>
      <c r="V275" s="2">
        <f ca="1"/>
        <v>-9.98430033770078E-2</v>
      </c>
      <c r="W275" s="2">
        <f ca="1"/>
        <v>-7.0381125149302726E-2</v>
      </c>
      <c r="X275" s="2" t="str">
        <f ca="1"/>
        <v/>
      </c>
      <c r="Y275" s="2" t="str">
        <f ca="1"/>
        <v/>
      </c>
      <c r="Z275" s="2" t="str">
        <f ca="1"/>
        <v/>
      </c>
      <c r="AA275" s="2" t="str">
        <f ca="1"/>
        <v/>
      </c>
      <c r="AB275" s="2" t="str">
        <f ca="1"/>
        <v/>
      </c>
      <c r="AC275" s="2" t="str">
        <f ca="1"/>
        <v/>
      </c>
      <c r="AD275" s="2" t="str">
        <f ca="1"/>
        <v/>
      </c>
      <c r="AE275" s="2" t="str">
        <f ca="1"/>
        <v/>
      </c>
      <c r="AF275" s="2" t="str">
        <f ca="1"/>
        <v/>
      </c>
      <c r="AG275" s="26" t="str">
        <f ca="1"/>
        <v/>
      </c>
      <c r="AH275" s="26">
        <f ca="1"/>
        <v>6.2899999999999998E-2</v>
      </c>
    </row>
    <row r="276" spans="1:34">
      <c r="A276" s="5">
        <f ca="1"/>
        <v>37195</v>
      </c>
      <c r="B276" s="2">
        <f ca="1"/>
        <v>2.5570626875528319E-2</v>
      </c>
      <c r="C276" s="2">
        <f ca="1"/>
        <v>6.2059597588929469E-2</v>
      </c>
      <c r="D276" s="2">
        <f ca="1"/>
        <v>2.1249627454943371E-2</v>
      </c>
      <c r="E276" s="2">
        <f ca="1"/>
        <v>2.0925645066960204E-2</v>
      </c>
      <c r="F276" s="2">
        <f ca="1"/>
        <v>3.9811900929685E-2</v>
      </c>
      <c r="G276" s="2">
        <f ca="1"/>
        <v>1.2554155778686472E-2</v>
      </c>
      <c r="H276" s="2">
        <f ca="1"/>
        <v>2.16194968553454E-3</v>
      </c>
      <c r="I276" s="2" t="str">
        <f ca="1"/>
        <v/>
      </c>
      <c r="J276" s="2" t="str">
        <f ca="1"/>
        <v/>
      </c>
      <c r="K276" s="2">
        <f ca="1"/>
        <v>-2.8718319476242257E-3</v>
      </c>
      <c r="L276" s="2" t="str">
        <f ca="1"/>
        <v/>
      </c>
      <c r="M276" s="2" t="str">
        <f ca="1"/>
        <v/>
      </c>
      <c r="N276" s="2">
        <f ca="1"/>
        <v>3.48795774205043E-2</v>
      </c>
      <c r="O276" s="2" t="str">
        <f ca="1"/>
        <v/>
      </c>
      <c r="P276" s="2">
        <f ca="1"/>
        <v>8.2360807196693323E-2</v>
      </c>
      <c r="Q276" s="2">
        <f ca="1"/>
        <v>2.6547872917193661E-2</v>
      </c>
      <c r="R276" s="2">
        <f ca="1"/>
        <v>-5.9501509575335277E-3</v>
      </c>
      <c r="S276" s="2">
        <f ca="1"/>
        <v>-1.167591141973999E-2</v>
      </c>
      <c r="T276" s="2">
        <f ca="1"/>
        <v>1.9053697564713878E-2</v>
      </c>
      <c r="U276" s="2">
        <f ca="1"/>
        <v>2.0819689999432452E-2</v>
      </c>
      <c r="V276" s="2">
        <f ca="1"/>
        <v>5.2466471381791613E-2</v>
      </c>
      <c r="W276" s="2">
        <f ca="1"/>
        <v>-8.6078102374330667E-3</v>
      </c>
      <c r="X276" s="2" t="str">
        <f ca="1"/>
        <v/>
      </c>
      <c r="Y276" s="2" t="str">
        <f ca="1"/>
        <v/>
      </c>
      <c r="Z276" s="2" t="str">
        <f ca="1"/>
        <v/>
      </c>
      <c r="AA276" s="2" t="str">
        <f ca="1"/>
        <v/>
      </c>
      <c r="AB276" s="2" t="str">
        <f ca="1"/>
        <v/>
      </c>
      <c r="AC276" s="2" t="str">
        <f ca="1"/>
        <v/>
      </c>
      <c r="AD276" s="2" t="str">
        <f ca="1"/>
        <v/>
      </c>
      <c r="AE276" s="2" t="str">
        <f ca="1"/>
        <v/>
      </c>
      <c r="AF276" s="2" t="str">
        <f ca="1"/>
        <v/>
      </c>
      <c r="AG276" s="26" t="str">
        <f ca="1"/>
        <v/>
      </c>
      <c r="AH276" s="26">
        <f ca="1"/>
        <v>-4.07E-2</v>
      </c>
    </row>
    <row r="277" spans="1:34">
      <c r="A277" s="5">
        <f ca="1"/>
        <v>37225</v>
      </c>
      <c r="B277" s="2">
        <f ca="1"/>
        <v>3.6927464986077997E-2</v>
      </c>
      <c r="C277" s="2">
        <f ca="1"/>
        <v>0.10442312816413535</v>
      </c>
      <c r="D277" s="2">
        <f ca="1"/>
        <v>6.1499963101363922E-2</v>
      </c>
      <c r="E277" s="2">
        <f ca="1"/>
        <v>-1.3787478639117645E-2</v>
      </c>
      <c r="F277" s="2">
        <f ca="1"/>
        <v>5.1437589885466491E-2</v>
      </c>
      <c r="G277" s="2">
        <f ca="1"/>
        <v>2.3305818517663269E-2</v>
      </c>
      <c r="H277" s="2">
        <f ca="1"/>
        <v>2.7792564368363588E-2</v>
      </c>
      <c r="I277" s="2" t="str">
        <f ca="1"/>
        <v/>
      </c>
      <c r="J277" s="2" t="str">
        <f ca="1"/>
        <v/>
      </c>
      <c r="K277" s="2">
        <f ca="1"/>
        <v>3.145958792370749E-2</v>
      </c>
      <c r="L277" s="2" t="str">
        <f ca="1"/>
        <v/>
      </c>
      <c r="M277" s="2" t="str">
        <f ca="1"/>
        <v/>
      </c>
      <c r="N277" s="2">
        <f ca="1"/>
        <v>6.4450790950152909E-2</v>
      </c>
      <c r="O277" s="2" t="str">
        <f ca="1"/>
        <v/>
      </c>
      <c r="P277" s="2">
        <f ca="1"/>
        <v>7.9519290166788326E-2</v>
      </c>
      <c r="Q277" s="2">
        <f ca="1"/>
        <v>7.9185958488108055E-2</v>
      </c>
      <c r="R277" s="2">
        <f ca="1"/>
        <v>6.5754760901855641E-2</v>
      </c>
      <c r="S277" s="2">
        <f ca="1"/>
        <v>5.5309805601670849E-2</v>
      </c>
      <c r="T277" s="2">
        <f ca="1"/>
        <v>7.6715432021969329E-2</v>
      </c>
      <c r="U277" s="2">
        <f ca="1"/>
        <v>7.7002257686923356E-2</v>
      </c>
      <c r="V277" s="2">
        <f ca="1"/>
        <v>9.6065085137855513E-2</v>
      </c>
      <c r="W277" s="2">
        <f ca="1"/>
        <v>5.8137135570625456E-2</v>
      </c>
      <c r="X277" s="2" t="str">
        <f ca="1"/>
        <v/>
      </c>
      <c r="Y277" s="2" t="str">
        <f ca="1"/>
        <v/>
      </c>
      <c r="Z277" s="2" t="str">
        <f ca="1"/>
        <v/>
      </c>
      <c r="AA277" s="2" t="str">
        <f ca="1"/>
        <v/>
      </c>
      <c r="AB277" s="2" t="str">
        <f ca="1"/>
        <v/>
      </c>
      <c r="AC277" s="2" t="str">
        <f ca="1"/>
        <v/>
      </c>
      <c r="AD277" s="2" t="str">
        <f ca="1"/>
        <v/>
      </c>
      <c r="AE277" s="2" t="str">
        <f ca="1"/>
        <v/>
      </c>
      <c r="AF277" s="2" t="str">
        <f ca="1"/>
        <v/>
      </c>
      <c r="AG277" s="26" t="str">
        <f ca="1"/>
        <v/>
      </c>
      <c r="AH277" s="26">
        <f ca="1"/>
        <v>-2.35E-2</v>
      </c>
    </row>
    <row r="278" spans="1:34">
      <c r="A278" s="5">
        <f ca="1"/>
        <v>37256</v>
      </c>
      <c r="B278" s="2">
        <f ca="1"/>
        <v>5.961333271520524E-3</v>
      </c>
      <c r="C278" s="2">
        <f ca="1"/>
        <v>7.9374653188255387E-2</v>
      </c>
      <c r="D278" s="2">
        <f ca="1"/>
        <v>9.3727879462028787E-3</v>
      </c>
      <c r="E278" s="2">
        <f ca="1"/>
        <v>-6.3501752451463446E-3</v>
      </c>
      <c r="F278" s="2">
        <f ca="1"/>
        <v>5.8077017623606652E-3</v>
      </c>
      <c r="G278" s="2">
        <f ca="1"/>
        <v>6.1085962215546678E-3</v>
      </c>
      <c r="H278" s="2">
        <f ca="1"/>
        <v>1.2457407659806441E-2</v>
      </c>
      <c r="I278" s="2" t="str">
        <f ca="1"/>
        <v/>
      </c>
      <c r="J278" s="2" t="str">
        <f ca="1"/>
        <v/>
      </c>
      <c r="K278" s="2">
        <f ca="1"/>
        <v>1.2379669224611001E-2</v>
      </c>
      <c r="L278" s="2">
        <f ca="1"/>
        <v>-2.0471069907527341E-3</v>
      </c>
      <c r="M278" s="2">
        <f ca="1"/>
        <v>5.0429469582927412E-2</v>
      </c>
      <c r="N278" s="2">
        <f ca="1"/>
        <v>1.1797613837459416E-2</v>
      </c>
      <c r="O278" s="2" t="str">
        <f ca="1"/>
        <v/>
      </c>
      <c r="P278" s="2">
        <f ca="1"/>
        <v>7.1216771575716584E-2</v>
      </c>
      <c r="Q278" s="2">
        <f ca="1"/>
        <v>2.9200176179833342E-3</v>
      </c>
      <c r="R278" s="2">
        <f ca="1"/>
        <v>1.7390219041873725E-2</v>
      </c>
      <c r="S278" s="2">
        <f ca="1"/>
        <v>1.4919465335079062E-2</v>
      </c>
      <c r="T278" s="2">
        <f ca="1"/>
        <v>8.7595083827712861E-3</v>
      </c>
      <c r="U278" s="2">
        <f ca="1"/>
        <v>1.0662010657094581E-2</v>
      </c>
      <c r="V278" s="2">
        <f ca="1"/>
        <v>-1.8797469317760576E-3</v>
      </c>
      <c r="W278" s="2">
        <f ca="1"/>
        <v>2.355384847973602E-2</v>
      </c>
      <c r="X278" s="2" t="str">
        <f ca="1"/>
        <v/>
      </c>
      <c r="Y278" s="2" t="str">
        <f ca="1"/>
        <v/>
      </c>
      <c r="Z278" s="2" t="str">
        <f ca="1"/>
        <v/>
      </c>
      <c r="AA278" s="2" t="str">
        <f ca="1"/>
        <v/>
      </c>
      <c r="AB278" s="2" t="str">
        <f ca="1"/>
        <v/>
      </c>
      <c r="AC278" s="2" t="str">
        <f ca="1"/>
        <v/>
      </c>
      <c r="AD278" s="2" t="str">
        <f ca="1"/>
        <v/>
      </c>
      <c r="AE278" s="2" t="str">
        <f ca="1"/>
        <v/>
      </c>
      <c r="AF278" s="2" t="str">
        <f ca="1"/>
        <v/>
      </c>
      <c r="AG278" s="26" t="str">
        <f ca="1"/>
        <v/>
      </c>
      <c r="AH278" s="26">
        <f ca="1"/>
        <v>1.8600000000000002E-2</v>
      </c>
    </row>
    <row r="279" spans="1:34">
      <c r="A279" s="5">
        <f ca="1"/>
        <v>37287</v>
      </c>
      <c r="B279" s="2">
        <f ca="1"/>
        <v>-5.3058262988503441E-2</v>
      </c>
      <c r="C279" s="2">
        <f ca="1"/>
        <v>3.3885424350119639E-2</v>
      </c>
      <c r="D279" s="2">
        <f ca="1"/>
        <v>-2.740017657334998E-2</v>
      </c>
      <c r="E279" s="2">
        <f ca="1"/>
        <v>8.0949597233644834E-3</v>
      </c>
      <c r="F279" s="2">
        <f ca="1"/>
        <v>-5.3898825778263264E-2</v>
      </c>
      <c r="G279" s="2">
        <f ca="1"/>
        <v>-5.2251410416642247E-2</v>
      </c>
      <c r="H279" s="2">
        <f ca="1"/>
        <v>9.423294383715629E-4</v>
      </c>
      <c r="I279" s="2" t="str">
        <f ca="1"/>
        <v/>
      </c>
      <c r="J279" s="2" t="str">
        <f ca="1"/>
        <v/>
      </c>
      <c r="K279" s="2">
        <f ca="1"/>
        <v>-1.4774239589561642E-2</v>
      </c>
      <c r="L279" s="2">
        <f ca="1"/>
        <v>-3.4942940677166821E-2</v>
      </c>
      <c r="M279" s="2">
        <f ca="1"/>
        <v>2.7186512118018921E-2</v>
      </c>
      <c r="N279" s="2">
        <f ca="1"/>
        <v>-4.3631166193369752E-3</v>
      </c>
      <c r="O279" s="2" t="str">
        <f ca="1"/>
        <v/>
      </c>
      <c r="P279" s="2">
        <f ca="1"/>
        <v>1.9085081585081619E-2</v>
      </c>
      <c r="Q279" s="2">
        <f ca="1"/>
        <v>8.4092387768381158E-3</v>
      </c>
      <c r="R279" s="2">
        <f ca="1"/>
        <v>1.2778834161401787E-2</v>
      </c>
      <c r="S279" s="2">
        <f ca="1"/>
        <v>-8.3200832008320583E-3</v>
      </c>
      <c r="T279" s="2">
        <f ca="1"/>
        <v>-1.4584384957932878E-2</v>
      </c>
      <c r="U279" s="2">
        <f ca="1"/>
        <v>-1.2702323320885157E-2</v>
      </c>
      <c r="V279" s="2">
        <f ca="1"/>
        <v>-1.7666299836578522E-2</v>
      </c>
      <c r="W279" s="2">
        <f ca="1"/>
        <v>-7.706287688563275E-3</v>
      </c>
      <c r="X279" s="2" t="str">
        <f ca="1"/>
        <v/>
      </c>
      <c r="Y279" s="2" t="str">
        <f ca="1"/>
        <v/>
      </c>
      <c r="Z279" s="2" t="str">
        <f ca="1"/>
        <v/>
      </c>
      <c r="AA279" s="2" t="str">
        <f ca="1"/>
        <v/>
      </c>
      <c r="AB279" s="2" t="str">
        <f ca="1"/>
        <v/>
      </c>
      <c r="AC279" s="2" t="str">
        <f ca="1"/>
        <v/>
      </c>
      <c r="AD279" s="2" t="str">
        <f ca="1"/>
        <v/>
      </c>
      <c r="AE279" s="2" t="str">
        <f ca="1"/>
        <v/>
      </c>
      <c r="AF279" s="2" t="str">
        <f ca="1"/>
        <v/>
      </c>
      <c r="AG279" s="26" t="str">
        <f ca="1"/>
        <v/>
      </c>
      <c r="AH279" s="26">
        <f ca="1"/>
        <v>1.11E-2</v>
      </c>
    </row>
    <row r="280" spans="1:34">
      <c r="A280" s="5">
        <f ca="1"/>
        <v>37315</v>
      </c>
      <c r="B280" s="2">
        <f ca="1"/>
        <v>7.0623733573475112E-3</v>
      </c>
      <c r="C280" s="2">
        <f ca="1"/>
        <v>1.6430656145281518E-2</v>
      </c>
      <c r="D280" s="2">
        <f ca="1"/>
        <v>-7.3456039039212478E-3</v>
      </c>
      <c r="E280" s="2">
        <f ca="1"/>
        <v>9.690989149237203E-3</v>
      </c>
      <c r="F280" s="2">
        <f ca="1"/>
        <v>1.3502192518809762E-2</v>
      </c>
      <c r="G280" s="2">
        <f ca="1"/>
        <v>8.7750001232442493E-4</v>
      </c>
      <c r="H280" s="2">
        <f ca="1"/>
        <v>1.4094735992683674E-2</v>
      </c>
      <c r="I280" s="2" t="str">
        <f ca="1"/>
        <v/>
      </c>
      <c r="J280" s="2" t="str">
        <f ca="1"/>
        <v/>
      </c>
      <c r="K280" s="2">
        <f ca="1"/>
        <v>1.9478866897672302E-2</v>
      </c>
      <c r="L280" s="2">
        <f ca="1"/>
        <v>2.4602980698753957E-2</v>
      </c>
      <c r="M280" s="2">
        <f ca="1"/>
        <v>1.1694706606483475E-2</v>
      </c>
      <c r="N280" s="2">
        <f ca="1"/>
        <v>-4.4389036852345498E-3</v>
      </c>
      <c r="O280" s="2" t="str">
        <f ca="1"/>
        <v/>
      </c>
      <c r="P280" s="2">
        <f ca="1"/>
        <v>-2.7162258756254143E-3</v>
      </c>
      <c r="Q280" s="2">
        <f ca="1"/>
        <v>-1.4710389212381251E-2</v>
      </c>
      <c r="R280" s="2">
        <f ca="1"/>
        <v>1.0295958331651034E-2</v>
      </c>
      <c r="S280" s="2">
        <f ca="1"/>
        <v>1.2211723658071752E-2</v>
      </c>
      <c r="T280" s="2">
        <f ca="1"/>
        <v>-1.9306664345478428E-2</v>
      </c>
      <c r="U280" s="2">
        <f ca="1"/>
        <v>-1.9920416867157252E-2</v>
      </c>
      <c r="V280" s="2">
        <f ca="1"/>
        <v>-4.1499573102895052E-2</v>
      </c>
      <c r="W280" s="2">
        <f ca="1"/>
        <v>1.6050013914327189E-3</v>
      </c>
      <c r="X280" s="2" t="str">
        <f ca="1"/>
        <v/>
      </c>
      <c r="Y280" s="2" t="str">
        <f ca="1"/>
        <v/>
      </c>
      <c r="Z280" s="2" t="str">
        <f ca="1"/>
        <v/>
      </c>
      <c r="AA280" s="2" t="str">
        <f ca="1"/>
        <v/>
      </c>
      <c r="AB280" s="2" t="str">
        <f ca="1"/>
        <v/>
      </c>
      <c r="AC280" s="2" t="str">
        <f ca="1"/>
        <v/>
      </c>
      <c r="AD280" s="2" t="str">
        <f ca="1"/>
        <v/>
      </c>
      <c r="AE280" s="2" t="str">
        <f ca="1"/>
        <v/>
      </c>
      <c r="AF280" s="2" t="str">
        <f ca="1"/>
        <v/>
      </c>
      <c r="AG280" s="26" t="str">
        <f ca="1"/>
        <v/>
      </c>
      <c r="AH280" s="26">
        <f ca="1"/>
        <v>5.3200000000000004E-2</v>
      </c>
    </row>
    <row r="281" spans="1:34">
      <c r="A281" s="5">
        <f ca="1"/>
        <v>37344</v>
      </c>
      <c r="B281" s="2">
        <f ca="1"/>
        <v>5.4594182109974958E-2</v>
      </c>
      <c r="C281" s="2">
        <f ca="1"/>
        <v>6.0151015633308581E-2</v>
      </c>
      <c r="D281" s="2">
        <f ca="1"/>
        <v>4.5158570594720761E-2</v>
      </c>
      <c r="E281" s="2">
        <f ca="1"/>
        <v>-1.6635841526331081E-2</v>
      </c>
      <c r="F281" s="2">
        <f ca="1"/>
        <v>3.8527340571182053E-2</v>
      </c>
      <c r="G281" s="2">
        <f ca="1"/>
        <v>7.0207410836982259E-2</v>
      </c>
      <c r="H281" s="2">
        <f ca="1"/>
        <v>3.9415400122012716E-2</v>
      </c>
      <c r="I281" s="2" t="str">
        <f ca="1"/>
        <v/>
      </c>
      <c r="J281" s="2" t="str">
        <f ca="1"/>
        <v/>
      </c>
      <c r="K281" s="2">
        <f ca="1"/>
        <v>4.1996313080881795E-2</v>
      </c>
      <c r="L281" s="2">
        <f ca="1"/>
        <v>3.7914013877959743E-2</v>
      </c>
      <c r="M281" s="2">
        <f ca="1"/>
        <v>5.8487122287568506E-2</v>
      </c>
      <c r="N281" s="2">
        <f ca="1"/>
        <v>2.9408416499070316E-2</v>
      </c>
      <c r="O281" s="2" t="str">
        <f ca="1"/>
        <v/>
      </c>
      <c r="P281" s="2">
        <f ca="1"/>
        <v>7.8698394495412841E-2</v>
      </c>
      <c r="Q281" s="2">
        <f ca="1"/>
        <v>2.2755177212081489E-2</v>
      </c>
      <c r="R281" s="2">
        <f ca="1"/>
        <v>3.5089121573015754E-2</v>
      </c>
      <c r="S281" s="2">
        <f ca="1"/>
        <v>3.2248102173783218E-2</v>
      </c>
      <c r="T281" s="2">
        <f ca="1"/>
        <v>3.7609047863793037E-2</v>
      </c>
      <c r="U281" s="2">
        <f ca="1"/>
        <v>4.1090880757649599E-2</v>
      </c>
      <c r="V281" s="2">
        <f ca="1"/>
        <v>3.4588495694658036E-2</v>
      </c>
      <c r="W281" s="2">
        <f ca="1"/>
        <v>4.7310438406616501E-2</v>
      </c>
      <c r="X281" s="2" t="str">
        <f ca="1"/>
        <v/>
      </c>
      <c r="Y281" s="2" t="str">
        <f ca="1"/>
        <v/>
      </c>
      <c r="Z281" s="2" t="str">
        <f ca="1"/>
        <v/>
      </c>
      <c r="AA281" s="2" t="str">
        <f ca="1"/>
        <v/>
      </c>
      <c r="AB281" s="2" t="str">
        <f ca="1"/>
        <v/>
      </c>
      <c r="AC281" s="2" t="str">
        <f ca="1"/>
        <v/>
      </c>
      <c r="AD281" s="2" t="str">
        <f ca="1"/>
        <v/>
      </c>
      <c r="AE281" s="2" t="str">
        <f ca="1"/>
        <v/>
      </c>
      <c r="AF281" s="2" t="str">
        <f ca="1"/>
        <v/>
      </c>
      <c r="AG281" s="26" t="str">
        <f ca="1"/>
        <v/>
      </c>
      <c r="AH281" s="26">
        <f ca="1"/>
        <v>1.8500000000000003E-2</v>
      </c>
    </row>
    <row r="282" spans="1:34">
      <c r="A282" s="5">
        <f ca="1"/>
        <v>37376</v>
      </c>
      <c r="B282" s="2">
        <f ca="1"/>
        <v>7.2419648185513136E-3</v>
      </c>
      <c r="C282" s="2">
        <f ca="1"/>
        <v>6.4803482936420728E-3</v>
      </c>
      <c r="D282" s="2">
        <f ca="1"/>
        <v>-3.1671765341011245E-2</v>
      </c>
      <c r="E282" s="2">
        <f ca="1"/>
        <v>1.9392007602379621E-2</v>
      </c>
      <c r="F282" s="2">
        <f ca="1"/>
        <v>5.8313195194269361E-3</v>
      </c>
      <c r="G282" s="2">
        <f ca="1"/>
        <v>8.5764516915884121E-3</v>
      </c>
      <c r="H282" s="2">
        <f ca="1"/>
        <v>1.9266593513154903E-2</v>
      </c>
      <c r="I282" s="2" t="str">
        <f ca="1"/>
        <v/>
      </c>
      <c r="J282" s="2" t="str">
        <f ca="1"/>
        <v/>
      </c>
      <c r="K282" s="2">
        <f ca="1"/>
        <v>-1.1241545804692216E-3</v>
      </c>
      <c r="L282" s="2">
        <f ca="1"/>
        <v>3.7448020768718296E-2</v>
      </c>
      <c r="M282" s="2">
        <f ca="1"/>
        <v>4.5982296815725507E-3</v>
      </c>
      <c r="N282" s="2">
        <f ca="1"/>
        <v>-4.9340165143025624E-2</v>
      </c>
      <c r="O282" s="2" t="str">
        <f ca="1"/>
        <v/>
      </c>
      <c r="P282" s="2">
        <f ca="1"/>
        <v>-4.2524916943521944E-3</v>
      </c>
      <c r="Q282" s="2">
        <f ca="1"/>
        <v>-6.537014805922374E-2</v>
      </c>
      <c r="R282" s="2">
        <f ca="1"/>
        <v>1.0038610038609688E-3</v>
      </c>
      <c r="S282" s="2">
        <f ca="1"/>
        <v>-3.363412633306001E-2</v>
      </c>
      <c r="T282" s="2">
        <f ca="1"/>
        <v>-6.0642295643495089E-2</v>
      </c>
      <c r="U282" s="2">
        <f ca="1"/>
        <v>-5.7293332737822972E-2</v>
      </c>
      <c r="V282" s="2">
        <f ca="1"/>
        <v>-8.1615720979743442E-2</v>
      </c>
      <c r="W282" s="2">
        <f ca="1"/>
        <v>-3.429433987097473E-2</v>
      </c>
      <c r="X282" s="2" t="str">
        <f ca="1"/>
        <v/>
      </c>
      <c r="Y282" s="2" t="str">
        <f ca="1"/>
        <v/>
      </c>
      <c r="Z282" s="2" t="str">
        <f ca="1"/>
        <v/>
      </c>
      <c r="AA282" s="2" t="str">
        <f ca="1"/>
        <v/>
      </c>
      <c r="AB282" s="2" t="str">
        <f ca="1"/>
        <v/>
      </c>
      <c r="AC282" s="2" t="str">
        <f ca="1"/>
        <v/>
      </c>
      <c r="AD282" s="2" t="str">
        <f ca="1"/>
        <v/>
      </c>
      <c r="AE282" s="2" t="str">
        <f ca="1"/>
        <v/>
      </c>
      <c r="AF282" s="2" t="str">
        <f ca="1"/>
        <v/>
      </c>
      <c r="AG282" s="26" t="str">
        <f ca="1"/>
        <v/>
      </c>
      <c r="AH282" s="26">
        <f ca="1"/>
        <v>2.18E-2</v>
      </c>
    </row>
    <row r="283" spans="1:34">
      <c r="A283" s="5">
        <f ca="1"/>
        <v>37407</v>
      </c>
      <c r="B283" s="2">
        <f ca="1"/>
        <v>1.3565827910140903E-2</v>
      </c>
      <c r="C283" s="2">
        <f ca="1"/>
        <v>-1.5927121955109057E-2</v>
      </c>
      <c r="D283" s="2">
        <f ca="1"/>
        <v>1.4130177059768856E-3</v>
      </c>
      <c r="E283" s="2">
        <f ca="1"/>
        <v>8.4967954942707334E-3</v>
      </c>
      <c r="F283" s="2">
        <f ca="1"/>
        <v>2.904890398662431E-3</v>
      </c>
      <c r="G283" s="2">
        <f ca="1"/>
        <v>2.3612274093121152E-2</v>
      </c>
      <c r="H283" s="2">
        <f ca="1"/>
        <v>2.0129187321616251E-2</v>
      </c>
      <c r="I283" s="2" t="str">
        <f ca="1"/>
        <v/>
      </c>
      <c r="J283" s="2" t="str">
        <f ca="1"/>
        <v/>
      </c>
      <c r="K283" s="2">
        <f ca="1"/>
        <v>2.0257555071768608E-2</v>
      </c>
      <c r="L283" s="2">
        <f ca="1"/>
        <v>3.4125384768695942E-2</v>
      </c>
      <c r="M283" s="2">
        <f ca="1"/>
        <v>-9.6883701415113113E-3</v>
      </c>
      <c r="N283" s="2">
        <f ca="1"/>
        <v>-1.6149983520424949E-2</v>
      </c>
      <c r="O283" s="2" t="str">
        <f ca="1"/>
        <v/>
      </c>
      <c r="P283" s="2">
        <f ca="1"/>
        <v>-2.4467280572979228E-2</v>
      </c>
      <c r="Q283" s="2">
        <f ca="1"/>
        <v>-1.1200356219280307E-2</v>
      </c>
      <c r="R283" s="2">
        <f ca="1"/>
        <v>1.6971380081771108E-3</v>
      </c>
      <c r="S283" s="2">
        <f ca="1"/>
        <v>-1.3082992110256121E-3</v>
      </c>
      <c r="T283" s="2">
        <f ca="1"/>
        <v>-7.3675592740791666E-3</v>
      </c>
      <c r="U283" s="2">
        <f ca="1"/>
        <v>-8.8220706704670721E-3</v>
      </c>
      <c r="V283" s="2">
        <f ca="1"/>
        <v>-2.4193044357702573E-2</v>
      </c>
      <c r="W283" s="2">
        <f ca="1"/>
        <v>5.0129369549709677E-3</v>
      </c>
      <c r="X283" s="2" t="str">
        <f ca="1"/>
        <v/>
      </c>
      <c r="Y283" s="2" t="str">
        <f ca="1"/>
        <v/>
      </c>
      <c r="Z283" s="2" t="str">
        <f ca="1"/>
        <v/>
      </c>
      <c r="AA283" s="2" t="str">
        <f ca="1"/>
        <v/>
      </c>
      <c r="AB283" s="2" t="str">
        <f ca="1"/>
        <v/>
      </c>
      <c r="AC283" s="2" t="str">
        <f ca="1"/>
        <v/>
      </c>
      <c r="AD283" s="2" t="str">
        <f ca="1"/>
        <v/>
      </c>
      <c r="AE283" s="2" t="str">
        <f ca="1"/>
        <v/>
      </c>
      <c r="AF283" s="2" t="str">
        <f ca="1"/>
        <v/>
      </c>
      <c r="AG283" s="26" t="str">
        <f ca="1"/>
        <v/>
      </c>
      <c r="AH283" s="26">
        <f ca="1"/>
        <v>5.5999999999999994E-2</v>
      </c>
    </row>
    <row r="284" spans="1:34">
      <c r="A284" s="5">
        <f ca="1"/>
        <v>37435</v>
      </c>
      <c r="B284" s="2">
        <f ca="1"/>
        <v>-3.9433912566332351E-2</v>
      </c>
      <c r="C284" s="2">
        <f ca="1"/>
        <v>-7.5029878258755886E-2</v>
      </c>
      <c r="D284" s="2">
        <f ca="1"/>
        <v>-6.1025983957202073E-2</v>
      </c>
      <c r="E284" s="2">
        <f ca="1"/>
        <v>8.6466708391507562E-3</v>
      </c>
      <c r="F284" s="2">
        <f ca="1"/>
        <v>-2.5557904723458518E-2</v>
      </c>
      <c r="G284" s="2">
        <f ca="1"/>
        <v>-5.2732938360103225E-2</v>
      </c>
      <c r="H284" s="2">
        <f ca="1"/>
        <v>-3.7230648407205517E-2</v>
      </c>
      <c r="I284" s="2" t="str">
        <f ca="1"/>
        <v/>
      </c>
      <c r="J284" s="2" t="str">
        <f ca="1"/>
        <v/>
      </c>
      <c r="K284" s="2">
        <f ca="1"/>
        <v>-3.2911392405063376E-2</v>
      </c>
      <c r="L284" s="2">
        <f ca="1"/>
        <v>-1.1478007623452854E-2</v>
      </c>
      <c r="M284" s="2">
        <f ca="1"/>
        <v>-4.9917189847090121E-2</v>
      </c>
      <c r="N284" s="2">
        <f ca="1"/>
        <v>-4.3096992866432836E-2</v>
      </c>
      <c r="O284" s="2" t="str">
        <f ca="1"/>
        <v/>
      </c>
      <c r="P284" s="2">
        <f ca="1"/>
        <v>-7.4376396552510382E-2</v>
      </c>
      <c r="Q284" s="2">
        <f ca="1"/>
        <v>-6.9695342674541472E-2</v>
      </c>
      <c r="R284" s="2">
        <f ca="1"/>
        <v>-5.1039661147477842E-2</v>
      </c>
      <c r="S284" s="2">
        <f ca="1"/>
        <v>-5.5090550905509093E-2</v>
      </c>
      <c r="T284" s="2">
        <f ca="1"/>
        <v>-7.1150925191383704E-2</v>
      </c>
      <c r="U284" s="2">
        <f ca="1"/>
        <v>-7.3804853576665233E-2</v>
      </c>
      <c r="V284" s="2">
        <f ca="1"/>
        <v>-9.2504497999918486E-2</v>
      </c>
      <c r="W284" s="2">
        <f ca="1"/>
        <v>-5.7418437552310818E-2</v>
      </c>
      <c r="X284" s="2" t="str">
        <f ca="1"/>
        <v/>
      </c>
      <c r="Y284" s="2" t="str">
        <f ca="1"/>
        <v/>
      </c>
      <c r="Z284" s="2" t="str">
        <f ca="1"/>
        <v/>
      </c>
      <c r="AA284" s="2" t="str">
        <f ca="1"/>
        <v/>
      </c>
      <c r="AB284" s="2" t="str">
        <f ca="1"/>
        <v/>
      </c>
      <c r="AC284" s="2" t="str">
        <f ca="1"/>
        <v/>
      </c>
      <c r="AD284" s="2" t="str">
        <f ca="1"/>
        <v/>
      </c>
      <c r="AE284" s="2" t="str">
        <f ca="1"/>
        <v/>
      </c>
      <c r="AF284" s="2" t="str">
        <f ca="1"/>
        <v/>
      </c>
      <c r="AG284" s="26" t="str">
        <f ca="1"/>
        <v/>
      </c>
      <c r="AH284" s="26">
        <f ca="1"/>
        <v>-3.8599999999999995E-2</v>
      </c>
    </row>
    <row r="285" spans="1:34">
      <c r="A285" s="5">
        <f ca="1"/>
        <v>37468</v>
      </c>
      <c r="B285" s="2">
        <f ca="1"/>
        <v>-9.8643757011505712E-2</v>
      </c>
      <c r="C285" s="2">
        <f ca="1"/>
        <v>-7.6057201673127087E-2</v>
      </c>
      <c r="D285" s="2">
        <f ca="1"/>
        <v>-8.3863207322142905E-2</v>
      </c>
      <c r="E285" s="2">
        <f ca="1"/>
        <v>1.2066480196271325E-2</v>
      </c>
      <c r="F285" s="2">
        <f ca="1"/>
        <v>-0.10657006798546004</v>
      </c>
      <c r="G285" s="2">
        <f ca="1"/>
        <v>-9.0830156713257143E-2</v>
      </c>
      <c r="H285" s="2">
        <f ca="1"/>
        <v>-6.1434143108414746E-2</v>
      </c>
      <c r="I285" s="2" t="str">
        <f ca="1"/>
        <v/>
      </c>
      <c r="J285" s="2" t="str">
        <f ca="1"/>
        <v/>
      </c>
      <c r="K285" s="2">
        <f ca="1"/>
        <v>-6.4528795811518214E-2</v>
      </c>
      <c r="L285" s="2">
        <f ca="1"/>
        <v>-6.6504917464581231E-2</v>
      </c>
      <c r="M285" s="2">
        <f ca="1"/>
        <v>-3.6931933352251936E-2</v>
      </c>
      <c r="N285" s="2">
        <f ca="1"/>
        <v>-7.3292283613748177E-2</v>
      </c>
      <c r="O285" s="2" t="str">
        <f ca="1"/>
        <v/>
      </c>
      <c r="P285" s="2">
        <f ca="1"/>
        <v>-8.2421913489013648E-2</v>
      </c>
      <c r="Q285" s="2">
        <f ca="1"/>
        <v>-5.9631746504570537E-2</v>
      </c>
      <c r="R285" s="2">
        <f ca="1"/>
        <v>-6.0845219014384569E-2</v>
      </c>
      <c r="S285" s="2">
        <f ca="1"/>
        <v>-6.4250185204783497E-2</v>
      </c>
      <c r="T285" s="2">
        <f ca="1"/>
        <v>-7.7946525167625805E-2</v>
      </c>
      <c r="U285" s="2">
        <f ca="1"/>
        <v>-7.4001715628726775E-2</v>
      </c>
      <c r="V285" s="2">
        <f ca="1"/>
        <v>-5.4973821989528694E-2</v>
      </c>
      <c r="W285" s="2">
        <f ca="1"/>
        <v>-9.2959057281140969E-2</v>
      </c>
      <c r="X285" s="2" t="str">
        <f ca="1"/>
        <v/>
      </c>
      <c r="Y285" s="2" t="str">
        <f ca="1"/>
        <v/>
      </c>
      <c r="Z285" s="2" t="str">
        <f ca="1"/>
        <v/>
      </c>
      <c r="AA285" s="2" t="str">
        <f ca="1"/>
        <v/>
      </c>
      <c r="AB285" s="2" t="str">
        <f ca="1"/>
        <v/>
      </c>
      <c r="AC285" s="2" t="str">
        <f ca="1"/>
        <v/>
      </c>
      <c r="AD285" s="2" t="str">
        <f ca="1"/>
        <v/>
      </c>
      <c r="AE285" s="2" t="str">
        <f ca="1"/>
        <v/>
      </c>
      <c r="AF285" s="2" t="str">
        <f ca="1"/>
        <v/>
      </c>
      <c r="AG285" s="26" t="str">
        <f ca="1"/>
        <v/>
      </c>
      <c r="AH285" s="26">
        <f ca="1"/>
        <v>-3.4099999999999998E-2</v>
      </c>
    </row>
    <row r="286" spans="1:34">
      <c r="A286" s="5">
        <f ca="1"/>
        <v>37498</v>
      </c>
      <c r="B286" s="2">
        <f ca="1"/>
        <v>-2.0330978197747565E-3</v>
      </c>
      <c r="C286" s="2">
        <f ca="1"/>
        <v>1.5406494429959708E-2</v>
      </c>
      <c r="D286" s="2">
        <f ca="1"/>
        <v>2.585036543861908E-3</v>
      </c>
      <c r="E286" s="2">
        <f ca="1"/>
        <v>1.6884084627936898E-2</v>
      </c>
      <c r="F286" s="2">
        <f ca="1"/>
        <v>-7.5165959944793774E-3</v>
      </c>
      <c r="G286" s="2">
        <f ca="1"/>
        <v>3.2713993255326698E-3</v>
      </c>
      <c r="H286" s="2">
        <f ca="1"/>
        <v>1.0239278633314274E-2</v>
      </c>
      <c r="I286" s="2" t="str">
        <f ca="1"/>
        <v/>
      </c>
      <c r="J286" s="2" t="str">
        <f ca="1"/>
        <v/>
      </c>
      <c r="K286" s="2">
        <f ca="1"/>
        <v>7.3957104879169852E-3</v>
      </c>
      <c r="L286" s="2">
        <f ca="1"/>
        <v>7.4027661746959936E-3</v>
      </c>
      <c r="M286" s="2">
        <f ca="1"/>
        <v>1.8984677555143926E-2</v>
      </c>
      <c r="N286" s="2">
        <f ca="1"/>
        <v>6.6888888888888692E-3</v>
      </c>
      <c r="O286" s="2" t="str">
        <f ca="1"/>
        <v/>
      </c>
      <c r="P286" s="2">
        <f ca="1"/>
        <v>3.5919463087248311E-2</v>
      </c>
      <c r="Q286" s="2">
        <f ca="1"/>
        <v>7.0877054048702906E-3</v>
      </c>
      <c r="R286" s="2">
        <f ca="1"/>
        <v>1.2983365737740438E-2</v>
      </c>
      <c r="S286" s="2">
        <f ca="1"/>
        <v>9.3192639591036935E-3</v>
      </c>
      <c r="T286" s="2">
        <f ca="1"/>
        <v>6.5439942944801877E-3</v>
      </c>
      <c r="U286" s="2">
        <f ca="1"/>
        <v>5.2353549894032184E-3</v>
      </c>
      <c r="V286" s="2">
        <f ca="1"/>
        <v>2.9873445222964382E-3</v>
      </c>
      <c r="W286" s="2">
        <f ca="1"/>
        <v>7.5516308994793557E-3</v>
      </c>
      <c r="X286" s="2" t="str">
        <f ca="1"/>
        <v/>
      </c>
      <c r="Y286" s="2" t="str">
        <f ca="1"/>
        <v/>
      </c>
      <c r="Z286" s="2" t="str">
        <f ca="1"/>
        <v/>
      </c>
      <c r="AA286" s="2" t="str">
        <f ca="1"/>
        <v/>
      </c>
      <c r="AB286" s="2" t="str">
        <f ca="1"/>
        <v/>
      </c>
      <c r="AC286" s="2" t="str">
        <f ca="1"/>
        <v/>
      </c>
      <c r="AD286" s="2" t="str">
        <f ca="1"/>
        <v/>
      </c>
      <c r="AE286" s="2" t="str">
        <f ca="1"/>
        <v/>
      </c>
      <c r="AF286" s="2" t="str">
        <f ca="1"/>
        <v/>
      </c>
      <c r="AG286" s="26" t="str">
        <f ca="1"/>
        <v/>
      </c>
      <c r="AH286" s="26">
        <f ca="1"/>
        <v>3.1699999999999999E-2</v>
      </c>
    </row>
    <row r="287" spans="1:34">
      <c r="A287" s="5">
        <f ca="1"/>
        <v>37529</v>
      </c>
      <c r="B287" s="2">
        <f ca="1"/>
        <v>-0.10714535961167214</v>
      </c>
      <c r="C287" s="2">
        <f ca="1"/>
        <v>-0.10788982259570488</v>
      </c>
      <c r="D287" s="2">
        <f ca="1"/>
        <v>-0.10968280467445742</v>
      </c>
      <c r="E287" s="2">
        <f ca="1"/>
        <v>1.6195608819464448E-2</v>
      </c>
      <c r="F287" s="2">
        <f ca="1"/>
        <v>-8.6837139758204104E-2</v>
      </c>
      <c r="G287" s="2">
        <f ca="1"/>
        <v>-0.12660876115394834</v>
      </c>
      <c r="H287" s="2">
        <f ca="1"/>
        <v>-6.6136143671362418E-2</v>
      </c>
      <c r="I287" s="2" t="str">
        <f ca="1"/>
        <v/>
      </c>
      <c r="J287" s="2" t="str">
        <f ca="1"/>
        <v/>
      </c>
      <c r="K287" s="2">
        <f ca="1"/>
        <v>-6.3354431635548339E-2</v>
      </c>
      <c r="L287" s="2">
        <f ca="1"/>
        <v>-5.3051070005298268E-2</v>
      </c>
      <c r="M287" s="2">
        <f ca="1"/>
        <v>-7.3325897467674636E-2</v>
      </c>
      <c r="N287" s="2">
        <f ca="1"/>
        <v>-8.3772985143815787E-2</v>
      </c>
      <c r="O287" s="2" t="str">
        <f ca="1"/>
        <v/>
      </c>
      <c r="P287" s="2">
        <f ca="1"/>
        <v>-7.5360215611070758E-2</v>
      </c>
      <c r="Q287" s="2">
        <f ca="1"/>
        <v>-0.10189116930093572</v>
      </c>
      <c r="R287" s="2">
        <f ca="1"/>
        <v>-6.4809878228231518E-2</v>
      </c>
      <c r="S287" s="2">
        <f ca="1"/>
        <v>-9.579462815010692E-2</v>
      </c>
      <c r="T287" s="2">
        <f ca="1"/>
        <v>-0.10868157695561735</v>
      </c>
      <c r="U287" s="2">
        <f ca="1"/>
        <v>-0.10739741408676387</v>
      </c>
      <c r="V287" s="2">
        <f ca="1"/>
        <v>-0.10372779703238381</v>
      </c>
      <c r="W287" s="2">
        <f ca="1"/>
        <v>-0.111188185056182</v>
      </c>
      <c r="X287" s="2" t="str">
        <f ca="1"/>
        <v/>
      </c>
      <c r="Y287" s="2" t="str">
        <f ca="1"/>
        <v/>
      </c>
      <c r="Z287" s="2" t="str">
        <f ca="1"/>
        <v/>
      </c>
      <c r="AA287" s="2" t="str">
        <f ca="1"/>
        <v/>
      </c>
      <c r="AB287" s="2" t="str">
        <f ca="1"/>
        <v/>
      </c>
      <c r="AC287" s="2" t="str">
        <f ca="1"/>
        <v/>
      </c>
      <c r="AD287" s="2" t="str">
        <f ca="1"/>
        <v/>
      </c>
      <c r="AE287" s="2" t="str">
        <f ca="1"/>
        <v/>
      </c>
      <c r="AF287" s="2" t="str">
        <f ca="1"/>
        <v/>
      </c>
      <c r="AG287" s="26" t="str">
        <f ca="1"/>
        <v/>
      </c>
      <c r="AH287" s="26">
        <f ca="1"/>
        <v>3.5499999999999997E-2</v>
      </c>
    </row>
    <row r="288" spans="1:34">
      <c r="A288" s="5">
        <f ca="1"/>
        <v>37560</v>
      </c>
      <c r="B288" s="2">
        <f ca="1"/>
        <v>5.382303381935339E-2</v>
      </c>
      <c r="C288" s="2">
        <f ca="1"/>
        <v>6.4890889109843558E-2</v>
      </c>
      <c r="D288" s="2">
        <f ca="1"/>
        <v>7.3637935704314719E-2</v>
      </c>
      <c r="E288" s="2">
        <f ca="1"/>
        <v>-4.5548729838525729E-3</v>
      </c>
      <c r="F288" s="2">
        <f ca="1"/>
        <v>5.6610777968609693E-2</v>
      </c>
      <c r="G288" s="2">
        <f ca="1"/>
        <v>5.1027279923441429E-2</v>
      </c>
      <c r="H288" s="2">
        <f ca="1"/>
        <v>1.0018424689083261E-2</v>
      </c>
      <c r="I288" s="2" t="str">
        <f ca="1"/>
        <v/>
      </c>
      <c r="J288" s="2" t="str">
        <f ca="1"/>
        <v/>
      </c>
      <c r="K288" s="2">
        <f ca="1"/>
        <v>1.4574418506122094E-2</v>
      </c>
      <c r="L288" s="2">
        <f ca="1"/>
        <v>1.5909312056047537E-2</v>
      </c>
      <c r="M288" s="2">
        <f ca="1"/>
        <v>2.1085948644793233E-2</v>
      </c>
      <c r="N288" s="2">
        <f ca="1"/>
        <v>8.1650845660868276E-2</v>
      </c>
      <c r="O288" s="2" t="str">
        <f ca="1"/>
        <v/>
      </c>
      <c r="P288" s="2">
        <f ca="1"/>
        <v>4.0975336322869968E-2</v>
      </c>
      <c r="Q288" s="2">
        <f ca="1"/>
        <v>0.10200284557294509</v>
      </c>
      <c r="R288" s="2">
        <f ca="1"/>
        <v>1.0991516920550929E-2</v>
      </c>
      <c r="S288" s="2">
        <f ca="1"/>
        <v>4.3956180137308738E-2</v>
      </c>
      <c r="T288" s="2">
        <f ca="1"/>
        <v>8.8018958603355138E-2</v>
      </c>
      <c r="U288" s="2">
        <f ca="1"/>
        <v>8.3086745828343758E-2</v>
      </c>
      <c r="V288" s="2">
        <f ca="1"/>
        <v>9.1730265965280611E-2</v>
      </c>
      <c r="W288" s="2">
        <f ca="1"/>
        <v>7.408657917605313E-2</v>
      </c>
      <c r="X288" s="2" t="str">
        <f ca="1"/>
        <v/>
      </c>
      <c r="Y288" s="2" t="str">
        <f ca="1"/>
        <v/>
      </c>
      <c r="Z288" s="2" t="str">
        <f ca="1"/>
        <v/>
      </c>
      <c r="AA288" s="2" t="str">
        <f ca="1"/>
        <v/>
      </c>
      <c r="AB288" s="2" t="str">
        <f ca="1"/>
        <v/>
      </c>
      <c r="AC288" s="2" t="str">
        <f ca="1"/>
        <v/>
      </c>
      <c r="AD288" s="2" t="str">
        <f ca="1"/>
        <v/>
      </c>
      <c r="AE288" s="2" t="str">
        <f ca="1"/>
        <v/>
      </c>
      <c r="AF288" s="2" t="str">
        <f ca="1"/>
        <v/>
      </c>
      <c r="AG288" s="26" t="str">
        <f ca="1"/>
        <v/>
      </c>
      <c r="AH288" s="26">
        <f ca="1"/>
        <v>-1.7000000000000001E-2</v>
      </c>
    </row>
    <row r="289" spans="1:34">
      <c r="A289" s="5">
        <f ca="1"/>
        <v>37589</v>
      </c>
      <c r="B289" s="2">
        <f ca="1"/>
        <v>4.5513685262920059E-2</v>
      </c>
      <c r="C289" s="2">
        <f ca="1"/>
        <v>6.8848592068406267E-2</v>
      </c>
      <c r="D289" s="2">
        <f ca="1"/>
        <v>5.4700629130976432E-2</v>
      </c>
      <c r="E289" s="2">
        <f ca="1"/>
        <v>-2.6592330405117063E-4</v>
      </c>
      <c r="F289" s="2">
        <f ca="1"/>
        <v>2.9530709051676797E-2</v>
      </c>
      <c r="G289" s="2">
        <f ca="1"/>
        <v>6.1544514388489208E-2</v>
      </c>
      <c r="H289" s="2">
        <f ca="1"/>
        <v>-3.2493444305095954E-3</v>
      </c>
      <c r="I289" s="2" t="str">
        <f ca="1"/>
        <v/>
      </c>
      <c r="J289" s="2" t="str">
        <f ca="1"/>
        <v/>
      </c>
      <c r="K289" s="2">
        <f ca="1"/>
        <v>9.8342172297155792E-3</v>
      </c>
      <c r="L289" s="2">
        <f ca="1"/>
        <v>2.2987404817776435E-3</v>
      </c>
      <c r="M289" s="2">
        <f ca="1"/>
        <v>4.5404933420650412E-2</v>
      </c>
      <c r="N289" s="2">
        <f ca="1"/>
        <v>2.9312841073616275E-2</v>
      </c>
      <c r="O289" s="2" t="str">
        <f ca="1"/>
        <v/>
      </c>
      <c r="P289" s="2">
        <f ca="1"/>
        <v>6.6178450271929312E-2</v>
      </c>
      <c r="Q289" s="2">
        <f ca="1"/>
        <v>3.7362200814380776E-2</v>
      </c>
      <c r="R289" s="2">
        <f ca="1"/>
        <v>-1.1007353272883104E-2</v>
      </c>
      <c r="S289" s="2">
        <f ca="1"/>
        <v>2.6056195914103637E-2</v>
      </c>
      <c r="T289" s="2">
        <f ca="1"/>
        <v>5.8858499089950223E-2</v>
      </c>
      <c r="U289" s="2">
        <f ca="1"/>
        <v>5.8520072682521455E-2</v>
      </c>
      <c r="V289" s="2">
        <f ca="1"/>
        <v>5.4316845382220598E-2</v>
      </c>
      <c r="W289" s="2">
        <f ca="1"/>
        <v>6.299600107187768E-2</v>
      </c>
      <c r="X289" s="2" t="str">
        <f ca="1"/>
        <v/>
      </c>
      <c r="Y289" s="2" t="str">
        <f ca="1"/>
        <v/>
      </c>
      <c r="Z289" s="2" t="str">
        <f ca="1"/>
        <v/>
      </c>
      <c r="AA289" s="2" t="str">
        <f ca="1"/>
        <v/>
      </c>
      <c r="AB289" s="2" t="str">
        <f ca="1"/>
        <v/>
      </c>
      <c r="AC289" s="2" t="str">
        <f ca="1"/>
        <v/>
      </c>
      <c r="AD289" s="2" t="str">
        <f ca="1"/>
        <v/>
      </c>
      <c r="AE289" s="2" t="str">
        <f ca="1"/>
        <v/>
      </c>
      <c r="AF289" s="2" t="str">
        <f ca="1"/>
        <v/>
      </c>
      <c r="AG289" s="26" t="str">
        <f ca="1"/>
        <v/>
      </c>
      <c r="AH289" s="26">
        <f ca="1"/>
        <v>-5.0000000000000001E-3</v>
      </c>
    </row>
    <row r="290" spans="1:34">
      <c r="A290" s="5">
        <f ca="1"/>
        <v>37621</v>
      </c>
      <c r="B290" s="2">
        <f ca="1"/>
        <v>-3.3550263787869294E-2</v>
      </c>
      <c r="C290" s="2">
        <f ca="1"/>
        <v>-3.3241379310344779E-2</v>
      </c>
      <c r="D290" s="2">
        <f ca="1"/>
        <v>-4.7675997512428514E-2</v>
      </c>
      <c r="E290" s="2">
        <f ca="1"/>
        <v>2.0655812886952517E-2</v>
      </c>
      <c r="F290" s="2">
        <f ca="1"/>
        <v>-2.3017556528411018E-2</v>
      </c>
      <c r="G290" s="2">
        <f ca="1"/>
        <v>-4.3577593053423021E-2</v>
      </c>
      <c r="H290" s="2">
        <f ca="1"/>
        <v>-1.2267657992564952E-2</v>
      </c>
      <c r="I290" s="2" t="str">
        <f ca="1"/>
        <v/>
      </c>
      <c r="J290" s="2" t="str">
        <f ca="1"/>
        <v/>
      </c>
      <c r="K290" s="2">
        <f ca="1"/>
        <v>1.0110617181846467E-2</v>
      </c>
      <c r="L290" s="2">
        <f ca="1"/>
        <v>2.3340818959338809E-2</v>
      </c>
      <c r="M290" s="2">
        <f ca="1"/>
        <v>-1.4199206514929005E-3</v>
      </c>
      <c r="N290" s="2">
        <f ca="1"/>
        <v>-3.5575945121291461E-2</v>
      </c>
      <c r="O290" s="2" t="str">
        <f ca="1"/>
        <v/>
      </c>
      <c r="P290" s="2">
        <f ca="1"/>
        <v>-1.2222222222222159E-2</v>
      </c>
      <c r="Q290" s="2">
        <f ca="1"/>
        <v>-5.2023896143683253E-2</v>
      </c>
      <c r="R290" s="2">
        <f ca="1"/>
        <v>-2.0024631665374205E-2</v>
      </c>
      <c r="S290" s="2">
        <f ca="1"/>
        <v>-2.0188347447822719E-2</v>
      </c>
      <c r="T290" s="2">
        <f ca="1"/>
        <v>-5.875208294027507E-2</v>
      </c>
      <c r="U290" s="2">
        <f ca="1"/>
        <v>-5.6596783789997079E-2</v>
      </c>
      <c r="V290" s="2">
        <f ca="1"/>
        <v>-6.9077404093791747E-2</v>
      </c>
      <c r="W290" s="2">
        <f ca="1"/>
        <v>-4.3434419335212644E-2</v>
      </c>
      <c r="X290" s="2" t="str">
        <f ca="1"/>
        <v/>
      </c>
      <c r="Y290" s="2" t="str">
        <f ca="1"/>
        <v/>
      </c>
      <c r="Z290" s="2" t="str">
        <f ca="1"/>
        <v/>
      </c>
      <c r="AA290" s="2" t="str">
        <f ca="1"/>
        <v/>
      </c>
      <c r="AB290" s="2" t="str">
        <f ca="1"/>
        <v/>
      </c>
      <c r="AC290" s="2" t="str">
        <f ca="1"/>
        <v/>
      </c>
      <c r="AD290" s="2" t="str">
        <f ca="1"/>
        <v/>
      </c>
      <c r="AE290" s="2" t="str">
        <f ca="1"/>
        <v/>
      </c>
      <c r="AF290" s="2" t="str">
        <f ca="1"/>
        <v/>
      </c>
      <c r="AG290" s="26" t="str">
        <f ca="1"/>
        <v/>
      </c>
      <c r="AH290" s="26">
        <f ca="1"/>
        <v>9.9100000000000008E-2</v>
      </c>
    </row>
    <row r="291" spans="1:34">
      <c r="A291" s="5">
        <f ca="1"/>
        <v>37652</v>
      </c>
      <c r="B291" s="2">
        <f ca="1"/>
        <v>-4.1671590609226088E-2</v>
      </c>
      <c r="C291" s="2">
        <f ca="1"/>
        <v>-4.3515480097019088E-3</v>
      </c>
      <c r="D291" s="2">
        <f ca="1"/>
        <v>-2.918526246643106E-2</v>
      </c>
      <c r="E291" s="2">
        <f ca="1"/>
        <v>8.537253879957634E-4</v>
      </c>
      <c r="F291" s="2">
        <f ca="1"/>
        <v>-4.9425429884129568E-2</v>
      </c>
      <c r="G291" s="2">
        <f ca="1"/>
        <v>-3.4109372534799981E-2</v>
      </c>
      <c r="H291" s="2">
        <f ca="1"/>
        <v>-1.6502127905966953E-2</v>
      </c>
      <c r="I291" s="2" t="str">
        <f ca="1"/>
        <v/>
      </c>
      <c r="J291" s="2" t="str">
        <f ca="1"/>
        <v/>
      </c>
      <c r="K291" s="2">
        <f ca="1"/>
        <v>-2.331436525156598E-2</v>
      </c>
      <c r="L291" s="2">
        <f ca="1"/>
        <v>-3.3010388700828862E-2</v>
      </c>
      <c r="M291" s="2">
        <f ca="1"/>
        <v>-1.2128309146418822E-3</v>
      </c>
      <c r="N291" s="2">
        <f ca="1"/>
        <v>-3.4801534767877555E-2</v>
      </c>
      <c r="O291" s="2" t="str">
        <f ca="1"/>
        <v/>
      </c>
      <c r="P291" s="2">
        <f ca="1"/>
        <v>-2.1014418652213995E-2</v>
      </c>
      <c r="Q291" s="2">
        <f ca="1"/>
        <v>-3.1549819224787307E-2</v>
      </c>
      <c r="R291" s="2">
        <f ca="1"/>
        <v>-1.789703965741947E-2</v>
      </c>
      <c r="S291" s="2">
        <f ca="1"/>
        <v>-3.2978710842946651E-2</v>
      </c>
      <c r="T291" s="2">
        <f ca="1"/>
        <v>-2.6197424953241583E-2</v>
      </c>
      <c r="U291" s="2">
        <f ca="1"/>
        <v>-2.4237745964126582E-2</v>
      </c>
      <c r="V291" s="2">
        <f ca="1"/>
        <v>-2.4264488207846369E-2</v>
      </c>
      <c r="W291" s="2">
        <f ca="1"/>
        <v>-2.4209774119817427E-2</v>
      </c>
      <c r="X291" s="2" t="str">
        <f ca="1"/>
        <v/>
      </c>
      <c r="Y291" s="2" t="str">
        <f ca="1"/>
        <v/>
      </c>
      <c r="Z291" s="2" t="str">
        <f ca="1"/>
        <v/>
      </c>
      <c r="AA291" s="2" t="str">
        <f ca="1"/>
        <v/>
      </c>
      <c r="AB291" s="2" t="str">
        <f ca="1"/>
        <v/>
      </c>
      <c r="AC291" s="2" t="str">
        <f ca="1"/>
        <v/>
      </c>
      <c r="AD291" s="2" t="str">
        <f ca="1"/>
        <v/>
      </c>
      <c r="AE291" s="2" t="str">
        <f ca="1"/>
        <v/>
      </c>
      <c r="AF291" s="2" t="str">
        <f ca="1"/>
        <v/>
      </c>
      <c r="AG291" s="26" t="str">
        <f ca="1"/>
        <v/>
      </c>
      <c r="AH291" s="26">
        <f ca="1"/>
        <v>5.7699999999999994E-2</v>
      </c>
    </row>
    <row r="292" spans="1:34">
      <c r="A292" s="5">
        <f ca="1"/>
        <v>37680</v>
      </c>
      <c r="B292" s="2">
        <f ca="1"/>
        <v>-2.2859365400679881E-2</v>
      </c>
      <c r="C292" s="2">
        <f ca="1"/>
        <v>-2.6987652551885444E-2</v>
      </c>
      <c r="D292" s="2">
        <f ca="1"/>
        <v>-1.752493611736888E-2</v>
      </c>
      <c r="E292" s="2">
        <f ca="1"/>
        <v>1.3845490787630707E-2</v>
      </c>
      <c r="F292" s="2">
        <f ca="1"/>
        <v>-2.1472528634301092E-2</v>
      </c>
      <c r="G292" s="2">
        <f ca="1"/>
        <v>-2.4163504854480267E-2</v>
      </c>
      <c r="H292" s="2">
        <f ca="1"/>
        <v>-4.1800359129844844E-3</v>
      </c>
      <c r="I292" s="2" t="str">
        <f ca="1"/>
        <v/>
      </c>
      <c r="J292" s="2" t="str">
        <f ca="1"/>
        <v/>
      </c>
      <c r="K292" s="2">
        <f ca="1"/>
        <v>-1.368542387090008E-2</v>
      </c>
      <c r="L292" s="2">
        <f ca="1"/>
        <v>-1.2747157239081562E-2</v>
      </c>
      <c r="M292" s="2">
        <f ca="1"/>
        <v>-2.0810652374173014E-2</v>
      </c>
      <c r="N292" s="2">
        <f ca="1"/>
        <v>-1.803979914450448E-2</v>
      </c>
      <c r="O292" s="2" t="str">
        <f ca="1"/>
        <v/>
      </c>
      <c r="P292" s="2">
        <f ca="1"/>
        <v>-1.9271948608137034E-2</v>
      </c>
      <c r="Q292" s="2">
        <f ca="1"/>
        <v>-1.0532462927816153E-2</v>
      </c>
      <c r="R292" s="2">
        <f ca="1"/>
        <v>-8.2940354036825509E-3</v>
      </c>
      <c r="S292" s="2">
        <f ca="1"/>
        <v>-2.2601284524652609E-2</v>
      </c>
      <c r="T292" s="2">
        <f ca="1"/>
        <v>-1.5004126770256981E-2</v>
      </c>
      <c r="U292" s="2">
        <f ca="1"/>
        <v>-1.5470266515730411E-2</v>
      </c>
      <c r="V292" s="2">
        <f ca="1"/>
        <v>-4.5907181530215847E-3</v>
      </c>
      <c r="W292" s="2">
        <f ca="1"/>
        <v>-2.6659395450295945E-2</v>
      </c>
      <c r="X292" s="2" t="str">
        <f ca="1"/>
        <v/>
      </c>
      <c r="Y292" s="2" t="str">
        <f ca="1"/>
        <v/>
      </c>
      <c r="Z292" s="2" t="str">
        <f ca="1"/>
        <v/>
      </c>
      <c r="AA292" s="2" t="str">
        <f ca="1"/>
        <v/>
      </c>
      <c r="AB292" s="2" t="str">
        <f ca="1"/>
        <v/>
      </c>
      <c r="AC292" s="2" t="str">
        <f ca="1"/>
        <v/>
      </c>
      <c r="AD292" s="2" t="str">
        <f ca="1"/>
        <v/>
      </c>
      <c r="AE292" s="2" t="str">
        <f ca="1"/>
        <v/>
      </c>
      <c r="AF292" s="2" t="str">
        <f ca="1"/>
        <v/>
      </c>
      <c r="AG292" s="26" t="str">
        <f ca="1"/>
        <v/>
      </c>
      <c r="AH292" s="26">
        <f ca="1"/>
        <v>-4.8899999999999999E-2</v>
      </c>
    </row>
    <row r="293" spans="1:34">
      <c r="A293" s="5">
        <f ca="1"/>
        <v>37711</v>
      </c>
      <c r="B293" s="2">
        <f ca="1"/>
        <v>-1.8898503263509732E-2</v>
      </c>
      <c r="C293" s="2">
        <f ca="1"/>
        <v>-2.8349819592057172E-2</v>
      </c>
      <c r="D293" s="2">
        <f ca="1"/>
        <v>-3.7797916860787509E-3</v>
      </c>
      <c r="E293" s="2">
        <f ca="1"/>
        <v>-7.7935419877084246E-4</v>
      </c>
      <c r="F293" s="2">
        <f ca="1"/>
        <v>-9.7568286037663654E-3</v>
      </c>
      <c r="G293" s="2">
        <f ca="1"/>
        <v>-2.7616261996217584E-2</v>
      </c>
      <c r="H293" s="2">
        <f ca="1"/>
        <v>4.4636258831180073E-3</v>
      </c>
      <c r="I293" s="2" t="str">
        <f ca="1"/>
        <v/>
      </c>
      <c r="J293" s="2" t="str">
        <f ca="1"/>
        <v/>
      </c>
      <c r="K293" s="2">
        <f ca="1"/>
        <v>7.1820152139730467E-3</v>
      </c>
      <c r="L293" s="2">
        <f ca="1"/>
        <v>4.5729097889614474E-3</v>
      </c>
      <c r="M293" s="2">
        <f ca="1"/>
        <v>-1.0605088732093178E-2</v>
      </c>
      <c r="N293" s="2">
        <f ca="1"/>
        <v>1.2760416666666771E-2</v>
      </c>
      <c r="O293" s="2" t="str">
        <f ca="1"/>
        <v/>
      </c>
      <c r="P293" s="2">
        <f ca="1"/>
        <v>-1.650868037064647E-2</v>
      </c>
      <c r="Q293" s="2">
        <f ca="1"/>
        <v>1.4459761392858556E-2</v>
      </c>
      <c r="R293" s="2">
        <f ca="1"/>
        <v>1.0752945112189062E-2</v>
      </c>
      <c r="S293" s="2">
        <f ca="1"/>
        <v>8.5324871637911821E-3</v>
      </c>
      <c r="T293" s="2">
        <f ca="1"/>
        <v>9.6996765584496519E-3</v>
      </c>
      <c r="U293" s="2">
        <f ca="1"/>
        <v>1.0351524212258757E-2</v>
      </c>
      <c r="V293" s="2">
        <f ca="1"/>
        <v>1.861084501727198E-2</v>
      </c>
      <c r="W293" s="2">
        <f ca="1"/>
        <v>1.6621577635840454E-3</v>
      </c>
      <c r="X293" s="2" t="str">
        <f ca="1"/>
        <v/>
      </c>
      <c r="Y293" s="2" t="str">
        <f ca="1"/>
        <v/>
      </c>
      <c r="Z293" s="2" t="str">
        <f ca="1"/>
        <v/>
      </c>
      <c r="AA293" s="2" t="str">
        <f ca="1"/>
        <v/>
      </c>
      <c r="AB293" s="2" t="str">
        <f ca="1"/>
        <v/>
      </c>
      <c r="AC293" s="2" t="str">
        <f ca="1"/>
        <v/>
      </c>
      <c r="AD293" s="2" t="str">
        <f ca="1"/>
        <v/>
      </c>
      <c r="AE293" s="2" t="str">
        <f ca="1"/>
        <v/>
      </c>
      <c r="AF293" s="2" t="str">
        <f ca="1"/>
        <v/>
      </c>
      <c r="AG293" s="26" t="str">
        <f ca="1"/>
        <v/>
      </c>
      <c r="AH293" s="26">
        <f ca="1"/>
        <v>-4.1100000000000005E-2</v>
      </c>
    </row>
    <row r="294" spans="1:34">
      <c r="A294" s="5">
        <f ca="1"/>
        <v>37741</v>
      </c>
      <c r="B294" s="2">
        <f ca="1"/>
        <v>9.9157733714025961E-2</v>
      </c>
      <c r="C294" s="2">
        <f ca="1"/>
        <v>8.9071894103976132E-2</v>
      </c>
      <c r="D294" s="2">
        <f ca="1"/>
        <v>8.9302416370482945E-2</v>
      </c>
      <c r="E294" s="2">
        <f ca="1"/>
        <v>8.2516441245811655E-3</v>
      </c>
      <c r="F294" s="2">
        <f ca="1"/>
        <v>8.7721984213087356E-2</v>
      </c>
      <c r="G294" s="2">
        <f ca="1"/>
        <v>0.11021079971007501</v>
      </c>
      <c r="H294" s="2">
        <f ca="1"/>
        <v>5.8004708652148261E-2</v>
      </c>
      <c r="I294" s="2" t="str">
        <f ca="1"/>
        <v/>
      </c>
      <c r="J294" s="2" t="str">
        <f ca="1"/>
        <v/>
      </c>
      <c r="K294" s="2">
        <f ca="1"/>
        <v>4.3523206751054845E-2</v>
      </c>
      <c r="L294" s="2">
        <f ca="1"/>
        <v>5.5355404089581325E-2</v>
      </c>
      <c r="M294" s="2">
        <f ca="1"/>
        <v>7.2913515148895727E-2</v>
      </c>
      <c r="N294" s="2">
        <f ca="1"/>
        <v>6.8024030482245881E-2</v>
      </c>
      <c r="O294" s="2" t="str">
        <f ca="1"/>
        <v/>
      </c>
      <c r="P294" s="2">
        <f ca="1"/>
        <v>6.1295213341996932E-2</v>
      </c>
      <c r="Q294" s="2">
        <f ca="1"/>
        <v>6.1315658244680951E-2</v>
      </c>
      <c r="R294" s="2">
        <f ca="1"/>
        <v>6.075793753989453E-2</v>
      </c>
      <c r="S294" s="2">
        <f ca="1"/>
        <v>6.7954911433172324E-2</v>
      </c>
      <c r="T294" s="2">
        <f ca="1"/>
        <v>8.2351525665567388E-2</v>
      </c>
      <c r="U294" s="2">
        <f ca="1"/>
        <v>8.0730300754404571E-2</v>
      </c>
      <c r="V294" s="2">
        <f ca="1"/>
        <v>7.3934618357728826E-2</v>
      </c>
      <c r="W294" s="2">
        <f ca="1"/>
        <v>8.8022757479949962E-2</v>
      </c>
      <c r="X294" s="2" t="str">
        <f ca="1"/>
        <v/>
      </c>
      <c r="Y294" s="2" t="str">
        <f ca="1"/>
        <v/>
      </c>
      <c r="Z294" s="2" t="str">
        <f ca="1"/>
        <v/>
      </c>
      <c r="AA294" s="2" t="str">
        <f ca="1"/>
        <v/>
      </c>
      <c r="AB294" s="2" t="str">
        <f ca="1"/>
        <v/>
      </c>
      <c r="AC294" s="2" t="str">
        <f ca="1"/>
        <v/>
      </c>
      <c r="AD294" s="2" t="str">
        <f ca="1"/>
        <v/>
      </c>
      <c r="AE294" s="2" t="str">
        <f ca="1"/>
        <v/>
      </c>
      <c r="AF294" s="2" t="str">
        <f ca="1"/>
        <v/>
      </c>
      <c r="AG294" s="26" t="str">
        <f ca="1"/>
        <v/>
      </c>
      <c r="AH294" s="26">
        <f ca="1"/>
        <v>1.04E-2</v>
      </c>
    </row>
    <row r="295" spans="1:34">
      <c r="A295" s="5">
        <f ca="1"/>
        <v>37771</v>
      </c>
      <c r="B295" s="2">
        <f ca="1"/>
        <v>6.152036089014528E-2</v>
      </c>
      <c r="C295" s="2">
        <f ca="1"/>
        <v>7.1766561514195581E-2</v>
      </c>
      <c r="D295" s="2">
        <f ca="1"/>
        <v>5.8193275742348879E-2</v>
      </c>
      <c r="E295" s="2">
        <f ca="1"/>
        <v>1.8645006461140885E-2</v>
      </c>
      <c r="F295" s="2">
        <f ca="1"/>
        <v>5.2564778742735845E-2</v>
      </c>
      <c r="G295" s="2">
        <f ca="1"/>
        <v>7.0002965074684426E-2</v>
      </c>
      <c r="H295" s="2">
        <f ca="1"/>
        <v>4.901115407081863E-2</v>
      </c>
      <c r="I295" s="2" t="str">
        <f ca="1"/>
        <v/>
      </c>
      <c r="J295" s="2" t="str">
        <f ca="1"/>
        <v/>
      </c>
      <c r="K295" s="2">
        <f ca="1"/>
        <v>5.8973374037159014E-2</v>
      </c>
      <c r="L295" s="2">
        <f ca="1"/>
        <v>5.925635466162292E-2</v>
      </c>
      <c r="M295" s="2">
        <f ca="1"/>
        <v>6.4816306799870993E-2</v>
      </c>
      <c r="N295" s="2">
        <f ca="1"/>
        <v>4.3555341548293977E-2</v>
      </c>
      <c r="O295" s="2" t="str">
        <f ca="1"/>
        <v/>
      </c>
      <c r="P295" s="2">
        <f ca="1"/>
        <v>7.3775510204081671E-2</v>
      </c>
      <c r="Q295" s="2">
        <f ca="1"/>
        <v>4.281603007106629E-2</v>
      </c>
      <c r="R295" s="2">
        <f ca="1"/>
        <v>4.7471528226615281E-2</v>
      </c>
      <c r="S295" s="2">
        <f ca="1"/>
        <v>4.457409297578184E-2</v>
      </c>
      <c r="T295" s="2">
        <f ca="1"/>
        <v>5.2681912679046324E-2</v>
      </c>
      <c r="U295" s="2">
        <f ca="1"/>
        <v>5.7015945229180985E-2</v>
      </c>
      <c r="V295" s="2">
        <f ca="1"/>
        <v>4.9917738062067889E-2</v>
      </c>
      <c r="W295" s="2">
        <f ca="1"/>
        <v>6.4550875921700723E-2</v>
      </c>
      <c r="X295" s="2" t="str">
        <f ca="1"/>
        <v/>
      </c>
      <c r="Y295" s="2" t="str">
        <f ca="1"/>
        <v/>
      </c>
      <c r="Z295" s="2" t="str">
        <f ca="1"/>
        <v/>
      </c>
      <c r="AA295" s="2" t="str">
        <f ca="1"/>
        <v/>
      </c>
      <c r="AB295" s="2" t="str">
        <f ca="1"/>
        <v/>
      </c>
      <c r="AC295" s="2" t="str">
        <f ca="1"/>
        <v/>
      </c>
      <c r="AD295" s="2" t="str">
        <f ca="1"/>
        <v/>
      </c>
      <c r="AE295" s="2" t="str">
        <f ca="1"/>
        <v/>
      </c>
      <c r="AF295" s="2" t="str">
        <f ca="1"/>
        <v/>
      </c>
      <c r="AG295" s="26" t="str">
        <f ca="1"/>
        <v/>
      </c>
      <c r="AH295" s="26">
        <f ca="1"/>
        <v>7.400000000000001E-2</v>
      </c>
    </row>
    <row r="296" spans="1:34">
      <c r="A296" s="5">
        <f ca="1"/>
        <v>37802</v>
      </c>
      <c r="B296" s="2">
        <f ca="1"/>
        <v>2.474972103418081E-2</v>
      </c>
      <c r="C296" s="2">
        <f ca="1"/>
        <v>5.7005583690429761E-2</v>
      </c>
      <c r="D296" s="2">
        <f ca="1"/>
        <v>1.9205938176917653E-2</v>
      </c>
      <c r="E296" s="2">
        <f ca="1"/>
        <v>-1.9848461312759582E-3</v>
      </c>
      <c r="F296" s="2">
        <f ca="1"/>
        <v>1.7733780411608013E-2</v>
      </c>
      <c r="G296" s="2">
        <f ca="1"/>
        <v>3.1758218570371727E-2</v>
      </c>
      <c r="H296" s="2">
        <f ca="1"/>
        <v>1.2860286903720264E-2</v>
      </c>
      <c r="I296" s="2" t="str">
        <f ca="1"/>
        <v/>
      </c>
      <c r="J296" s="2" t="str">
        <f ca="1"/>
        <v/>
      </c>
      <c r="K296" s="2">
        <f ca="1"/>
        <v>1.4413898434517123E-2</v>
      </c>
      <c r="L296" s="2">
        <f ca="1"/>
        <v>4.5293208196328285E-3</v>
      </c>
      <c r="M296" s="2">
        <f ca="1"/>
        <v>5.4401694851133046E-2</v>
      </c>
      <c r="N296" s="2">
        <f ca="1"/>
        <v>8.5572264518970279E-3</v>
      </c>
      <c r="O296" s="2" t="str">
        <f ca="1"/>
        <v/>
      </c>
      <c r="P296" s="2">
        <f ca="1"/>
        <v>6.2339636985650503E-2</v>
      </c>
      <c r="Q296" s="2">
        <f ca="1"/>
        <v>1.1771111027672403E-2</v>
      </c>
      <c r="R296" s="2">
        <f ca="1"/>
        <v>1.6425881401731887E-2</v>
      </c>
      <c r="S296" s="2">
        <f ca="1"/>
        <v>8.2945624535026071E-3</v>
      </c>
      <c r="T296" s="2">
        <f ca="1"/>
        <v>1.2747516411936171E-2</v>
      </c>
      <c r="U296" s="2">
        <f ca="1"/>
        <v>1.315149108558942E-2</v>
      </c>
      <c r="V296" s="2">
        <f ca="1"/>
        <v>1.376826475001976E-2</v>
      </c>
      <c r="W296" s="2">
        <f ca="1"/>
        <v>1.2503104504521106E-2</v>
      </c>
      <c r="X296" s="2" t="str">
        <f ca="1"/>
        <v/>
      </c>
      <c r="Y296" s="2" t="str">
        <f ca="1"/>
        <v/>
      </c>
      <c r="Z296" s="2" t="str">
        <f ca="1"/>
        <v/>
      </c>
      <c r="AA296" s="2" t="str">
        <f ca="1"/>
        <v/>
      </c>
      <c r="AB296" s="2" t="str">
        <f ca="1"/>
        <v/>
      </c>
      <c r="AC296" s="2" t="str">
        <f ca="1"/>
        <v/>
      </c>
      <c r="AD296" s="2" t="str">
        <f ca="1"/>
        <v/>
      </c>
      <c r="AE296" s="2" t="str">
        <f ca="1"/>
        <v/>
      </c>
      <c r="AF296" s="2" t="str">
        <f ca="1"/>
        <v/>
      </c>
      <c r="AG296" s="26" t="str">
        <f ca="1"/>
        <v/>
      </c>
      <c r="AH296" s="26">
        <f ca="1"/>
        <v>-4.99E-2</v>
      </c>
    </row>
    <row r="297" spans="1:34">
      <c r="A297" s="5">
        <f ca="1"/>
        <v>37833</v>
      </c>
      <c r="B297" s="2">
        <f ca="1"/>
        <v>2.43563305791753E-2</v>
      </c>
      <c r="C297" s="2">
        <f ca="1"/>
        <v>6.2612612612612695E-2</v>
      </c>
      <c r="D297" s="2">
        <f ca="1"/>
        <v>2.2191223199883699E-2</v>
      </c>
      <c r="E297" s="2">
        <f ca="1"/>
        <v>-3.3619258439402416E-2</v>
      </c>
      <c r="F297" s="2">
        <f ca="1"/>
        <v>1.3257930442872431E-2</v>
      </c>
      <c r="G297" s="2">
        <f ca="1"/>
        <v>3.5304640510153092E-2</v>
      </c>
      <c r="H297" s="2">
        <f ca="1"/>
        <v>2.3142572909576355E-2</v>
      </c>
      <c r="I297" s="2" t="str">
        <f ca="1"/>
        <v/>
      </c>
      <c r="J297" s="2" t="str">
        <f ca="1"/>
        <v/>
      </c>
      <c r="K297" s="2">
        <f ca="1"/>
        <v>3.820457325679821E-3</v>
      </c>
      <c r="L297" s="2">
        <f ca="1"/>
        <v>-2.7963842101840853E-3</v>
      </c>
      <c r="M297" s="2">
        <f ca="1"/>
        <v>5.2455957805604414E-2</v>
      </c>
      <c r="N297" s="2">
        <f ca="1"/>
        <v>-2.7242290016012689E-3</v>
      </c>
      <c r="O297" s="2" t="str">
        <f ca="1"/>
        <v/>
      </c>
      <c r="P297" s="2">
        <f ca="1"/>
        <v>3.8733339296895951E-2</v>
      </c>
      <c r="Q297" s="2">
        <f ca="1"/>
        <v>-3.3399513851511335E-4</v>
      </c>
      <c r="R297" s="2">
        <f ca="1"/>
        <v>2.7380628414728689E-2</v>
      </c>
      <c r="S297" s="2">
        <f ca="1"/>
        <v>3.14957161421053E-3</v>
      </c>
      <c r="T297" s="2">
        <f ca="1"/>
        <v>1.7597353524464582E-2</v>
      </c>
      <c r="U297" s="2">
        <f ca="1"/>
        <v>1.9926421552553173E-2</v>
      </c>
      <c r="V297" s="2">
        <f ca="1"/>
        <v>2.4884459444719773E-2</v>
      </c>
      <c r="W297" s="2">
        <f ca="1"/>
        <v>1.4890219832882584E-2</v>
      </c>
      <c r="X297" s="2" t="str">
        <f ca="1"/>
        <v/>
      </c>
      <c r="Y297" s="2" t="str">
        <f ca="1"/>
        <v/>
      </c>
      <c r="Z297" s="2" t="str">
        <f ca="1"/>
        <v/>
      </c>
      <c r="AA297" s="2" t="str">
        <f ca="1"/>
        <v/>
      </c>
      <c r="AB297" s="2" t="str">
        <f ca="1"/>
        <v/>
      </c>
      <c r="AC297" s="2" t="str">
        <f ca="1"/>
        <v/>
      </c>
      <c r="AD297" s="2" t="str">
        <f ca="1"/>
        <v/>
      </c>
      <c r="AE297" s="2" t="str">
        <f ca="1"/>
        <v/>
      </c>
      <c r="AF297" s="2" t="str">
        <f ca="1"/>
        <v/>
      </c>
      <c r="AG297" s="26" t="str">
        <f ca="1"/>
        <v/>
      </c>
      <c r="AH297" s="26">
        <f ca="1"/>
        <v>2.2200000000000001E-2</v>
      </c>
    </row>
    <row r="298" spans="1:34">
      <c r="A298" s="5">
        <f ca="1"/>
        <v>37862</v>
      </c>
      <c r="B298" s="2">
        <f ca="1"/>
        <v>2.4323020065663416E-2</v>
      </c>
      <c r="C298" s="2">
        <f ca="1"/>
        <v>6.7131681375004873E-2</v>
      </c>
      <c r="D298" s="2">
        <f ca="1"/>
        <v>2.373784747501766E-2</v>
      </c>
      <c r="E298" s="2">
        <f ca="1"/>
        <v>6.6392269148175314E-3</v>
      </c>
      <c r="F298" s="2">
        <f ca="1"/>
        <v>1.834670943441798E-2</v>
      </c>
      <c r="G298" s="2">
        <f ca="1"/>
        <v>3.0107076471974237E-2</v>
      </c>
      <c r="H298" s="2">
        <f ca="1"/>
        <v>1.852515224399982E-2</v>
      </c>
      <c r="I298" s="2" t="str">
        <f ca="1"/>
        <v/>
      </c>
      <c r="J298" s="2" t="str">
        <f ca="1"/>
        <v/>
      </c>
      <c r="K298" s="2">
        <f ca="1"/>
        <v>2.0173234841951312E-2</v>
      </c>
      <c r="L298" s="2">
        <f ca="1"/>
        <v>1.5108038780922668E-2</v>
      </c>
      <c r="M298" s="2">
        <f ca="1"/>
        <v>5.6148365322333305E-2</v>
      </c>
      <c r="N298" s="2">
        <f ca="1"/>
        <v>1.9559596296605211E-2</v>
      </c>
      <c r="O298" s="2" t="str">
        <f ca="1"/>
        <v/>
      </c>
      <c r="P298" s="2">
        <f ca="1"/>
        <v>6.6353771960041316E-2</v>
      </c>
      <c r="Q298" s="2">
        <f ca="1"/>
        <v>1.5907192575406126E-2</v>
      </c>
      <c r="R298" s="2">
        <f ca="1"/>
        <v>1.4099716783145458E-2</v>
      </c>
      <c r="S298" s="2">
        <f ca="1"/>
        <v>8.5298379660124889E-3</v>
      </c>
      <c r="T298" s="2">
        <f ca="1"/>
        <v>1.949267953989656E-2</v>
      </c>
      <c r="U298" s="2">
        <f ca="1"/>
        <v>2.0294831374624397E-2</v>
      </c>
      <c r="V298" s="2">
        <f ca="1"/>
        <v>2.4870160672367123E-2</v>
      </c>
      <c r="W298" s="2">
        <f ca="1"/>
        <v>1.5582584565117579E-2</v>
      </c>
      <c r="X298" s="2" t="str">
        <f ca="1"/>
        <v/>
      </c>
      <c r="Y298" s="2" t="str">
        <f ca="1"/>
        <v/>
      </c>
      <c r="Z298" s="2" t="str">
        <f ca="1"/>
        <v/>
      </c>
      <c r="AA298" s="2" t="str">
        <f ca="1"/>
        <v/>
      </c>
      <c r="AB298" s="2" t="str">
        <f ca="1"/>
        <v/>
      </c>
      <c r="AC298" s="2" t="str">
        <f ca="1"/>
        <v/>
      </c>
      <c r="AD298" s="2" t="str">
        <f ca="1"/>
        <v/>
      </c>
      <c r="AE298" s="2" t="str">
        <f ca="1"/>
        <v/>
      </c>
      <c r="AF298" s="2" t="str">
        <f ca="1"/>
        <v/>
      </c>
      <c r="AG298" s="26" t="str">
        <f ca="1"/>
        <v/>
      </c>
      <c r="AH298" s="26">
        <f ca="1"/>
        <v>6.1600000000000002E-2</v>
      </c>
    </row>
    <row r="299" spans="1:34">
      <c r="A299" s="5">
        <f ca="1"/>
        <v>37894</v>
      </c>
      <c r="B299" s="2">
        <f ca="1"/>
        <v>3.102535137149352E-2</v>
      </c>
      <c r="C299" s="2">
        <f ca="1"/>
        <v>7.3309017370263721E-3</v>
      </c>
      <c r="D299" s="2">
        <f ca="1"/>
        <v>6.3872928926067612E-3</v>
      </c>
      <c r="E299" s="2">
        <f ca="1"/>
        <v>2.6470640521946254E-2</v>
      </c>
      <c r="F299" s="2">
        <f ca="1"/>
        <v>3.4005176959966667E-2</v>
      </c>
      <c r="G299" s="2">
        <f ca="1"/>
        <v>2.817588033741739E-2</v>
      </c>
      <c r="H299" s="2">
        <f ca="1"/>
        <v>1.0450685826257411E-2</v>
      </c>
      <c r="I299" s="2" t="str">
        <f ca="1"/>
        <v/>
      </c>
      <c r="J299" s="2" t="str">
        <f ca="1"/>
        <v/>
      </c>
      <c r="K299" s="2">
        <f ca="1"/>
        <v>2.5085455948836658E-2</v>
      </c>
      <c r="L299" s="2">
        <f ca="1"/>
        <v>5.6406193117330819E-2</v>
      </c>
      <c r="M299" s="2">
        <f ca="1"/>
        <v>1.5300193673337665E-2</v>
      </c>
      <c r="N299" s="2">
        <f ca="1"/>
        <v>4.7040536671166429E-3</v>
      </c>
      <c r="O299" s="2" t="str">
        <f ca="1"/>
        <v/>
      </c>
      <c r="P299" s="2">
        <f ca="1"/>
        <v>1.9826367857863906E-2</v>
      </c>
      <c r="Q299" s="2">
        <f ca="1"/>
        <v>-7.6737557553168993E-3</v>
      </c>
      <c r="R299" s="2">
        <f ca="1"/>
        <v>-7.2130357035220813E-3</v>
      </c>
      <c r="S299" s="2">
        <f ca="1"/>
        <v>-2.8518869259489101E-3</v>
      </c>
      <c r="T299" s="2">
        <f ca="1"/>
        <v>-1.0619695776022196E-2</v>
      </c>
      <c r="U299" s="2">
        <f ca="1"/>
        <v>-1.0242098023543205E-2</v>
      </c>
      <c r="V299" s="2">
        <f ca="1"/>
        <v>-1.0704738508279273E-2</v>
      </c>
      <c r="W299" s="2">
        <f ca="1"/>
        <v>-9.755226880090305E-3</v>
      </c>
      <c r="X299" s="2" t="str">
        <f ca="1"/>
        <v/>
      </c>
      <c r="Y299" s="2" t="str">
        <f ca="1"/>
        <v/>
      </c>
      <c r="Z299" s="2" t="str">
        <f ca="1"/>
        <v/>
      </c>
      <c r="AA299" s="2" t="str">
        <f ca="1"/>
        <v/>
      </c>
      <c r="AB299" s="2" t="str">
        <f ca="1"/>
        <v/>
      </c>
      <c r="AC299" s="2" t="str">
        <f ca="1"/>
        <v/>
      </c>
      <c r="AD299" s="2" t="str">
        <f ca="1"/>
        <v/>
      </c>
      <c r="AE299" s="2" t="str">
        <f ca="1"/>
        <v/>
      </c>
      <c r="AF299" s="2" t="str">
        <f ca="1"/>
        <v/>
      </c>
      <c r="AG299" s="26" t="str">
        <f ca="1"/>
        <v/>
      </c>
      <c r="AH299" s="26">
        <f ca="1"/>
        <v>2.5499999999999998E-2</v>
      </c>
    </row>
    <row r="300" spans="1:34">
      <c r="A300" s="5">
        <f ca="1"/>
        <v>37925</v>
      </c>
      <c r="B300" s="2">
        <f ca="1"/>
        <v>6.2392626228783721E-2</v>
      </c>
      <c r="C300" s="2">
        <f ca="1"/>
        <v>8.5089983508998407E-2</v>
      </c>
      <c r="D300" s="2">
        <f ca="1"/>
        <v>6.0663927691043534E-2</v>
      </c>
      <c r="E300" s="2">
        <f ca="1"/>
        <v>-9.3262902667128351E-3</v>
      </c>
      <c r="F300" s="2">
        <f ca="1"/>
        <v>5.7619585180886237E-2</v>
      </c>
      <c r="G300" s="2">
        <f ca="1"/>
        <v>6.698695765507455E-2</v>
      </c>
      <c r="H300" s="2">
        <f ca="1"/>
        <v>6.1434041072050069E-2</v>
      </c>
      <c r="I300" s="2" t="str">
        <f ca="1"/>
        <v/>
      </c>
      <c r="J300" s="2" t="str">
        <f ca="1"/>
        <v/>
      </c>
      <c r="K300" s="2">
        <f ca="1"/>
        <v>4.6648380214776138E-2</v>
      </c>
      <c r="L300" s="2">
        <f ca="1"/>
        <v>3.7076077922604492E-2</v>
      </c>
      <c r="M300" s="2">
        <f ca="1"/>
        <v>7.8463788389394051E-2</v>
      </c>
      <c r="N300" s="2">
        <f ca="1"/>
        <v>4.2606465271557585E-2</v>
      </c>
      <c r="O300" s="2" t="str">
        <f ca="1"/>
        <v/>
      </c>
      <c r="P300" s="2">
        <f ca="1"/>
        <v>5.5036426987646409E-2</v>
      </c>
      <c r="Q300" s="2">
        <f ca="1"/>
        <v>4.2384740020621557E-2</v>
      </c>
      <c r="R300" s="2">
        <f ca="1"/>
        <v>6.2980652473083473E-2</v>
      </c>
      <c r="S300" s="2">
        <f ca="1"/>
        <v>4.4538081151003689E-2</v>
      </c>
      <c r="T300" s="2">
        <f ca="1"/>
        <v>5.6523916814867285E-2</v>
      </c>
      <c r="U300" s="2">
        <f ca="1"/>
        <v>5.8634224604669355E-2</v>
      </c>
      <c r="V300" s="2">
        <f ca="1"/>
        <v>5.6166195316084661E-2</v>
      </c>
      <c r="W300" s="2">
        <f ca="1"/>
        <v>6.1197513913583433E-2</v>
      </c>
      <c r="X300" s="2" t="str">
        <f ca="1"/>
        <v/>
      </c>
      <c r="Y300" s="2" t="str">
        <f ca="1"/>
        <v/>
      </c>
      <c r="Z300" s="2" t="str">
        <f ca="1"/>
        <v/>
      </c>
      <c r="AA300" s="2" t="str">
        <f ca="1"/>
        <v/>
      </c>
      <c r="AB300" s="2" t="str">
        <f ca="1"/>
        <v/>
      </c>
      <c r="AC300" s="2" t="str">
        <f ca="1"/>
        <v/>
      </c>
      <c r="AD300" s="2" t="str">
        <f ca="1"/>
        <v/>
      </c>
      <c r="AE300" s="2" t="str">
        <f ca="1"/>
        <v/>
      </c>
      <c r="AF300" s="2">
        <f ca="1"/>
        <v>-9.3476144109056278E-3</v>
      </c>
      <c r="AG300" s="26" t="str">
        <f ca="1"/>
        <v/>
      </c>
      <c r="AH300" s="26">
        <f ca="1"/>
        <v>-2.0999999999999999E-3</v>
      </c>
    </row>
    <row r="301" spans="1:34">
      <c r="A301" s="5">
        <f ca="1"/>
        <v>37953</v>
      </c>
      <c r="B301" s="2">
        <f ca="1"/>
        <v>2.2375170683101367E-2</v>
      </c>
      <c r="C301" s="2">
        <f ca="1"/>
        <v>1.2290410506318562E-2</v>
      </c>
      <c r="D301" s="2">
        <f ca="1"/>
        <v>1.5320398999711866E-2</v>
      </c>
      <c r="E301" s="2">
        <f ca="1"/>
        <v>2.3950420880571393E-3</v>
      </c>
      <c r="F301" s="2">
        <f ca="1"/>
        <v>2.3511091362201864E-2</v>
      </c>
      <c r="G301" s="2">
        <f ca="1"/>
        <v>2.1294295546541581E-2</v>
      </c>
      <c r="H301" s="2">
        <f ca="1"/>
        <v>1.2343943972079691E-2</v>
      </c>
      <c r="I301" s="2" t="str">
        <f ca="1"/>
        <v/>
      </c>
      <c r="J301" s="2" t="str">
        <f ca="1"/>
        <v/>
      </c>
      <c r="K301" s="2">
        <f ca="1"/>
        <v>2.1513848683647183E-2</v>
      </c>
      <c r="L301" s="2">
        <f ca="1"/>
        <v>3.0531665363565292E-2</v>
      </c>
      <c r="M301" s="2">
        <f ca="1"/>
        <v>1.2617180590766972E-2</v>
      </c>
      <c r="N301" s="2">
        <f ca="1"/>
        <v>1.5229318390378329E-2</v>
      </c>
      <c r="O301" s="2" t="str">
        <f ca="1"/>
        <v/>
      </c>
      <c r="P301" s="2">
        <f ca="1"/>
        <v>1.9665240561435149E-2</v>
      </c>
      <c r="Q301" s="2">
        <f ca="1"/>
        <v>4.769138375666877E-3</v>
      </c>
      <c r="R301" s="2">
        <f ca="1"/>
        <v>1.0033508491356298E-2</v>
      </c>
      <c r="S301" s="2">
        <f ca="1"/>
        <v>1.3680019229362435E-2</v>
      </c>
      <c r="T301" s="2">
        <f ca="1"/>
        <v>8.7824239983014599E-3</v>
      </c>
      <c r="U301" s="2">
        <f ca="1"/>
        <v>1.1989948819062256E-2</v>
      </c>
      <c r="V301" s="2">
        <f ca="1"/>
        <v>1.0469464770975169E-2</v>
      </c>
      <c r="W301" s="2">
        <f ca="1"/>
        <v>1.3565200615665919E-2</v>
      </c>
      <c r="X301" s="2" t="str">
        <f ca="1"/>
        <v/>
      </c>
      <c r="Y301" s="2" t="str">
        <f ca="1"/>
        <v/>
      </c>
      <c r="Z301" s="2" t="str">
        <f ca="1"/>
        <v/>
      </c>
      <c r="AA301" s="2" t="str">
        <f ca="1"/>
        <v/>
      </c>
      <c r="AB301" s="2" t="str">
        <f ca="1"/>
        <v/>
      </c>
      <c r="AC301" s="2" t="str">
        <f ca="1"/>
        <v/>
      </c>
      <c r="AD301" s="2" t="str">
        <f ca="1"/>
        <v/>
      </c>
      <c r="AE301" s="2" t="str">
        <f ca="1"/>
        <v/>
      </c>
      <c r="AF301" s="2">
        <f ca="1"/>
        <v>3.3464590357036228E-3</v>
      </c>
      <c r="AG301" s="26" t="str">
        <f ca="1"/>
        <v/>
      </c>
      <c r="AH301" s="26">
        <f ca="1"/>
        <v>3.1699999999999999E-2</v>
      </c>
    </row>
    <row r="302" spans="1:34">
      <c r="A302" s="5">
        <f ca="1"/>
        <v>37986</v>
      </c>
      <c r="B302" s="2">
        <f ca="1"/>
        <v>7.8169879991323646E-2</v>
      </c>
      <c r="C302" s="2">
        <f ca="1"/>
        <v>7.2504446874133169E-2</v>
      </c>
      <c r="D302" s="2">
        <f ca="1"/>
        <v>6.3408932064910564E-2</v>
      </c>
      <c r="E302" s="2">
        <f ca="1"/>
        <v>1.0176408521325177E-2</v>
      </c>
      <c r="F302" s="2">
        <f ca="1"/>
        <v>6.8834593373169023E-2</v>
      </c>
      <c r="G302" s="2">
        <f ca="1"/>
        <v>8.7449194012368656E-2</v>
      </c>
      <c r="H302" s="2">
        <f ca="1"/>
        <v>4.9629801018047176E-2</v>
      </c>
      <c r="I302" s="2" t="str">
        <f ca="1"/>
        <v/>
      </c>
      <c r="J302" s="2" t="str">
        <f ca="1"/>
        <v/>
      </c>
      <c r="K302" s="2">
        <f ca="1"/>
        <v>5.236681925650187E-2</v>
      </c>
      <c r="L302" s="2">
        <f ca="1"/>
        <v>6.9420735176966009E-2</v>
      </c>
      <c r="M302" s="2">
        <f ca="1"/>
        <v>7.4002911208151431E-2</v>
      </c>
      <c r="N302" s="2">
        <f ca="1"/>
        <v>5.4503144412177462E-2</v>
      </c>
      <c r="O302" s="2" t="str">
        <f ca="1"/>
        <v/>
      </c>
      <c r="P302" s="2">
        <f ca="1"/>
        <v>6.249539933750467E-2</v>
      </c>
      <c r="Q302" s="2">
        <f ca="1"/>
        <v>4.5988327121861981E-2</v>
      </c>
      <c r="R302" s="2">
        <f ca="1"/>
        <v>2.1903451395826671E-2</v>
      </c>
      <c r="S302" s="2">
        <f ca="1"/>
        <v>4.7599901026846421E-2</v>
      </c>
      <c r="T302" s="2">
        <f ca="1"/>
        <v>5.2438248073591008E-2</v>
      </c>
      <c r="U302" s="2">
        <f ca="1"/>
        <v>4.7886174077130188E-2</v>
      </c>
      <c r="V302" s="2">
        <f ca="1"/>
        <v>3.4584408212356803E-2</v>
      </c>
      <c r="W302" s="2">
        <f ca="1"/>
        <v>6.1640505553934889E-2</v>
      </c>
      <c r="X302" s="2" t="str">
        <f ca="1"/>
        <v/>
      </c>
      <c r="Y302" s="2" t="str">
        <f ca="1"/>
        <v/>
      </c>
      <c r="Z302" s="2" t="str">
        <f ca="1"/>
        <v/>
      </c>
      <c r="AA302" s="2" t="str">
        <f ca="1"/>
        <v/>
      </c>
      <c r="AB302" s="2" t="str">
        <f ca="1"/>
        <v/>
      </c>
      <c r="AC302" s="2" t="str">
        <f ca="1"/>
        <v/>
      </c>
      <c r="AD302" s="2" t="str">
        <f ca="1"/>
        <v/>
      </c>
      <c r="AE302" s="2" t="str">
        <f ca="1"/>
        <v/>
      </c>
      <c r="AF302" s="2">
        <f ca="1"/>
        <v>9.7932943557508343E-3</v>
      </c>
      <c r="AG302" s="26" t="str">
        <f ca="1"/>
        <v/>
      </c>
      <c r="AH302" s="26">
        <f ca="1"/>
        <v>4.8600000000000004E-2</v>
      </c>
    </row>
    <row r="303" spans="1:34">
      <c r="A303" s="5">
        <f ca="1"/>
        <v>38016</v>
      </c>
      <c r="B303" s="2">
        <f ca="1"/>
        <v>1.4214863456168306E-2</v>
      </c>
      <c r="C303" s="2">
        <f ca="1"/>
        <v>3.5513222360853164E-2</v>
      </c>
      <c r="D303" s="2">
        <f ca="1"/>
        <v>1.713701865814074E-2</v>
      </c>
      <c r="E303" s="2">
        <f ca="1"/>
        <v>8.045302303097213E-3</v>
      </c>
      <c r="F303" s="2">
        <f ca="1"/>
        <v>1.958490953846747E-2</v>
      </c>
      <c r="G303" s="2">
        <f ca="1"/>
        <v>8.9619600257898543E-3</v>
      </c>
      <c r="H303" s="2">
        <f ca="1"/>
        <v>2.6474154083544692E-2</v>
      </c>
      <c r="I303" s="2" t="str">
        <f ca="1"/>
        <v/>
      </c>
      <c r="J303" s="2" t="str">
        <f ca="1"/>
        <v/>
      </c>
      <c r="K303" s="2">
        <f ca="1"/>
        <v>6.5646908859146027E-3</v>
      </c>
      <c r="L303" s="2">
        <f ca="1"/>
        <v>1.4596857152991921E-2</v>
      </c>
      <c r="M303" s="2">
        <f ca="1"/>
        <v>1.5884202537135305E-2</v>
      </c>
      <c r="N303" s="2">
        <f ca="1"/>
        <v>4.0488045083985841E-3</v>
      </c>
      <c r="O303" s="2" t="str">
        <f ca="1"/>
        <v/>
      </c>
      <c r="P303" s="2">
        <f ca="1"/>
        <v>2.2412359706249031E-2</v>
      </c>
      <c r="Q303" s="2">
        <f ca="1"/>
        <v>7.6302521008402751E-3</v>
      </c>
      <c r="R303" s="2">
        <f ca="1"/>
        <v>2.5123125449615414E-2</v>
      </c>
      <c r="S303" s="2">
        <f ca="1"/>
        <v>1.4063161209687813E-2</v>
      </c>
      <c r="T303" s="2">
        <f ca="1"/>
        <v>1.8353749415343023E-2</v>
      </c>
      <c r="U303" s="2">
        <f ca="1"/>
        <v>1.9007822040804624E-2</v>
      </c>
      <c r="V303" s="2">
        <f ca="1"/>
        <v>2.0420413895007816E-2</v>
      </c>
      <c r="W303" s="2">
        <f ca="1"/>
        <v>1.7583723898703146E-2</v>
      </c>
      <c r="X303" s="2" t="str">
        <f ca="1"/>
        <v/>
      </c>
      <c r="Y303" s="2" t="str">
        <f ca="1"/>
        <v/>
      </c>
      <c r="Z303" s="2" t="str">
        <f ca="1"/>
        <v/>
      </c>
      <c r="AA303" s="2" t="str">
        <f ca="1"/>
        <v/>
      </c>
      <c r="AB303" s="2" t="str">
        <f ca="1"/>
        <v/>
      </c>
      <c r="AC303" s="2" t="str">
        <f ca="1"/>
        <v/>
      </c>
      <c r="AD303" s="2" t="str">
        <f ca="1"/>
        <v/>
      </c>
      <c r="AE303" s="2" t="str">
        <f ca="1"/>
        <v/>
      </c>
      <c r="AF303" s="2">
        <f ca="1"/>
        <v>4.405286343612206E-3</v>
      </c>
      <c r="AG303" s="26" t="str">
        <f ca="1"/>
        <v/>
      </c>
      <c r="AH303" s="26">
        <f ca="1"/>
        <v>-3.3399999999999999E-2</v>
      </c>
    </row>
    <row r="304" spans="1:34">
      <c r="A304" s="5">
        <f ca="1"/>
        <v>38044</v>
      </c>
      <c r="B304" s="2">
        <f ca="1"/>
        <v>2.3254655447518046E-2</v>
      </c>
      <c r="C304" s="2">
        <f ca="1"/>
        <v>4.6123780416128045E-2</v>
      </c>
      <c r="D304" s="2">
        <f ca="1"/>
        <v>1.8453828746211782E-2</v>
      </c>
      <c r="E304" s="2">
        <f ca="1"/>
        <v>1.0824141946975492E-2</v>
      </c>
      <c r="F304" s="2">
        <f ca="1"/>
        <v>1.9105513504173437E-2</v>
      </c>
      <c r="G304" s="2">
        <f ca="1"/>
        <v>2.7351869880804215E-2</v>
      </c>
      <c r="H304" s="2">
        <f ca="1"/>
        <v>9.6851780268865494E-3</v>
      </c>
      <c r="I304" s="2" t="str">
        <f ca="1"/>
        <v/>
      </c>
      <c r="J304" s="2" t="str">
        <f ca="1"/>
        <v/>
      </c>
      <c r="K304" s="2">
        <f ca="1"/>
        <v>2.4805293484455072E-2</v>
      </c>
      <c r="L304" s="2">
        <f ca="1"/>
        <v>4.3003233983043482E-2</v>
      </c>
      <c r="M304" s="2">
        <f ca="1"/>
        <v>4.0130209723037574E-2</v>
      </c>
      <c r="N304" s="2">
        <f ca="1"/>
        <v>2.007156739868866E-2</v>
      </c>
      <c r="O304" s="2" t="str">
        <f ca="1"/>
        <v/>
      </c>
      <c r="P304" s="2">
        <f ca="1"/>
        <v>3.8183974250381295E-2</v>
      </c>
      <c r="Q304" s="2">
        <f ca="1"/>
        <v>1.594555826133379E-2</v>
      </c>
      <c r="R304" s="2">
        <f ca="1"/>
        <v>1.3783175888438991E-2</v>
      </c>
      <c r="S304" s="2">
        <f ca="1"/>
        <v>2.0001552764891888E-2</v>
      </c>
      <c r="T304" s="2">
        <f ca="1"/>
        <v>1.3889620505027789E-2</v>
      </c>
      <c r="U304" s="2">
        <f ca="1"/>
        <v>1.3849719288329659E-2</v>
      </c>
      <c r="V304" s="2">
        <f ca="1"/>
        <v>6.3538286675592741E-3</v>
      </c>
      <c r="W304" s="2">
        <f ca="1"/>
        <v>2.1431799727290892E-2</v>
      </c>
      <c r="X304" s="2">
        <f ca="1"/>
        <v>9.6852300242130842E-3</v>
      </c>
      <c r="Y304" s="2">
        <f ca="1"/>
        <v>2.5989847715736064E-2</v>
      </c>
      <c r="Z304" s="2" t="str">
        <f ca="1"/>
        <v/>
      </c>
      <c r="AA304" s="2" t="str">
        <f ca="1"/>
        <v/>
      </c>
      <c r="AB304" s="2" t="str">
        <f ca="1"/>
        <v/>
      </c>
      <c r="AC304" s="2" t="str">
        <f ca="1"/>
        <v/>
      </c>
      <c r="AD304" s="2" t="str">
        <f ca="1"/>
        <v/>
      </c>
      <c r="AE304" s="2" t="str">
        <f ca="1"/>
        <v/>
      </c>
      <c r="AF304" s="2">
        <f ca="1"/>
        <v>1.1411425964493334E-2</v>
      </c>
      <c r="AG304" s="26" t="str">
        <f ca="1"/>
        <v/>
      </c>
      <c r="AH304" s="26">
        <f ca="1"/>
        <v>-1.34E-2</v>
      </c>
    </row>
    <row r="305" spans="1:34">
      <c r="A305" s="5">
        <f ca="1"/>
        <v>38077</v>
      </c>
      <c r="B305" s="2">
        <f ca="1"/>
        <v>6.0185877639840615E-3</v>
      </c>
      <c r="C305" s="2">
        <f ca="1"/>
        <v>1.2852026125430124E-2</v>
      </c>
      <c r="D305" s="2">
        <f ca="1"/>
        <v>-5.3250142683784162E-3</v>
      </c>
      <c r="E305" s="2">
        <f ca="1"/>
        <v>7.4889867841409002E-3</v>
      </c>
      <c r="F305" s="2">
        <f ca="1"/>
        <v>1.1132776164673695E-3</v>
      </c>
      <c r="G305" s="2">
        <f ca="1"/>
        <v>1.0850336340302918E-2</v>
      </c>
      <c r="H305" s="2">
        <f ca="1"/>
        <v>4.3665057319692821E-2</v>
      </c>
      <c r="I305" s="2" t="str">
        <f ca="1"/>
        <v/>
      </c>
      <c r="J305" s="2" t="str">
        <f ca="1"/>
        <v/>
      </c>
      <c r="K305" s="2">
        <f ca="1"/>
        <v>1.9709912108620754E-2</v>
      </c>
      <c r="L305" s="2">
        <f ca="1"/>
        <v>1.6073074666890192E-2</v>
      </c>
      <c r="M305" s="2">
        <f ca="1"/>
        <v>1.9521830588476768E-2</v>
      </c>
      <c r="N305" s="2">
        <f ca="1"/>
        <v>-1.4761921720859142E-2</v>
      </c>
      <c r="O305" s="2" t="str">
        <f ca="1"/>
        <v/>
      </c>
      <c r="P305" s="2">
        <f ca="1"/>
        <v>5.6132106259381576E-3</v>
      </c>
      <c r="Q305" s="2">
        <f ca="1"/>
        <v>-1.6023641438187474E-2</v>
      </c>
      <c r="R305" s="2">
        <f ca="1"/>
        <v>-4.7567490814858634E-3</v>
      </c>
      <c r="S305" s="2">
        <f ca="1"/>
        <v>-3.17783507606816E-3</v>
      </c>
      <c r="T305" s="2">
        <f ca="1"/>
        <v>-1.5087810103484998E-2</v>
      </c>
      <c r="U305" s="2">
        <f ca="1"/>
        <v>-1.3642404378832129E-2</v>
      </c>
      <c r="V305" s="2">
        <f ca="1"/>
        <v>-1.8549671221426887E-2</v>
      </c>
      <c r="W305" s="2">
        <f ca="1"/>
        <v>-8.7520788062074618E-3</v>
      </c>
      <c r="X305" s="2">
        <f ca="1"/>
        <v>-1.5584231880998849E-2</v>
      </c>
      <c r="Y305" s="2">
        <f ca="1"/>
        <v>-1.6980367000496158E-2</v>
      </c>
      <c r="Z305" s="2" t="str">
        <f ca="1"/>
        <v/>
      </c>
      <c r="AA305" s="2" t="str">
        <f ca="1"/>
        <v/>
      </c>
      <c r="AB305" s="2" t="str">
        <f ca="1"/>
        <v/>
      </c>
      <c r="AC305" s="2" t="str">
        <f ca="1"/>
        <v/>
      </c>
      <c r="AD305" s="2" t="str">
        <f ca="1"/>
        <v/>
      </c>
      <c r="AE305" s="2" t="str">
        <f ca="1"/>
        <v/>
      </c>
      <c r="AF305" s="2">
        <f ca="1"/>
        <v>6.8388737841657858E-3</v>
      </c>
      <c r="AG305" s="26" t="str">
        <f ca="1"/>
        <v/>
      </c>
      <c r="AH305" s="26">
        <f ca="1"/>
        <v>7.690000000000001E-2</v>
      </c>
    </row>
    <row r="306" spans="1:34">
      <c r="A306" s="5">
        <f ca="1"/>
        <v>38107</v>
      </c>
      <c r="B306" s="2">
        <f ca="1"/>
        <v>-2.177278202555348E-2</v>
      </c>
      <c r="C306" s="2">
        <f ca="1"/>
        <v>-8.1763971709887737E-2</v>
      </c>
      <c r="D306" s="2">
        <f ca="1"/>
        <v>-2.2954408717160354E-2</v>
      </c>
      <c r="E306" s="2">
        <f ca="1"/>
        <v>-2.6016615653694841E-2</v>
      </c>
      <c r="F306" s="2">
        <f ca="1"/>
        <v>-2.414084502072647E-2</v>
      </c>
      <c r="G306" s="2">
        <f ca="1"/>
        <v>-1.9460682291195321E-2</v>
      </c>
      <c r="H306" s="2">
        <f ca="1"/>
        <v>-4.0819237823517367E-2</v>
      </c>
      <c r="I306" s="2" t="str">
        <f ca="1"/>
        <v/>
      </c>
      <c r="J306" s="2" t="str">
        <f ca="1"/>
        <v/>
      </c>
      <c r="K306" s="2">
        <f ca="1"/>
        <v>-2.8326895402559921E-2</v>
      </c>
      <c r="L306" s="2">
        <f ca="1"/>
        <v>-2.1625098970704696E-2</v>
      </c>
      <c r="M306" s="2">
        <f ca="1"/>
        <v>-5.3267242030043065E-2</v>
      </c>
      <c r="N306" s="2">
        <f ca="1"/>
        <v>5.2413743244966889E-4</v>
      </c>
      <c r="O306" s="2" t="str">
        <f ca="1"/>
        <v/>
      </c>
      <c r="P306" s="2">
        <f ca="1"/>
        <v>-8.0645161290322481E-2</v>
      </c>
      <c r="Q306" s="2">
        <f ca="1"/>
        <v>1.6117729502452643E-2</v>
      </c>
      <c r="R306" s="2">
        <f ca="1"/>
        <v>-4.4263727640754105E-2</v>
      </c>
      <c r="S306" s="2">
        <f ca="1"/>
        <v>-1.3668165201538778E-2</v>
      </c>
      <c r="T306" s="2">
        <f ca="1"/>
        <v>-1.5691999686112672E-2</v>
      </c>
      <c r="U306" s="2">
        <f ca="1"/>
        <v>-1.8077163314396787E-2</v>
      </c>
      <c r="V306" s="2">
        <f ca="1"/>
        <v>-1.1626371434808562E-2</v>
      </c>
      <c r="W306" s="2">
        <f ca="1"/>
        <v>-2.4439606499827026E-2</v>
      </c>
      <c r="X306" s="2">
        <f ca="1"/>
        <v>-9.1519219035998082E-3</v>
      </c>
      <c r="Y306" s="2">
        <f ca="1"/>
        <v>-1.7004048582995968E-2</v>
      </c>
      <c r="Z306" s="2" t="str">
        <f ca="1"/>
        <v/>
      </c>
      <c r="AA306" s="2" t="str">
        <f ca="1"/>
        <v/>
      </c>
      <c r="AB306" s="2" t="str">
        <f ca="1"/>
        <v/>
      </c>
      <c r="AC306" s="2" t="str">
        <f ca="1"/>
        <v/>
      </c>
      <c r="AD306" s="2" t="str">
        <f ca="1"/>
        <v/>
      </c>
      <c r="AE306" s="2" t="str">
        <f ca="1"/>
        <v/>
      </c>
      <c r="AF306" s="2">
        <f ca="1"/>
        <v>-2.8069426146117939E-2</v>
      </c>
      <c r="AG306" s="26" t="str">
        <f ca="1"/>
        <v/>
      </c>
      <c r="AH306" s="26">
        <f ca="1"/>
        <v>-9.3100000000000002E-2</v>
      </c>
    </row>
    <row r="307" spans="1:34">
      <c r="A307" s="5">
        <f ca="1"/>
        <v>38138</v>
      </c>
      <c r="B307" s="2">
        <f ca="1"/>
        <v>4.3306646640472145E-3</v>
      </c>
      <c r="C307" s="2">
        <f ca="1"/>
        <v>-1.9693720361252852E-2</v>
      </c>
      <c r="D307" s="2">
        <f ca="1"/>
        <v>8.4356068705010428E-3</v>
      </c>
      <c r="E307" s="2">
        <f ca="1"/>
        <v>-4.0058706725372298E-3</v>
      </c>
      <c r="F307" s="2">
        <f ca="1"/>
        <v>-1.1479859325021634E-3</v>
      </c>
      <c r="G307" s="2">
        <f ca="1"/>
        <v>9.662290488873038E-3</v>
      </c>
      <c r="H307" s="2">
        <f ca="1"/>
        <v>-1.2535321987805295E-3</v>
      </c>
      <c r="I307" s="2" t="str">
        <f ca="1"/>
        <v/>
      </c>
      <c r="J307" s="2" t="str">
        <f ca="1"/>
        <v/>
      </c>
      <c r="K307" s="2">
        <f ca="1"/>
        <v>1.4701067893054719E-2</v>
      </c>
      <c r="L307" s="2">
        <f ca="1"/>
        <v>1.7921872102237276E-2</v>
      </c>
      <c r="M307" s="2">
        <f ca="1"/>
        <v>-1.3740498591399607E-2</v>
      </c>
      <c r="N307" s="2">
        <f ca="1"/>
        <v>8.4901911196212498E-3</v>
      </c>
      <c r="O307" s="2" t="str">
        <f ca="1"/>
        <v/>
      </c>
      <c r="P307" s="2">
        <f ca="1"/>
        <v>-6.9187052137386993E-3</v>
      </c>
      <c r="Q307" s="2">
        <f ca="1"/>
        <v>2.1510673234810271E-3</v>
      </c>
      <c r="R307" s="2">
        <f ca="1"/>
        <v>2.4836259819745968E-2</v>
      </c>
      <c r="S307" s="2">
        <f ca="1"/>
        <v>8.8642015928467859E-3</v>
      </c>
      <c r="T307" s="2">
        <f ca="1"/>
        <v>1.370693734573512E-2</v>
      </c>
      <c r="U307" s="2">
        <f ca="1"/>
        <v>1.442448165253379E-2</v>
      </c>
      <c r="V307" s="2">
        <f ca="1"/>
        <v>1.8639959208047174E-2</v>
      </c>
      <c r="W307" s="2">
        <f ca="1"/>
        <v>1.0198344223200246E-2</v>
      </c>
      <c r="X307" s="2">
        <f ca="1"/>
        <v>1.3341543513957313E-2</v>
      </c>
      <c r="Y307" s="2">
        <f ca="1"/>
        <v>7.4135090609555475E-3</v>
      </c>
      <c r="Z307" s="2" t="str">
        <f ca="1"/>
        <v/>
      </c>
      <c r="AA307" s="2" t="str">
        <f ca="1"/>
        <v/>
      </c>
      <c r="AB307" s="2" t="str">
        <f ca="1"/>
        <v/>
      </c>
      <c r="AC307" s="2" t="str">
        <f ca="1"/>
        <v/>
      </c>
      <c r="AD307" s="2" t="str">
        <f ca="1"/>
        <v/>
      </c>
      <c r="AE307" s="2" t="str">
        <f ca="1"/>
        <v/>
      </c>
      <c r="AF307" s="2">
        <f ca="1"/>
        <v>-3.7773133281013452E-3</v>
      </c>
      <c r="AG307" s="26" t="str">
        <f ca="1"/>
        <v/>
      </c>
      <c r="AH307" s="26">
        <f ca="1"/>
        <v>1.6799999999999999E-2</v>
      </c>
    </row>
    <row r="308" spans="1:34">
      <c r="A308" s="5">
        <f ca="1"/>
        <v>38168</v>
      </c>
      <c r="B308" s="2">
        <f ca="1"/>
        <v>2.2316896909532102E-2</v>
      </c>
      <c r="C308" s="2">
        <f ca="1"/>
        <v>4.5755661685410991E-3</v>
      </c>
      <c r="D308" s="2">
        <f ca="1"/>
        <v>2.021010137560993E-2</v>
      </c>
      <c r="E308" s="2">
        <f ca="1"/>
        <v>5.6515784546573361E-3</v>
      </c>
      <c r="F308" s="2">
        <f ca="1"/>
        <v>1.3039939717276945E-2</v>
      </c>
      <c r="G308" s="2">
        <f ca="1"/>
        <v>3.1338203249535734E-2</v>
      </c>
      <c r="H308" s="2">
        <f ca="1"/>
        <v>2.9101429543907435E-2</v>
      </c>
      <c r="I308" s="2" t="str">
        <f ca="1"/>
        <v/>
      </c>
      <c r="J308" s="2" t="str">
        <f ca="1"/>
        <v/>
      </c>
      <c r="K308" s="2">
        <f ca="1"/>
        <v>1.9972959685349068E-2</v>
      </c>
      <c r="L308" s="2">
        <f ca="1"/>
        <v>2.7196236915330529E-2</v>
      </c>
      <c r="M308" s="2">
        <f ca="1"/>
        <v>1.6033846236762093E-2</v>
      </c>
      <c r="N308" s="2">
        <f ca="1"/>
        <v>1.363115282653868E-2</v>
      </c>
      <c r="O308" s="2" t="str">
        <f ca="1"/>
        <v/>
      </c>
      <c r="P308" s="2">
        <f ca="1"/>
        <v>2.2393630256282498E-3</v>
      </c>
      <c r="Q308" s="2">
        <f ca="1"/>
        <v>1.4173125133129216E-2</v>
      </c>
      <c r="R308" s="2">
        <f ca="1"/>
        <v>3.1116856633043075E-2</v>
      </c>
      <c r="S308" s="2">
        <f ca="1"/>
        <v>1.334254170143793E-2</v>
      </c>
      <c r="T308" s="2">
        <f ca="1"/>
        <v>1.9451734278291093E-2</v>
      </c>
      <c r="U308" s="2">
        <f ca="1"/>
        <v>1.8027322734596552E-2</v>
      </c>
      <c r="V308" s="2">
        <f ca="1"/>
        <v>1.2495482834772151E-2</v>
      </c>
      <c r="W308" s="2">
        <f ca="1"/>
        <v>2.3628197992438125E-2</v>
      </c>
      <c r="X308" s="2">
        <f ca="1"/>
        <v>1.0947555359141497E-2</v>
      </c>
      <c r="Y308" s="2">
        <f ca="1"/>
        <v>2.463989924300361E-2</v>
      </c>
      <c r="Z308" s="2" t="str">
        <f ca="1"/>
        <v/>
      </c>
      <c r="AA308" s="2" t="str">
        <f ca="1"/>
        <v/>
      </c>
      <c r="AB308" s="2" t="str">
        <f ca="1"/>
        <v/>
      </c>
      <c r="AC308" s="2" t="str">
        <f ca="1"/>
        <v/>
      </c>
      <c r="AD308" s="2" t="str">
        <f ca="1"/>
        <v/>
      </c>
      <c r="AE308" s="2" t="str">
        <f ca="1"/>
        <v/>
      </c>
      <c r="AF308" s="2">
        <f ca="1"/>
        <v>7.2827127682858206E-3</v>
      </c>
      <c r="AG308" s="26" t="str">
        <f ca="1"/>
        <v/>
      </c>
      <c r="AH308" s="26">
        <f ca="1"/>
        <v>-2.5000000000000001E-3</v>
      </c>
    </row>
    <row r="309" spans="1:34">
      <c r="A309" s="5">
        <f ca="1"/>
        <v>38198</v>
      </c>
      <c r="B309" s="2">
        <f ca="1"/>
        <v>-3.23154584094262E-2</v>
      </c>
      <c r="C309" s="2">
        <f ca="1"/>
        <v>-1.7682150689343298E-2</v>
      </c>
      <c r="D309" s="2">
        <f ca="1"/>
        <v>-3.1722192511146219E-2</v>
      </c>
      <c r="E309" s="2">
        <f ca="1"/>
        <v>9.9122549949145818E-3</v>
      </c>
      <c r="F309" s="2">
        <f ca="1"/>
        <v>-4.0529152773120879E-2</v>
      </c>
      <c r="G309" s="2">
        <f ca="1"/>
        <v>-2.4499490406345595E-2</v>
      </c>
      <c r="H309" s="2">
        <f ca="1"/>
        <v>-3.9317016702497071E-2</v>
      </c>
      <c r="I309" s="2" t="str">
        <f ca="1"/>
        <v/>
      </c>
      <c r="J309" s="2" t="str">
        <f ca="1"/>
        <v/>
      </c>
      <c r="K309" s="2">
        <f ca="1"/>
        <v>-1.6644574320660292E-2</v>
      </c>
      <c r="L309" s="2">
        <f ca="1"/>
        <v>-8.5459060272823299E-3</v>
      </c>
      <c r="M309" s="2">
        <f ca="1"/>
        <v>-5.5697008274993728E-4</v>
      </c>
      <c r="N309" s="2">
        <f ca="1"/>
        <v>-2.5199243669264328E-2</v>
      </c>
      <c r="O309" s="2" t="str">
        <f ca="1"/>
        <v/>
      </c>
      <c r="P309" s="2">
        <f ca="1"/>
        <v>-4.2204568023833091E-3</v>
      </c>
      <c r="Q309" s="2">
        <f ca="1"/>
        <v>-3.1811425617164359E-2</v>
      </c>
      <c r="R309" s="2">
        <f ca="1"/>
        <v>-4.9619466370009205E-2</v>
      </c>
      <c r="S309" s="2">
        <f ca="1"/>
        <v>-2.288819052667455E-2</v>
      </c>
      <c r="T309" s="2">
        <f ca="1"/>
        <v>-3.310003406239044E-2</v>
      </c>
      <c r="U309" s="2">
        <f ca="1"/>
        <v>-3.5118995765321868E-2</v>
      </c>
      <c r="V309" s="2">
        <f ca="1"/>
        <v>-5.6532440785420968E-2</v>
      </c>
      <c r="W309" s="2">
        <f ca="1"/>
        <v>-1.4086672504082819E-2</v>
      </c>
      <c r="X309" s="2">
        <f ca="1"/>
        <v>-5.7182985553772041E-2</v>
      </c>
      <c r="Y309" s="2">
        <f ca="1"/>
        <v>-1.5042117930204558E-2</v>
      </c>
      <c r="Z309" s="2" t="str">
        <f ca="1"/>
        <v/>
      </c>
      <c r="AA309" s="2" t="str">
        <f ca="1"/>
        <v/>
      </c>
      <c r="AB309" s="2" t="str">
        <f ca="1"/>
        <v/>
      </c>
      <c r="AC309" s="2" t="str">
        <f ca="1"/>
        <v/>
      </c>
      <c r="AD309" s="2" t="str">
        <f ca="1"/>
        <v/>
      </c>
      <c r="AE309" s="2" t="str">
        <f ca="1"/>
        <v/>
      </c>
      <c r="AF309" s="2">
        <f ca="1"/>
        <v>9.2491062710788087E-3</v>
      </c>
      <c r="AG309" s="26" t="str">
        <f ca="1"/>
        <v/>
      </c>
      <c r="AH309" s="26">
        <f ca="1"/>
        <v>-5.1000000000000004E-3</v>
      </c>
    </row>
    <row r="310" spans="1:34">
      <c r="A310" s="5">
        <f ca="1"/>
        <v>38230</v>
      </c>
      <c r="B310" s="2">
        <f ca="1"/>
        <v>4.6427575202233383E-3</v>
      </c>
      <c r="C310" s="2">
        <f ca="1"/>
        <v>4.1855309582539829E-2</v>
      </c>
      <c r="D310" s="2">
        <f ca="1"/>
        <v>6.4933392476426389E-3</v>
      </c>
      <c r="E310" s="2">
        <f ca="1"/>
        <v>1.9075174108971655E-2</v>
      </c>
      <c r="F310" s="2">
        <f ca="1"/>
        <v>1.2215385551209014E-3</v>
      </c>
      <c r="G310" s="2">
        <f ca="1"/>
        <v>7.8258862947963616E-3</v>
      </c>
      <c r="H310" s="2">
        <f ca="1"/>
        <v>1.4954598270000405E-2</v>
      </c>
      <c r="I310" s="2" t="str">
        <f ca="1"/>
        <v/>
      </c>
      <c r="J310" s="2" t="str">
        <f ca="1"/>
        <v/>
      </c>
      <c r="K310" s="2">
        <f ca="1"/>
        <v>1.9315901536387747E-2</v>
      </c>
      <c r="L310" s="2">
        <f ca="1"/>
        <v>8.4894613583138614E-3</v>
      </c>
      <c r="M310" s="2">
        <f ca="1"/>
        <v>2.0752063264602057E-2</v>
      </c>
      <c r="N310" s="2">
        <f ca="1"/>
        <v>4.8945851385893543E-3</v>
      </c>
      <c r="O310" s="2" t="str">
        <f ca="1"/>
        <v/>
      </c>
      <c r="P310" s="2">
        <f ca="1"/>
        <v>3.4191687146062695E-2</v>
      </c>
      <c r="Q310" s="2">
        <f ca="1"/>
        <v>6.3243613062558849E-3</v>
      </c>
      <c r="R310" s="2">
        <f ca="1"/>
        <v>7.7850653090799898E-3</v>
      </c>
      <c r="S310" s="2">
        <f ca="1"/>
        <v>2.2881832096564938E-2</v>
      </c>
      <c r="T310" s="2">
        <f ca="1"/>
        <v>4.036592365918407E-3</v>
      </c>
      <c r="U310" s="2">
        <f ca="1"/>
        <v>4.9337144477934747E-3</v>
      </c>
      <c r="V310" s="2">
        <f ca="1"/>
        <v>-4.9375105083225923E-3</v>
      </c>
      <c r="W310" s="2">
        <f ca="1"/>
        <v>1.4221380375331983E-2</v>
      </c>
      <c r="X310" s="2">
        <f ca="1"/>
        <v>-9.3636944030646412E-3</v>
      </c>
      <c r="Y310" s="2">
        <f ca="1"/>
        <v>1.4253716147424145E-2</v>
      </c>
      <c r="Z310" s="2" t="str">
        <f ca="1"/>
        <v/>
      </c>
      <c r="AA310" s="2" t="str">
        <f ca="1"/>
        <v/>
      </c>
      <c r="AB310" s="2" t="str">
        <f ca="1"/>
        <v/>
      </c>
      <c r="AC310" s="2" t="str">
        <f ca="1"/>
        <v/>
      </c>
      <c r="AD310" s="2" t="str">
        <f ca="1"/>
        <v/>
      </c>
      <c r="AE310" s="2" t="str">
        <f ca="1"/>
        <v/>
      </c>
      <c r="AF310" s="2">
        <f ca="1"/>
        <v>1.6189843162755149E-2</v>
      </c>
      <c r="AG310" s="26" t="str">
        <f ca="1"/>
        <v/>
      </c>
      <c r="AH310" s="26">
        <f ca="1"/>
        <v>5.0900000000000001E-2</v>
      </c>
    </row>
    <row r="311" spans="1:34">
      <c r="A311" s="5">
        <f ca="1"/>
        <v>38260</v>
      </c>
      <c r="B311" s="2">
        <f ca="1"/>
        <v>2.6282516527147842E-2</v>
      </c>
      <c r="C311" s="2">
        <f ca="1"/>
        <v>5.7750805424439895E-2</v>
      </c>
      <c r="D311" s="2">
        <f ca="1"/>
        <v>2.1068853353956644E-2</v>
      </c>
      <c r="E311" s="2">
        <f ca="1"/>
        <v>2.7134996608125499E-3</v>
      </c>
      <c r="F311" s="2">
        <f ca="1"/>
        <v>2.4786569054543205E-2</v>
      </c>
      <c r="G311" s="2">
        <f ca="1"/>
        <v>2.7669202754840683E-2</v>
      </c>
      <c r="H311" s="2">
        <f ca="1"/>
        <v>3.5341007865335318E-2</v>
      </c>
      <c r="I311" s="2" t="str">
        <f ca="1"/>
        <v/>
      </c>
      <c r="J311" s="2" t="str">
        <f ca="1"/>
        <v/>
      </c>
      <c r="K311" s="2">
        <f ca="1"/>
        <v>2.3217720605914777E-2</v>
      </c>
      <c r="L311" s="2">
        <f ca="1"/>
        <v>2.6898887276245686E-2</v>
      </c>
      <c r="M311" s="2">
        <f ca="1"/>
        <v>6.3278304952554362E-2</v>
      </c>
      <c r="N311" s="2">
        <f ca="1"/>
        <v>1.5730701928454011E-2</v>
      </c>
      <c r="O311" s="2" t="str">
        <f ca="1"/>
        <v/>
      </c>
      <c r="P311" s="2">
        <f ca="1"/>
        <v>6.7500086097048675E-2</v>
      </c>
      <c r="Q311" s="2">
        <f ca="1"/>
        <v>-4.477166451099092E-4</v>
      </c>
      <c r="R311" s="2">
        <f ca="1"/>
        <v>5.4535398230088572E-2</v>
      </c>
      <c r="S311" s="2">
        <f ca="1"/>
        <v>8.1922188127437432E-3</v>
      </c>
      <c r="T311" s="2">
        <f ca="1"/>
        <v>1.0824630166719614E-2</v>
      </c>
      <c r="U311" s="2">
        <f ca="1"/>
        <v>1.2621967096462664E-2</v>
      </c>
      <c r="V311" s="2">
        <f ca="1"/>
        <v>9.5100507465544996E-3</v>
      </c>
      <c r="W311" s="2">
        <f ca="1"/>
        <v>1.5501419447746584E-2</v>
      </c>
      <c r="X311" s="2">
        <f ca="1"/>
        <v>1.8688099717391639E-2</v>
      </c>
      <c r="Y311" s="2">
        <f ca="1"/>
        <v>1.2169883377346674E-2</v>
      </c>
      <c r="Z311" s="2" t="str">
        <f ca="1"/>
        <v/>
      </c>
      <c r="AA311" s="2" t="str">
        <f ca="1"/>
        <v/>
      </c>
      <c r="AB311" s="2" t="str">
        <f ca="1"/>
        <v/>
      </c>
      <c r="AC311" s="2" t="str">
        <f ca="1"/>
        <v/>
      </c>
      <c r="AD311" s="2" t="str">
        <f ca="1"/>
        <v/>
      </c>
      <c r="AE311" s="2" t="str">
        <f ca="1"/>
        <v/>
      </c>
      <c r="AF311" s="2">
        <f ca="1"/>
        <v>5.1594139728002595E-3</v>
      </c>
      <c r="AG311" s="26" t="str">
        <f ca="1"/>
        <v/>
      </c>
      <c r="AH311" s="26">
        <f ca="1"/>
        <v>1.9E-2</v>
      </c>
    </row>
    <row r="312" spans="1:34">
      <c r="A312" s="5">
        <f ca="1"/>
        <v>38289</v>
      </c>
      <c r="B312" s="2">
        <f ca="1"/>
        <v>3.4160363191857432E-2</v>
      </c>
      <c r="C312" s="2">
        <f ca="1"/>
        <v>2.3969740327813058E-2</v>
      </c>
      <c r="D312" s="2">
        <f ca="1"/>
        <v>2.4677400491208985E-2</v>
      </c>
      <c r="E312" s="2">
        <f ca="1"/>
        <v>8.3857442348008078E-3</v>
      </c>
      <c r="F312" s="2">
        <f ca="1"/>
        <v>3.3511127727032804E-2</v>
      </c>
      <c r="G312" s="2">
        <f ca="1"/>
        <v>3.4762730984005556E-2</v>
      </c>
      <c r="H312" s="2">
        <f ca="1"/>
        <v>1.7732820050782146E-2</v>
      </c>
      <c r="I312" s="2" t="str">
        <f ca="1"/>
        <v/>
      </c>
      <c r="J312" s="2" t="str">
        <f ca="1"/>
        <v/>
      </c>
      <c r="K312" s="2">
        <f ca="1"/>
        <v>2.7787160921734732E-2</v>
      </c>
      <c r="L312" s="2">
        <f ca="1"/>
        <v>3.4611639812808313E-2</v>
      </c>
      <c r="M312" s="2">
        <f ca="1"/>
        <v>3.0832049683366374E-2</v>
      </c>
      <c r="N312" s="2">
        <f ca="1"/>
        <v>1.6304058254151609E-2</v>
      </c>
      <c r="O312" s="2" t="str">
        <f ca="1"/>
        <v/>
      </c>
      <c r="P312" s="2">
        <f ca="1"/>
        <v>2.9938381133658005E-2</v>
      </c>
      <c r="Q312" s="2">
        <f ca="1"/>
        <v>4.8939099852353986E-3</v>
      </c>
      <c r="R312" s="2">
        <f ca="1"/>
        <v>7.7974754362041265E-3</v>
      </c>
      <c r="S312" s="2">
        <f ca="1"/>
        <v>1.2221355903544281E-2</v>
      </c>
      <c r="T312" s="2">
        <f ca="1"/>
        <v>1.5281002674159673E-2</v>
      </c>
      <c r="U312" s="2">
        <f ca="1"/>
        <v>1.6130108672524301E-2</v>
      </c>
      <c r="V312" s="2">
        <f ca="1"/>
        <v>1.5596624590278125E-2</v>
      </c>
      <c r="W312" s="2">
        <f ca="1"/>
        <v>1.6623797715174211E-2</v>
      </c>
      <c r="X312" s="2">
        <f ca="1"/>
        <v>1.4155926473695367E-2</v>
      </c>
      <c r="Y312" s="2">
        <f ca="1"/>
        <v>1.5562649640861919E-2</v>
      </c>
      <c r="Z312" s="2" t="str">
        <f ca="1"/>
        <v/>
      </c>
      <c r="AA312" s="2" t="str">
        <f ca="1"/>
        <v/>
      </c>
      <c r="AB312" s="2" t="str">
        <f ca="1"/>
        <v/>
      </c>
      <c r="AC312" s="2" t="str">
        <f ca="1"/>
        <v/>
      </c>
      <c r="AD312" s="2" t="str">
        <f ca="1"/>
        <v/>
      </c>
      <c r="AE312" s="2" t="str">
        <f ca="1"/>
        <v/>
      </c>
      <c r="AF312" s="2">
        <f ca="1"/>
        <v>8.6729249008410496E-3</v>
      </c>
      <c r="AG312" s="26" t="str">
        <f ca="1"/>
        <v/>
      </c>
      <c r="AH312" s="26">
        <f ca="1"/>
        <v>2.5600000000000001E-2</v>
      </c>
    </row>
    <row r="313" spans="1:34">
      <c r="A313" s="5">
        <f ca="1"/>
        <v>38321</v>
      </c>
      <c r="B313" s="2">
        <f ca="1"/>
        <v>6.8590013527620175E-2</v>
      </c>
      <c r="C313" s="2">
        <f ca="1"/>
        <v>9.2624617811043086E-2</v>
      </c>
      <c r="D313" s="2">
        <f ca="1"/>
        <v>5.4930212839967886E-2</v>
      </c>
      <c r="E313" s="2">
        <f ca="1"/>
        <v>-7.9764103668485166E-3</v>
      </c>
      <c r="F313" s="2">
        <f ca="1"/>
        <v>6.9229724635746948E-2</v>
      </c>
      <c r="G313" s="2">
        <f ca="1"/>
        <v>6.7995090044115025E-2</v>
      </c>
      <c r="H313" s="2">
        <f ca="1"/>
        <v>7.876946601746404E-2</v>
      </c>
      <c r="I313" s="2" t="str">
        <f ca="1"/>
        <v/>
      </c>
      <c r="J313" s="2" t="str">
        <f ca="1"/>
        <v/>
      </c>
      <c r="K313" s="2">
        <f ca="1"/>
        <v>5.5086380589017124E-2</v>
      </c>
      <c r="L313" s="2">
        <f ca="1"/>
        <v>6.749946874715386E-2</v>
      </c>
      <c r="M313" s="2">
        <f ca="1"/>
        <v>0.104696394686907</v>
      </c>
      <c r="N313" s="2">
        <f ca="1"/>
        <v>4.3164461842266098E-2</v>
      </c>
      <c r="O313" s="2" t="str">
        <f ca="1"/>
        <v/>
      </c>
      <c r="P313" s="2">
        <f ca="1"/>
        <v>9.3563038371182475E-2</v>
      </c>
      <c r="Q313" s="2">
        <f ca="1"/>
        <v>3.5361706342655196E-2</v>
      </c>
      <c r="R313" s="2">
        <f ca="1"/>
        <v>7.7527583096245814E-2</v>
      </c>
      <c r="S313" s="2">
        <f ca="1"/>
        <v>4.4750078883382546E-2</v>
      </c>
      <c r="T313" s="2">
        <f ca="1"/>
        <v>4.0456979285627914E-2</v>
      </c>
      <c r="U313" s="2">
        <f ca="1"/>
        <v>4.281336468377446E-2</v>
      </c>
      <c r="V313" s="2">
        <f ca="1"/>
        <v>3.4397609224701087E-2</v>
      </c>
      <c r="W313" s="2">
        <f ca="1"/>
        <v>5.0557961117084674E-2</v>
      </c>
      <c r="X313" s="2">
        <f ca="1"/>
        <v>4.1874999999999989E-2</v>
      </c>
      <c r="Y313" s="2">
        <f ca="1"/>
        <v>4.7740667976424449E-2</v>
      </c>
      <c r="Z313" s="2" t="str">
        <f ca="1"/>
        <v/>
      </c>
      <c r="AA313" s="2" t="str">
        <f ca="1"/>
        <v/>
      </c>
      <c r="AB313" s="2" t="str">
        <f ca="1"/>
        <v/>
      </c>
      <c r="AC313" s="2" t="str">
        <f ca="1"/>
        <v/>
      </c>
      <c r="AD313" s="2" t="str">
        <f ca="1"/>
        <v/>
      </c>
      <c r="AE313" s="2" t="str">
        <f ca="1"/>
        <v/>
      </c>
      <c r="AF313" s="2">
        <f ca="1"/>
        <v>-7.3852816025708626E-3</v>
      </c>
      <c r="AG313" s="26" t="str">
        <f ca="1"/>
        <v/>
      </c>
      <c r="AH313" s="26">
        <f ca="1"/>
        <v>5.0999999999999997E-2</v>
      </c>
    </row>
    <row r="314" spans="1:34">
      <c r="A314" s="5">
        <f ca="1"/>
        <v>38352</v>
      </c>
      <c r="B314" s="2">
        <f ca="1"/>
        <v>4.3916696478845968E-2</v>
      </c>
      <c r="C314" s="2">
        <f ca="1"/>
        <v>4.8141207455429477E-2</v>
      </c>
      <c r="D314" s="2">
        <f ca="1"/>
        <v>3.8978435761961236E-2</v>
      </c>
      <c r="E314" s="2">
        <f ca="1"/>
        <v>9.2011221695277381E-3</v>
      </c>
      <c r="F314" s="2">
        <f ca="1"/>
        <v>4.2371443180113717E-2</v>
      </c>
      <c r="G314" s="2">
        <f ca="1"/>
        <v>4.543066101310142E-2</v>
      </c>
      <c r="H314" s="2">
        <f ca="1"/>
        <v>3.1463901374564049E-2</v>
      </c>
      <c r="I314" s="2" t="str">
        <f ca="1"/>
        <v/>
      </c>
      <c r="J314" s="2" t="str">
        <f ca="1"/>
        <v/>
      </c>
      <c r="K314" s="2">
        <f ca="1"/>
        <v>4.0237824367517251E-2</v>
      </c>
      <c r="L314" s="2">
        <f ca="1"/>
        <v>4.7334669908572685E-2</v>
      </c>
      <c r="M314" s="2">
        <f ca="1"/>
        <v>5.4773049340833921E-2</v>
      </c>
      <c r="N314" s="2">
        <f ca="1"/>
        <v>4.1411890841472253E-2</v>
      </c>
      <c r="O314" s="2" t="str">
        <f ca="1"/>
        <v/>
      </c>
      <c r="P314" s="2">
        <f ca="1"/>
        <v>5.2990375802016508E-2</v>
      </c>
      <c r="Q314" s="2">
        <f ca="1"/>
        <v>4.5315390012118241E-2</v>
      </c>
      <c r="R314" s="2">
        <f ca="1"/>
        <v>1.9947515012960229E-2</v>
      </c>
      <c r="S314" s="2">
        <f ca="1"/>
        <v>3.3603965321205166E-2</v>
      </c>
      <c r="T314" s="2">
        <f ca="1"/>
        <v>3.4003565795521447E-2</v>
      </c>
      <c r="U314" s="2">
        <f ca="1"/>
        <v>3.6207515511129162E-2</v>
      </c>
      <c r="V314" s="2">
        <f ca="1"/>
        <v>3.920985477536524E-2</v>
      </c>
      <c r="W314" s="2">
        <f ca="1"/>
        <v>3.3486511344854385E-2</v>
      </c>
      <c r="X314" s="2">
        <f ca="1"/>
        <v>3.5130072024810895E-2</v>
      </c>
      <c r="Y314" s="2">
        <f ca="1"/>
        <v>3.4005425669137397E-2</v>
      </c>
      <c r="Z314" s="2" t="str">
        <f ca="1"/>
        <v/>
      </c>
      <c r="AA314" s="2" t="str">
        <f ca="1"/>
        <v/>
      </c>
      <c r="AB314" s="2" t="str">
        <f ca="1"/>
        <v/>
      </c>
      <c r="AC314" s="2" t="str">
        <f ca="1"/>
        <v/>
      </c>
      <c r="AD314" s="2" t="str">
        <f ca="1"/>
        <v/>
      </c>
      <c r="AE314" s="2" t="str">
        <f ca="1"/>
        <v/>
      </c>
      <c r="AF314" s="2">
        <f ca="1"/>
        <v>7.9789581678209008E-3</v>
      </c>
      <c r="AG314" s="26" t="str">
        <f ca="1"/>
        <v/>
      </c>
      <c r="AH314" s="26">
        <f ca="1"/>
        <v>-2.86E-2</v>
      </c>
    </row>
    <row r="315" spans="1:34">
      <c r="A315" s="5">
        <f ca="1"/>
        <v>38383</v>
      </c>
      <c r="B315" s="2">
        <f ca="1"/>
        <v>-1.8272837011579231E-2</v>
      </c>
      <c r="C315" s="2">
        <f ca="1"/>
        <v>3.1650921742492023E-3</v>
      </c>
      <c r="D315" s="2">
        <f ca="1"/>
        <v>-2.0998214817018732E-2</v>
      </c>
      <c r="E315" s="2">
        <f ca="1"/>
        <v>6.2794738148423245E-3</v>
      </c>
      <c r="F315" s="2">
        <f ca="1"/>
        <v>-2.2989839830009153E-2</v>
      </c>
      <c r="G315" s="2">
        <f ca="1"/>
        <v>-1.3666492039268388E-2</v>
      </c>
      <c r="H315" s="2">
        <f ca="1"/>
        <v>-1.5026037899609336E-2</v>
      </c>
      <c r="I315" s="2" t="str">
        <f ca="1"/>
        <v/>
      </c>
      <c r="J315" s="2" t="str">
        <f ca="1"/>
        <v/>
      </c>
      <c r="K315" s="2">
        <f ca="1"/>
        <v>-1.7211972867056422E-2</v>
      </c>
      <c r="L315" s="2">
        <f ca="1"/>
        <v>-1.4675934725352384E-2</v>
      </c>
      <c r="M315" s="2">
        <f ca="1"/>
        <v>-2.9923664122137963E-3</v>
      </c>
      <c r="N315" s="2">
        <f ca="1"/>
        <v>-1.3898495938228886E-2</v>
      </c>
      <c r="O315" s="2" t="str">
        <f ca="1"/>
        <v/>
      </c>
      <c r="P315" s="2">
        <f ca="1"/>
        <v>-8.9766606822257785E-4</v>
      </c>
      <c r="Q315" s="2">
        <f ca="1"/>
        <v>-1.1592788065529793E-2</v>
      </c>
      <c r="R315" s="2">
        <f ca="1"/>
        <v>-2.0693900745043587E-2</v>
      </c>
      <c r="S315" s="2">
        <f ca="1"/>
        <v>-1.7420225337103259E-2</v>
      </c>
      <c r="T315" s="2">
        <f ca="1"/>
        <v>-2.4376197402009463E-2</v>
      </c>
      <c r="U315" s="2">
        <f ca="1"/>
        <v>-2.519698439927898E-2</v>
      </c>
      <c r="V315" s="2">
        <f ca="1"/>
        <v>-3.3348238811309536E-2</v>
      </c>
      <c r="W315" s="2">
        <f ca="1"/>
        <v>-1.7750647812493189E-2</v>
      </c>
      <c r="X315" s="2">
        <f ca="1"/>
        <v>-3.1322957198443621E-2</v>
      </c>
      <c r="Y315" s="2">
        <f ca="1"/>
        <v>-1.9908675799086808E-2</v>
      </c>
      <c r="Z315" s="2" t="str">
        <f ca="1"/>
        <v/>
      </c>
      <c r="AA315" s="2" t="str">
        <f ca="1"/>
        <v/>
      </c>
      <c r="AB315" s="2" t="str">
        <f ca="1"/>
        <v/>
      </c>
      <c r="AC315" s="2" t="str">
        <f ca="1"/>
        <v/>
      </c>
      <c r="AD315" s="2" t="str">
        <f ca="1"/>
        <v/>
      </c>
      <c r="AE315" s="2" t="str">
        <f ca="1"/>
        <v/>
      </c>
      <c r="AF315" s="2">
        <f ca="1"/>
        <v>4.8828125000000763E-3</v>
      </c>
      <c r="AG315" s="26" t="str">
        <f ca="1"/>
        <v/>
      </c>
      <c r="AH315" s="26">
        <f ca="1"/>
        <v>-3.7900000000000003E-2</v>
      </c>
    </row>
    <row r="316" spans="1:34">
      <c r="A316" s="5">
        <f ca="1"/>
        <v>38411</v>
      </c>
      <c r="B316" s="2">
        <f ca="1"/>
        <v>4.3437319394320724E-2</v>
      </c>
      <c r="C316" s="2">
        <f ca="1"/>
        <v>8.7801059730250444E-2</v>
      </c>
      <c r="D316" s="2">
        <f ca="1"/>
        <v>3.5109446348116122E-2</v>
      </c>
      <c r="E316" s="2">
        <f ca="1"/>
        <v>-5.903197428244961E-3</v>
      </c>
      <c r="F316" s="2">
        <f ca="1"/>
        <v>4.0251525672637171E-2</v>
      </c>
      <c r="G316" s="2">
        <f ca="1"/>
        <v>4.6506400634290145E-2</v>
      </c>
      <c r="H316" s="2">
        <f ca="1"/>
        <v>6.7721623556624352E-2</v>
      </c>
      <c r="I316" s="2" t="str">
        <f ca="1"/>
        <v/>
      </c>
      <c r="J316" s="2" t="str">
        <f ca="1"/>
        <v/>
      </c>
      <c r="K316" s="2">
        <f ca="1"/>
        <v>3.3092667417367709E-2</v>
      </c>
      <c r="L316" s="2">
        <f ca="1"/>
        <v>3.6278710886369019E-2</v>
      </c>
      <c r="M316" s="2">
        <f ca="1"/>
        <v>7.3012372902119302E-2</v>
      </c>
      <c r="N316" s="2">
        <f ca="1"/>
        <v>4.6638717149801848E-2</v>
      </c>
      <c r="O316" s="2" t="str">
        <f ca="1"/>
        <v/>
      </c>
      <c r="P316" s="2">
        <f ca="1"/>
        <v>8.1189251000571727E-2</v>
      </c>
      <c r="Q316" s="2">
        <f ca="1"/>
        <v>2.6111917034476313E-2</v>
      </c>
      <c r="R316" s="2">
        <f ca="1"/>
        <v>6.0089295788269194E-2</v>
      </c>
      <c r="S316" s="2">
        <f ca="1"/>
        <v>2.1236399258300367E-2</v>
      </c>
      <c r="T316" s="2">
        <f ca="1"/>
        <v>2.1042229501941664E-2</v>
      </c>
      <c r="U316" s="2">
        <f ca="1"/>
        <v>2.2487866997646884E-2</v>
      </c>
      <c r="V316" s="2">
        <f ca="1"/>
        <v>1.0642234816443946E-2</v>
      </c>
      <c r="W316" s="2">
        <f ca="1"/>
        <v>3.3142020198579689E-2</v>
      </c>
      <c r="X316" s="2">
        <f ca="1"/>
        <v>1.405904800160677E-2</v>
      </c>
      <c r="Y316" s="2">
        <f ca="1"/>
        <v>3.4289973909802443E-2</v>
      </c>
      <c r="Z316" s="2" t="str">
        <f ca="1"/>
        <v/>
      </c>
      <c r="AA316" s="2" t="str">
        <f ca="1"/>
        <v/>
      </c>
      <c r="AB316" s="2" t="str">
        <f ca="1"/>
        <v/>
      </c>
      <c r="AC316" s="2" t="str">
        <f ca="1"/>
        <v/>
      </c>
      <c r="AD316" s="2" t="str">
        <f ca="1"/>
        <v/>
      </c>
      <c r="AE316" s="2" t="str">
        <f ca="1"/>
        <v/>
      </c>
      <c r="AF316" s="2">
        <f ca="1"/>
        <v>-3.7130245982383253E-3</v>
      </c>
      <c r="AG316" s="26" t="str">
        <f ca="1"/>
        <v/>
      </c>
      <c r="AH316" s="26">
        <f ca="1"/>
        <v>3.7499999999999999E-2</v>
      </c>
    </row>
    <row r="317" spans="1:34">
      <c r="A317" s="5">
        <f ca="1"/>
        <v>38442</v>
      </c>
      <c r="B317" s="2">
        <f ca="1"/>
        <v>-2.473525807568101E-2</v>
      </c>
      <c r="C317" s="2">
        <f ca="1"/>
        <v>-6.5879930477909021E-2</v>
      </c>
      <c r="D317" s="2">
        <f ca="1"/>
        <v>-2.1633709635588663E-2</v>
      </c>
      <c r="E317" s="2">
        <f ca="1"/>
        <v>-5.1360091306827419E-3</v>
      </c>
      <c r="F317" s="2">
        <f ca="1"/>
        <v>-2.4079582143108215E-2</v>
      </c>
      <c r="G317" s="2">
        <f ca="1"/>
        <v>-2.536509585099295E-2</v>
      </c>
      <c r="H317" s="2">
        <f ca="1"/>
        <v>-2.2506103641552963E-2</v>
      </c>
      <c r="I317" s="2" t="str">
        <f ca="1"/>
        <v/>
      </c>
      <c r="J317" s="2" t="str">
        <f ca="1"/>
        <v/>
      </c>
      <c r="K317" s="2">
        <f ca="1"/>
        <v>-1.4182578254234973E-2</v>
      </c>
      <c r="L317" s="2">
        <f ca="1"/>
        <v>-1.7032309533306818E-2</v>
      </c>
      <c r="M317" s="2">
        <f ca="1"/>
        <v>-5.0823914449899123E-2</v>
      </c>
      <c r="N317" s="2">
        <f ca="1"/>
        <v>-1.9046134663341686E-2</v>
      </c>
      <c r="O317" s="2" t="str">
        <f ca="1"/>
        <v/>
      </c>
      <c r="P317" s="2">
        <f ca="1"/>
        <v>-5.6684545843720867E-2</v>
      </c>
      <c r="Q317" s="2">
        <f ca="1"/>
        <v>-1.0573018499022369E-2</v>
      </c>
      <c r="R317" s="2">
        <f ca="1"/>
        <v>-9.7310282960058544E-3</v>
      </c>
      <c r="S317" s="2">
        <f ca="1"/>
        <v>-9.84926344638575E-3</v>
      </c>
      <c r="T317" s="2">
        <f ca="1"/>
        <v>-1.7708632945570863E-2</v>
      </c>
      <c r="U317" s="2">
        <f ca="1"/>
        <v>-1.5829913622406558E-2</v>
      </c>
      <c r="V317" s="2">
        <f ca="1"/>
        <v>-1.8219862422514603E-2</v>
      </c>
      <c r="W317" s="2">
        <f ca="1"/>
        <v>-1.3721708454906542E-2</v>
      </c>
      <c r="X317" s="2">
        <f ca="1"/>
        <v>-1.90092486977178E-2</v>
      </c>
      <c r="Y317" s="2">
        <f ca="1"/>
        <v>-1.7130548364241906E-2</v>
      </c>
      <c r="Z317" s="2" t="str">
        <f ca="1"/>
        <v/>
      </c>
      <c r="AA317" s="2" t="str">
        <f ca="1"/>
        <v/>
      </c>
      <c r="AB317" s="2" t="str">
        <f ca="1"/>
        <v/>
      </c>
      <c r="AC317" s="2" t="str">
        <f ca="1"/>
        <v/>
      </c>
      <c r="AD317" s="2" t="str">
        <f ca="1"/>
        <v/>
      </c>
      <c r="AE317" s="2" t="str">
        <f ca="1"/>
        <v/>
      </c>
      <c r="AF317" s="2">
        <f ca="1"/>
        <v>-9.736603224842667E-3</v>
      </c>
      <c r="AG317" s="26" t="str">
        <f ca="1"/>
        <v/>
      </c>
      <c r="AH317" s="26">
        <f ca="1"/>
        <v>-2.0299999999999999E-2</v>
      </c>
    </row>
    <row r="318" spans="1:34">
      <c r="A318" s="5">
        <f ca="1"/>
        <v>38471</v>
      </c>
      <c r="B318" s="2">
        <f ca="1"/>
        <v>-2.2383390079754584E-2</v>
      </c>
      <c r="C318" s="2">
        <f ca="1"/>
        <v>-2.6653235363830304E-2</v>
      </c>
      <c r="D318" s="2">
        <f ca="1"/>
        <v>-2.138934459026888E-2</v>
      </c>
      <c r="E318" s="2">
        <f ca="1"/>
        <v>1.3533959597639015E-2</v>
      </c>
      <c r="F318" s="2">
        <f ca="1"/>
        <v>-1.8501447361523749E-2</v>
      </c>
      <c r="G318" s="2">
        <f ca="1"/>
        <v>-2.6124849247786065E-2</v>
      </c>
      <c r="H318" s="2">
        <f ca="1"/>
        <v>-3.1326403180131121E-2</v>
      </c>
      <c r="I318" s="2" t="str">
        <f ca="1"/>
        <v/>
      </c>
      <c r="J318" s="2" t="str">
        <f ca="1"/>
        <v/>
      </c>
      <c r="K318" s="2">
        <f ca="1"/>
        <v>1.040623333377225E-4</v>
      </c>
      <c r="L318" s="2">
        <f ca="1"/>
        <v>1.1903312637801073E-3</v>
      </c>
      <c r="M318" s="2">
        <f ca="1"/>
        <v>-9.7427981476654515E-3</v>
      </c>
      <c r="N318" s="2">
        <f ca="1"/>
        <v>-1.8144840954590166E-2</v>
      </c>
      <c r="O318" s="2" t="str">
        <f ca="1"/>
        <v/>
      </c>
      <c r="P318" s="2">
        <f ca="1"/>
        <v>-2.525360384410047E-2</v>
      </c>
      <c r="Q318" s="2">
        <f ca="1"/>
        <v>-2.2405642452156215E-2</v>
      </c>
      <c r="R318" s="2">
        <f ca="1"/>
        <v>-3.8968815734926068E-2</v>
      </c>
      <c r="S318" s="2">
        <f ca="1"/>
        <v>1.1850185970072816E-3</v>
      </c>
      <c r="T318" s="2">
        <f ca="1"/>
        <v>-1.8962775245486521E-2</v>
      </c>
      <c r="U318" s="2">
        <f ca="1"/>
        <v>-1.8441262123537066E-2</v>
      </c>
      <c r="V318" s="2">
        <f ca="1"/>
        <v>-1.9042849074498269E-2</v>
      </c>
      <c r="W318" s="2">
        <f ca="1"/>
        <v>-1.7910567502248027E-2</v>
      </c>
      <c r="X318" s="2">
        <f ca="1"/>
        <v>-2.4484014569000505E-2</v>
      </c>
      <c r="Y318" s="2">
        <f ca="1"/>
        <v>-1.5852534562211997E-2</v>
      </c>
      <c r="Z318" s="2" t="str">
        <f ca="1"/>
        <v/>
      </c>
      <c r="AA318" s="2" t="str">
        <f ca="1"/>
        <v/>
      </c>
      <c r="AB318" s="2" t="str">
        <f ca="1"/>
        <v/>
      </c>
      <c r="AC318" s="2" t="str">
        <f ca="1"/>
        <v/>
      </c>
      <c r="AD318" s="2" t="str">
        <f ca="1"/>
        <v/>
      </c>
      <c r="AE318" s="2" t="str">
        <f ca="1"/>
        <v/>
      </c>
      <c r="AF318" s="2">
        <f ca="1"/>
        <v>1.721334516061317E-2</v>
      </c>
      <c r="AG318" s="26" t="str">
        <f ca="1"/>
        <v/>
      </c>
      <c r="AH318" s="26">
        <f ca="1"/>
        <v>1.7299999999999999E-2</v>
      </c>
    </row>
    <row r="319" spans="1:34">
      <c r="A319" s="5">
        <f ca="1"/>
        <v>38503</v>
      </c>
      <c r="B319" s="2">
        <f ca="1"/>
        <v>1.5297827398679268E-3</v>
      </c>
      <c r="C319" s="2">
        <f ca="1"/>
        <v>3.5212039303064706E-2</v>
      </c>
      <c r="D319" s="2">
        <f ca="1"/>
        <v>1.9421494995131763E-2</v>
      </c>
      <c r="E319" s="2">
        <f ca="1"/>
        <v>1.0818747026689928E-2</v>
      </c>
      <c r="F319" s="2">
        <f ca="1"/>
        <v>3.7455486880869021E-3</v>
      </c>
      <c r="G319" s="2">
        <f ca="1"/>
        <v>-6.2615951878710479E-4</v>
      </c>
      <c r="H319" s="2">
        <f ca="1"/>
        <v>2.5003631609529311E-2</v>
      </c>
      <c r="I319" s="2" t="str">
        <f ca="1"/>
        <v/>
      </c>
      <c r="J319" s="2" t="str">
        <f ca="1"/>
        <v/>
      </c>
      <c r="K319" s="2">
        <f ca="1"/>
        <v>3.8889250178838642E-3</v>
      </c>
      <c r="L319" s="2">
        <f ca="1"/>
        <v>-7.2145588175688263E-3</v>
      </c>
      <c r="M319" s="2">
        <f ca="1"/>
        <v>2.1843431787355434E-2</v>
      </c>
      <c r="N319" s="2">
        <f ca="1"/>
        <v>2.1813709625218489E-2</v>
      </c>
      <c r="O319" s="2" t="str">
        <f ca="1"/>
        <v/>
      </c>
      <c r="P319" s="2">
        <f ca="1"/>
        <v>5.1295393547680396E-2</v>
      </c>
      <c r="Q319" s="2">
        <f ca="1"/>
        <v>2.8392393450779766E-2</v>
      </c>
      <c r="R319" s="2">
        <f ca="1"/>
        <v>3.8535891741624202E-2</v>
      </c>
      <c r="S319" s="2">
        <f ca="1"/>
        <v>2.1944413246131531E-2</v>
      </c>
      <c r="T319" s="2">
        <f ca="1"/>
        <v>3.1816567227660311E-2</v>
      </c>
      <c r="U319" s="2">
        <f ca="1"/>
        <v>3.5447380166756075E-2</v>
      </c>
      <c r="V319" s="2">
        <f ca="1"/>
        <v>4.8381927998783318E-2</v>
      </c>
      <c r="W319" s="2">
        <f ca="1"/>
        <v>2.4072907980054088E-2</v>
      </c>
      <c r="X319" s="2">
        <f ca="1"/>
        <v>5.3930719767683127E-2</v>
      </c>
      <c r="Y319" s="2">
        <f ca="1"/>
        <v>2.4911032028469761E-2</v>
      </c>
      <c r="Z319" s="2" t="str">
        <f ca="1"/>
        <v/>
      </c>
      <c r="AA319" s="2" t="str">
        <f ca="1"/>
        <v/>
      </c>
      <c r="AB319" s="2" t="str">
        <f ca="1"/>
        <v/>
      </c>
      <c r="AC319" s="2" t="str">
        <f ca="1"/>
        <v/>
      </c>
      <c r="AD319" s="2" t="str">
        <f ca="1"/>
        <v/>
      </c>
      <c r="AE319" s="2" t="str">
        <f ca="1"/>
        <v/>
      </c>
      <c r="AF319" s="2">
        <f ca="1"/>
        <v>8.2719002665947953E-3</v>
      </c>
      <c r="AG319" s="26" t="str">
        <f ca="1"/>
        <v/>
      </c>
      <c r="AH319" s="26">
        <f ca="1"/>
        <v>-4.5400000000000003E-2</v>
      </c>
    </row>
    <row r="320" spans="1:34">
      <c r="A320" s="5">
        <f ca="1"/>
        <v>38533</v>
      </c>
      <c r="B320" s="2">
        <f ca="1"/>
        <v>1.3669160077380327E-2</v>
      </c>
      <c r="C320" s="2">
        <f ca="1"/>
        <v>3.4520071039601072E-2</v>
      </c>
      <c r="D320" s="2">
        <f ca="1"/>
        <v>1.0551014115647546E-2</v>
      </c>
      <c r="E320" s="2">
        <f ca="1"/>
        <v>5.4529078117773301E-3</v>
      </c>
      <c r="F320" s="2">
        <f ca="1"/>
        <v>8.3225393822456764E-3</v>
      </c>
      <c r="G320" s="2">
        <f ca="1"/>
        <v>1.9033838451982785E-2</v>
      </c>
      <c r="H320" s="2">
        <f ca="1"/>
        <v>4.8539389537458552E-2</v>
      </c>
      <c r="I320" s="2" t="str">
        <f ca="1"/>
        <v/>
      </c>
      <c r="J320" s="2" t="str">
        <f ca="1"/>
        <v/>
      </c>
      <c r="K320" s="2">
        <f ca="1"/>
        <v>1.4808768656716353E-2</v>
      </c>
      <c r="L320" s="2">
        <f ca="1"/>
        <v>1.0805220255024891E-2</v>
      </c>
      <c r="M320" s="2">
        <f ca="1"/>
        <v>3.847373008954743E-2</v>
      </c>
      <c r="N320" s="2">
        <f ca="1"/>
        <v>4.497656151019761E-3</v>
      </c>
      <c r="O320" s="2" t="str">
        <f ca="1"/>
        <v/>
      </c>
      <c r="P320" s="2">
        <f ca="1"/>
        <v>3.1755542240862786E-2</v>
      </c>
      <c r="Q320" s="2">
        <f ca="1"/>
        <v>-1.1324634481924447E-2</v>
      </c>
      <c r="R320" s="2">
        <f ca="1"/>
        <v>3.6921372859714169E-2</v>
      </c>
      <c r="S320" s="2">
        <f ca="1"/>
        <v>5.1315867339607598E-3</v>
      </c>
      <c r="T320" s="2">
        <f ca="1"/>
        <v>1.421442096633876E-3</v>
      </c>
      <c r="U320" s="2">
        <f ca="1"/>
        <v>4.0853578722573579E-3</v>
      </c>
      <c r="V320" s="2">
        <f ca="1"/>
        <v>-3.6862324528341033E-3</v>
      </c>
      <c r="W320" s="2">
        <f ca="1"/>
        <v>1.0948341047138635E-2</v>
      </c>
      <c r="X320" s="2">
        <f ca="1"/>
        <v>-2.9225219176525507E-3</v>
      </c>
      <c r="Y320" s="2">
        <f ca="1"/>
        <v>1.3748982438038612E-2</v>
      </c>
      <c r="Z320" s="2" t="str">
        <f ca="1"/>
        <v/>
      </c>
      <c r="AA320" s="2" t="str">
        <f ca="1"/>
        <v/>
      </c>
      <c r="AB320" s="2" t="str">
        <f ca="1"/>
        <v/>
      </c>
      <c r="AC320" s="2" t="str">
        <f ca="1"/>
        <v/>
      </c>
      <c r="AD320" s="2" t="str">
        <f ca="1"/>
        <v/>
      </c>
      <c r="AE320" s="2" t="str">
        <f ca="1"/>
        <v/>
      </c>
      <c r="AF320" s="2">
        <f ca="1"/>
        <v>8.7364657507530957E-3</v>
      </c>
      <c r="AG320" s="26" t="str">
        <f ca="1"/>
        <v/>
      </c>
      <c r="AH320" s="26">
        <f ca="1"/>
        <v>0.05</v>
      </c>
    </row>
    <row r="321" spans="1:34">
      <c r="A321" s="5">
        <f ca="1"/>
        <v>38562</v>
      </c>
      <c r="B321" s="2">
        <f ca="1"/>
        <v>3.0719113988210155E-2</v>
      </c>
      <c r="C321" s="2">
        <f ca="1"/>
        <v>7.0749675981718441E-2</v>
      </c>
      <c r="D321" s="2">
        <f ca="1"/>
        <v>3.7243753844932656E-2</v>
      </c>
      <c r="E321" s="2">
        <f ca="1"/>
        <v>-9.0953845160561247E-3</v>
      </c>
      <c r="F321" s="2">
        <f ca="1"/>
        <v>3.0534701067909703E-2</v>
      </c>
      <c r="G321" s="2">
        <f ca="1"/>
        <v>3.0955511724742438E-2</v>
      </c>
      <c r="H321" s="2">
        <f ca="1"/>
        <v>4.7475037591444398E-2</v>
      </c>
      <c r="I321" s="2" t="str">
        <f ca="1"/>
        <v/>
      </c>
      <c r="J321" s="2" t="str">
        <f ca="1"/>
        <v/>
      </c>
      <c r="K321" s="2">
        <f ca="1"/>
        <v>2.598082398151343E-2</v>
      </c>
      <c r="L321" s="2">
        <f ca="1"/>
        <v>1.6155741346581043E-2</v>
      </c>
      <c r="M321" s="2">
        <f ca="1"/>
        <v>6.2325918577588006E-2</v>
      </c>
      <c r="N321" s="2">
        <f ca="1"/>
        <v>3.1484517878539488E-2</v>
      </c>
      <c r="O321" s="2" t="str">
        <f ca="1"/>
        <v/>
      </c>
      <c r="P321" s="2">
        <f ca="1"/>
        <v>6.6328334090794278E-2</v>
      </c>
      <c r="Q321" s="2">
        <f ca="1"/>
        <v>3.5372381098027213E-2</v>
      </c>
      <c r="R321" s="2">
        <f ca="1"/>
        <v>4.1496669287717211E-2</v>
      </c>
      <c r="S321" s="2">
        <f ca="1"/>
        <v>2.8151126213265619E-2</v>
      </c>
      <c r="T321" s="2">
        <f ca="1"/>
        <v>3.7186638037576068E-2</v>
      </c>
      <c r="U321" s="2">
        <f ca="1"/>
        <v>3.8892283867170273E-2</v>
      </c>
      <c r="V321" s="2">
        <f ca="1"/>
        <v>4.8875738414177555E-2</v>
      </c>
      <c r="W321" s="2">
        <f ca="1"/>
        <v>2.893199829695741E-2</v>
      </c>
      <c r="X321" s="2">
        <f ca="1"/>
        <v>4.3701799485861434E-2</v>
      </c>
      <c r="Y321" s="2">
        <f ca="1"/>
        <v>2.556663644605621E-2</v>
      </c>
      <c r="Z321" s="2" t="str">
        <f ca="1"/>
        <v/>
      </c>
      <c r="AA321" s="2" t="str">
        <f ca="1"/>
        <v/>
      </c>
      <c r="AB321" s="2" t="str">
        <f ca="1"/>
        <v/>
      </c>
      <c r="AC321" s="2" t="str">
        <f ca="1"/>
        <v/>
      </c>
      <c r="AD321" s="2" t="str">
        <f ca="1"/>
        <v/>
      </c>
      <c r="AE321" s="2" t="str">
        <f ca="1"/>
        <v/>
      </c>
      <c r="AF321" s="2">
        <f ca="1"/>
        <v>-1.0344247905409427E-2</v>
      </c>
      <c r="AG321" s="26" t="str">
        <f ca="1"/>
        <v/>
      </c>
      <c r="AH321" s="26">
        <f ca="1"/>
        <v>-1.6500000000000001E-2</v>
      </c>
    </row>
    <row r="322" spans="1:34">
      <c r="A322" s="5">
        <f ca="1"/>
        <v>38595</v>
      </c>
      <c r="B322" s="2">
        <f ca="1"/>
        <v>2.5557412143003166E-2</v>
      </c>
      <c r="C322" s="2">
        <f ca="1"/>
        <v>9.0039392234102615E-3</v>
      </c>
      <c r="D322" s="2">
        <f ca="1"/>
        <v>8.0594630532211647E-3</v>
      </c>
      <c r="E322" s="2">
        <f ca="1"/>
        <v>1.2819468651756781E-2</v>
      </c>
      <c r="F322" s="2">
        <f ca="1"/>
        <v>2.8831358123411765E-2</v>
      </c>
      <c r="G322" s="2">
        <f ca="1"/>
        <v>2.2395528865741979E-2</v>
      </c>
      <c r="H322" s="2">
        <f ca="1"/>
        <v>3.4000548395941937E-2</v>
      </c>
      <c r="I322" s="2" t="str">
        <f ca="1"/>
        <v/>
      </c>
      <c r="J322" s="2" t="str">
        <f ca="1"/>
        <v/>
      </c>
      <c r="K322" s="2">
        <f ca="1"/>
        <v>9.1336701426047526E-3</v>
      </c>
      <c r="L322" s="2">
        <f ca="1"/>
        <v>2.1383997774156348E-2</v>
      </c>
      <c r="M322" s="2">
        <f ca="1"/>
        <v>1.4725689144293673E-2</v>
      </c>
      <c r="N322" s="2">
        <f ca="1"/>
        <v>1.7424531906763264E-3</v>
      </c>
      <c r="O322" s="2" t="str">
        <f ca="1"/>
        <v/>
      </c>
      <c r="P322" s="2">
        <f ca="1"/>
        <v>1.7995406435725673E-2</v>
      </c>
      <c r="Q322" s="2">
        <f ca="1"/>
        <v>-1.4386363972054428E-2</v>
      </c>
      <c r="R322" s="2">
        <f ca="1"/>
        <v>1.7136752136752097E-2</v>
      </c>
      <c r="S322" s="2">
        <f ca="1"/>
        <v>-1.093741052511033E-2</v>
      </c>
      <c r="T322" s="2">
        <f ca="1"/>
        <v>-9.1231524498945286E-3</v>
      </c>
      <c r="U322" s="2">
        <f ca="1"/>
        <v>-8.6544844730490119E-3</v>
      </c>
      <c r="V322" s="2">
        <f ca="1"/>
        <v>-1.2880324040792715E-2</v>
      </c>
      <c r="W322" s="2">
        <f ca="1"/>
        <v>-4.3487777250556057E-3</v>
      </c>
      <c r="X322" s="2">
        <f ca="1"/>
        <v>-1.4020462296324492E-2</v>
      </c>
      <c r="Y322" s="2">
        <f ca="1"/>
        <v>-6.0113154172560549E-3</v>
      </c>
      <c r="Z322" s="2" t="str">
        <f ca="1"/>
        <v/>
      </c>
      <c r="AA322" s="2" t="str">
        <f ca="1"/>
        <v/>
      </c>
      <c r="AB322" s="2" t="str">
        <f ca="1"/>
        <v/>
      </c>
      <c r="AC322" s="2" t="str">
        <f ca="1"/>
        <v/>
      </c>
      <c r="AD322" s="2" t="str">
        <f ca="1"/>
        <v/>
      </c>
      <c r="AE322" s="2" t="str">
        <f ca="1"/>
        <v/>
      </c>
      <c r="AF322" s="2">
        <f ca="1"/>
        <v>1.181742262625164E-2</v>
      </c>
      <c r="AG322" s="26" t="str">
        <f ca="1"/>
        <v/>
      </c>
      <c r="AH322" s="26">
        <f ca="1"/>
        <v>1.21E-2</v>
      </c>
    </row>
    <row r="323" spans="1:34">
      <c r="A323" s="5">
        <f ca="1"/>
        <v>38625</v>
      </c>
      <c r="B323" s="2">
        <f ca="1"/>
        <v>4.4740228119610696E-2</v>
      </c>
      <c r="C323" s="2">
        <f ca="1"/>
        <v>9.3245219880247227E-2</v>
      </c>
      <c r="D323" s="2">
        <f ca="1"/>
        <v>3.0366869745108115E-2</v>
      </c>
      <c r="E323" s="2">
        <f ca="1"/>
        <v>-1.0309112547846456E-2</v>
      </c>
      <c r="F323" s="2">
        <f ca="1"/>
        <v>4.2255305478846678E-2</v>
      </c>
      <c r="G323" s="2">
        <f ca="1"/>
        <v>4.7158246737214124E-2</v>
      </c>
      <c r="H323" s="2">
        <f ca="1"/>
        <v>5.8605144523998835E-2</v>
      </c>
      <c r="I323" s="2" t="str">
        <f ca="1"/>
        <v/>
      </c>
      <c r="J323" s="2" t="str">
        <f ca="1"/>
        <v/>
      </c>
      <c r="K323" s="2">
        <f ca="1"/>
        <v>2.6055539114136328E-2</v>
      </c>
      <c r="L323" s="2">
        <f ca="1"/>
        <v>2.5424498320167105E-2</v>
      </c>
      <c r="M323" s="2">
        <f ca="1"/>
        <v>6.6967524997787867E-2</v>
      </c>
      <c r="N323" s="2">
        <f ca="1"/>
        <v>1.9820259692702069E-2</v>
      </c>
      <c r="O323" s="2" t="str">
        <f ca="1"/>
        <v/>
      </c>
      <c r="P323" s="2">
        <f ca="1"/>
        <v>0.10062103133068172</v>
      </c>
      <c r="Q323" s="2">
        <f ca="1"/>
        <v>-1.0190471908764556E-3</v>
      </c>
      <c r="R323" s="2">
        <f ca="1"/>
        <v>4.0488494881167576E-2</v>
      </c>
      <c r="S323" s="2">
        <f ca="1"/>
        <v>4.1685965724872331E-3</v>
      </c>
      <c r="T323" s="2">
        <f ca="1"/>
        <v>8.0990731458640171E-3</v>
      </c>
      <c r="U323" s="2">
        <f ca="1"/>
        <v>9.2928752080293966E-3</v>
      </c>
      <c r="V323" s="2">
        <f ca="1"/>
        <v>4.6056101052208715E-3</v>
      </c>
      <c r="W323" s="2">
        <f ca="1"/>
        <v>1.404041392744877E-2</v>
      </c>
      <c r="X323" s="2">
        <f ca="1"/>
        <v>5.068092426395443E-3</v>
      </c>
      <c r="Y323" s="2">
        <f ca="1"/>
        <v>1.7255177973588425E-2</v>
      </c>
      <c r="Z323" s="2" t="str">
        <f ca="1"/>
        <v/>
      </c>
      <c r="AA323" s="2" t="str">
        <f ca="1"/>
        <v/>
      </c>
      <c r="AB323" s="2" t="str">
        <f ca="1"/>
        <v/>
      </c>
      <c r="AC323" s="2" t="str">
        <f ca="1"/>
        <v/>
      </c>
      <c r="AD323" s="2" t="str">
        <f ca="1"/>
        <v/>
      </c>
      <c r="AE323" s="2" t="str">
        <f ca="1"/>
        <v/>
      </c>
      <c r="AF323" s="2">
        <f ca="1"/>
        <v>-9.3672614320412344E-3</v>
      </c>
      <c r="AG323" s="26" t="str">
        <f ca="1"/>
        <v/>
      </c>
      <c r="AH323" s="26">
        <f ca="1"/>
        <v>7.7899999999999997E-2</v>
      </c>
    </row>
    <row r="324" spans="1:34">
      <c r="A324" s="5">
        <f ca="1"/>
        <v>38656</v>
      </c>
      <c r="B324" s="2">
        <f ca="1"/>
        <v>-2.9136359710987589E-2</v>
      </c>
      <c r="C324" s="2">
        <f ca="1"/>
        <v>-6.5328713061892488E-2</v>
      </c>
      <c r="D324" s="2">
        <f ca="1"/>
        <v>-2.6748052091583974E-2</v>
      </c>
      <c r="E324" s="2">
        <f ca="1"/>
        <v>-7.9139379560264622E-3</v>
      </c>
      <c r="F324" s="2">
        <f ca="1"/>
        <v>-2.7316568700938786E-2</v>
      </c>
      <c r="G324" s="2">
        <f ca="1"/>
        <v>-3.0898566551395012E-2</v>
      </c>
      <c r="H324" s="2">
        <f ca="1"/>
        <v>-5.4299776022633542E-2</v>
      </c>
      <c r="I324" s="2" t="str">
        <f ca="1"/>
        <v/>
      </c>
      <c r="J324" s="2" t="str">
        <f ca="1"/>
        <v/>
      </c>
      <c r="K324" s="2">
        <f ca="1"/>
        <v>-3.4767873667512002E-2</v>
      </c>
      <c r="L324" s="2">
        <f ca="1"/>
        <v>-2.8589138657322516E-2</v>
      </c>
      <c r="M324" s="2">
        <f ca="1"/>
        <v>-5.6411617376304124E-2</v>
      </c>
      <c r="N324" s="2">
        <f ca="1"/>
        <v>-2.8845866124061127E-2</v>
      </c>
      <c r="O324" s="2" t="str">
        <f ca="1"/>
        <v/>
      </c>
      <c r="P324" s="2">
        <f ca="1"/>
        <v>-6.8112174813499904E-2</v>
      </c>
      <c r="Q324" s="2">
        <f ca="1"/>
        <v>-1.4266212628073373E-2</v>
      </c>
      <c r="R324" s="2">
        <f ca="1"/>
        <v>-3.0594664441273879E-2</v>
      </c>
      <c r="S324" s="2">
        <f ca="1"/>
        <v>-1.368114127569839E-2</v>
      </c>
      <c r="T324" s="2">
        <f ca="1"/>
        <v>-1.666627785431498E-2</v>
      </c>
      <c r="U324" s="2">
        <f ca="1"/>
        <v>-1.754017655280847E-2</v>
      </c>
      <c r="V324" s="2">
        <f ca="1"/>
        <v>-9.7189309175990061E-3</v>
      </c>
      <c r="W324" s="2">
        <f ca="1"/>
        <v>-2.539753873322468E-2</v>
      </c>
      <c r="X324" s="2">
        <f ca="1"/>
        <v>-8.4307338570606266E-3</v>
      </c>
      <c r="Y324" s="2">
        <f ca="1"/>
        <v>-2.6413100898045445E-2</v>
      </c>
      <c r="Z324" s="2" t="str">
        <f ca="1"/>
        <v/>
      </c>
      <c r="AA324" s="2" t="str">
        <f ca="1"/>
        <v/>
      </c>
      <c r="AB324" s="2" t="str">
        <f ca="1"/>
        <v/>
      </c>
      <c r="AC324" s="2" t="str">
        <f ca="1"/>
        <v/>
      </c>
      <c r="AD324" s="2" t="str">
        <f ca="1"/>
        <v/>
      </c>
      <c r="AE324" s="2" t="str">
        <f ca="1"/>
        <v/>
      </c>
      <c r="AF324" s="2">
        <f ca="1"/>
        <v>-9.903229291671669E-3</v>
      </c>
      <c r="AG324" s="26" t="str">
        <f ca="1"/>
        <v/>
      </c>
      <c r="AH324" s="26">
        <f ca="1"/>
        <v>-4.5000000000000005E-3</v>
      </c>
    </row>
    <row r="325" spans="1:34">
      <c r="A325" s="5">
        <f ca="1"/>
        <v>38686</v>
      </c>
      <c r="B325" s="2">
        <f ca="1"/>
        <v>2.4727137135204417E-2</v>
      </c>
      <c r="C325" s="2">
        <f ca="1"/>
        <v>8.2788379349762742E-2</v>
      </c>
      <c r="D325" s="2">
        <f ca="1"/>
        <v>3.6927335312695868E-2</v>
      </c>
      <c r="E325" s="2">
        <f ca="1"/>
        <v>4.4226044226044975E-3</v>
      </c>
      <c r="F325" s="2">
        <f ca="1"/>
        <v>1.9035061010383231E-2</v>
      </c>
      <c r="G325" s="2">
        <f ca="1"/>
        <v>3.0251766061735672E-2</v>
      </c>
      <c r="H325" s="2">
        <f ca="1"/>
        <v>3.7410991134171602E-2</v>
      </c>
      <c r="I325" s="2" t="str">
        <f ca="1"/>
        <v/>
      </c>
      <c r="J325" s="2" t="str">
        <f ca="1"/>
        <v/>
      </c>
      <c r="K325" s="2">
        <f ca="1"/>
        <v>2.3494695950993582E-2</v>
      </c>
      <c r="L325" s="2">
        <f ca="1"/>
        <v>7.683192040733912E-3</v>
      </c>
      <c r="M325" s="2">
        <f ca="1"/>
        <v>6.3211925186331105E-2</v>
      </c>
      <c r="N325" s="2">
        <f ca="1"/>
        <v>2.9240486827915604E-2</v>
      </c>
      <c r="O325" s="2" t="str">
        <f ca="1"/>
        <v/>
      </c>
      <c r="P325" s="2">
        <f ca="1"/>
        <v>7.3997641509433956E-2</v>
      </c>
      <c r="Q325" s="2">
        <f ca="1"/>
        <v>3.061938822097094E-2</v>
      </c>
      <c r="R325" s="2">
        <f ca="1"/>
        <v>3.1463045500617827E-2</v>
      </c>
      <c r="S325" s="2">
        <f ca="1"/>
        <v>3.008843645352282E-2</v>
      </c>
      <c r="T325" s="2">
        <f ca="1"/>
        <v>3.781925415766986E-2</v>
      </c>
      <c r="U325" s="2">
        <f ca="1"/>
        <v>3.7981642713129385E-2</v>
      </c>
      <c r="V325" s="2">
        <f ca="1"/>
        <v>4.3144619796241838E-2</v>
      </c>
      <c r="W325" s="2">
        <f ca="1"/>
        <v>3.2700060561681343E-2</v>
      </c>
      <c r="X325" s="2">
        <f ca="1"/>
        <v>4.1545893719806729E-2</v>
      </c>
      <c r="Y325" s="2">
        <f ca="1"/>
        <v>3.5268583830710853E-2</v>
      </c>
      <c r="Z325" s="2" t="str">
        <f ca="1"/>
        <v/>
      </c>
      <c r="AA325" s="2" t="str">
        <f ca="1"/>
        <v/>
      </c>
      <c r="AB325" s="2" t="str">
        <f ca="1"/>
        <v/>
      </c>
      <c r="AC325" s="2" t="str">
        <f ca="1"/>
        <v/>
      </c>
      <c r="AD325" s="2" t="str">
        <f ca="1"/>
        <v/>
      </c>
      <c r="AE325" s="2" t="str">
        <f ca="1"/>
        <v/>
      </c>
      <c r="AF325" s="2">
        <f ca="1"/>
        <v>3.7440767759751581E-3</v>
      </c>
      <c r="AG325" s="26" t="str">
        <f ca="1"/>
        <v/>
      </c>
      <c r="AH325" s="26">
        <f ca="1"/>
        <v>5.9299999999999999E-2</v>
      </c>
    </row>
    <row r="326" spans="1:34">
      <c r="A326" s="5">
        <f ca="1"/>
        <v>38716</v>
      </c>
      <c r="B326" s="2">
        <f ca="1"/>
        <v>4.6597763940649468E-2</v>
      </c>
      <c r="C326" s="2">
        <f ca="1"/>
        <v>5.9243689486599041E-2</v>
      </c>
      <c r="D326" s="2">
        <f ca="1"/>
        <v>2.48412061035264E-2</v>
      </c>
      <c r="E326" s="2">
        <f ca="1"/>
        <v>9.5075016307891828E-3</v>
      </c>
      <c r="F326" s="2">
        <f ca="1"/>
        <v>5.2966845050943338E-2</v>
      </c>
      <c r="G326" s="2">
        <f ca="1"/>
        <v>4.0373043943007655E-2</v>
      </c>
      <c r="H326" s="2">
        <f ca="1"/>
        <v>5.3604686091919582E-2</v>
      </c>
      <c r="I326" s="2" t="str">
        <f ca="1"/>
        <v/>
      </c>
      <c r="J326" s="2" t="str">
        <f ca="1"/>
        <v/>
      </c>
      <c r="K326" s="2">
        <f ca="1"/>
        <v>2.3940732090069784E-2</v>
      </c>
      <c r="L326" s="2">
        <f ca="1"/>
        <v>3.586151639291299E-2</v>
      </c>
      <c r="M326" s="2">
        <f ca="1"/>
        <v>4.7483632034918177E-2</v>
      </c>
      <c r="N326" s="2">
        <f ca="1"/>
        <v>7.3344509639563776E-3</v>
      </c>
      <c r="O326" s="2" t="str">
        <f ca="1"/>
        <v/>
      </c>
      <c r="P326" s="2">
        <f ca="1"/>
        <v>5.3632889207964773E-2</v>
      </c>
      <c r="Q326" s="2">
        <f ca="1"/>
        <v>-7.5455538820472139E-3</v>
      </c>
      <c r="R326" s="2">
        <f ca="1"/>
        <v>1.7486235815149364E-2</v>
      </c>
      <c r="S326" s="2">
        <f ca="1"/>
        <v>5.796513984596751E-3</v>
      </c>
      <c r="T326" s="2">
        <f ca="1"/>
        <v>3.0040539174553841E-4</v>
      </c>
      <c r="U326" s="2">
        <f ca="1"/>
        <v>1.4184836847421817E-3</v>
      </c>
      <c r="V326" s="2">
        <f ca="1"/>
        <v>-3.1361313303391483E-3</v>
      </c>
      <c r="W326" s="2">
        <f ca="1"/>
        <v>6.1411135445670149E-3</v>
      </c>
      <c r="X326" s="2">
        <f ca="1"/>
        <v>-4.7186296094823294E-3</v>
      </c>
      <c r="Y326" s="2">
        <f ca="1"/>
        <v>6.9133308884034607E-3</v>
      </c>
      <c r="Z326" s="2" t="str">
        <f ca="1"/>
        <v/>
      </c>
      <c r="AA326" s="2" t="str">
        <f ca="1"/>
        <v/>
      </c>
      <c r="AB326" s="2" t="str">
        <f ca="1"/>
        <v/>
      </c>
      <c r="AC326" s="2" t="str">
        <f ca="1"/>
        <v/>
      </c>
      <c r="AD326" s="2" t="str">
        <f ca="1"/>
        <v/>
      </c>
      <c r="AE326" s="2" t="str">
        <f ca="1"/>
        <v/>
      </c>
      <c r="AF326" s="2">
        <f ca="1"/>
        <v>1.1354996934579144E-2</v>
      </c>
      <c r="AG326" s="26" t="str">
        <f ca="1"/>
        <v/>
      </c>
      <c r="AH326" s="26">
        <f ca="1"/>
        <v>4.9100000000000005E-2</v>
      </c>
    </row>
    <row r="327" spans="1:34">
      <c r="A327" s="5">
        <f ca="1"/>
        <v>38748</v>
      </c>
      <c r="B327" s="2">
        <f ca="1"/>
        <v>6.1468918856453197E-2</v>
      </c>
      <c r="C327" s="2">
        <f ca="1"/>
        <v>0.11230032952923108</v>
      </c>
      <c r="D327" s="2">
        <f ca="1"/>
        <v>4.9448788046091624E-2</v>
      </c>
      <c r="E327" s="2">
        <f ca="1"/>
        <v>5.6540070755992209E-5</v>
      </c>
      <c r="F327" s="2">
        <f ca="1"/>
        <v>6.1681694449964714E-2</v>
      </c>
      <c r="G327" s="2">
        <f ca="1"/>
        <v>6.1251959629963368E-2</v>
      </c>
      <c r="H327" s="2">
        <f ca="1"/>
        <v>8.2780937718285291E-2</v>
      </c>
      <c r="I327" s="2" t="str">
        <f ca="1"/>
        <v/>
      </c>
      <c r="J327" s="2" t="str">
        <f ca="1"/>
        <v/>
      </c>
      <c r="K327" s="2">
        <f ca="1"/>
        <v>4.1641420441719784E-2</v>
      </c>
      <c r="L327" s="2">
        <f ca="1"/>
        <v>4.1182194720295558E-2</v>
      </c>
      <c r="M327" s="2">
        <f ca="1"/>
        <v>8.5753519792916288E-2</v>
      </c>
      <c r="N327" s="2">
        <f ca="1"/>
        <v>4.8352105560343493E-2</v>
      </c>
      <c r="O327" s="2" t="str">
        <f ca="1"/>
        <v/>
      </c>
      <c r="P327" s="2">
        <f ca="1"/>
        <v>0.12310867953265586</v>
      </c>
      <c r="Q327" s="2">
        <f ca="1"/>
        <v>1.562244275490619E-2</v>
      </c>
      <c r="R327" s="2">
        <f ca="1"/>
        <v>6.5633847537903856E-2</v>
      </c>
      <c r="S327" s="2">
        <f ca="1"/>
        <v>2.2399548623705284E-2</v>
      </c>
      <c r="T327" s="2">
        <f ca="1"/>
        <v>2.6484363338062381E-2</v>
      </c>
      <c r="U327" s="2">
        <f ca="1"/>
        <v>2.8037109611569626E-2</v>
      </c>
      <c r="V327" s="2">
        <f ca="1"/>
        <v>1.7557870819901358E-2</v>
      </c>
      <c r="W327" s="2">
        <f ca="1"/>
        <v>3.8839153867429678E-2</v>
      </c>
      <c r="X327" s="2">
        <f ca="1"/>
        <v>2.1869158878504626E-2</v>
      </c>
      <c r="Y327" s="2">
        <f ca="1"/>
        <v>3.0260626202553837E-2</v>
      </c>
      <c r="Z327" s="2" t="str">
        <f ca="1"/>
        <v/>
      </c>
      <c r="AA327" s="2" t="str">
        <f ca="1"/>
        <v/>
      </c>
      <c r="AB327" s="2" t="str">
        <f ca="1"/>
        <v/>
      </c>
      <c r="AC327" s="2" t="str">
        <f ca="1"/>
        <v/>
      </c>
      <c r="AD327" s="2" t="str">
        <f ca="1"/>
        <v/>
      </c>
      <c r="AE327" s="2" t="str">
        <f ca="1"/>
        <v/>
      </c>
      <c r="AF327" s="2">
        <f ca="1"/>
        <v>-5.9648076349539249E-4</v>
      </c>
      <c r="AG327" s="26" t="str">
        <f ca="1"/>
        <v/>
      </c>
      <c r="AH327" s="26">
        <f ca="1"/>
        <v>0.1</v>
      </c>
    </row>
    <row r="328" spans="1:34">
      <c r="A328" s="5">
        <f ca="1"/>
        <v>38776</v>
      </c>
      <c r="B328" s="2">
        <f ca="1"/>
        <v>-2.0482012813030329E-3</v>
      </c>
      <c r="C328" s="2">
        <f ca="1"/>
        <v>-9.5255008960433961E-4</v>
      </c>
      <c r="D328" s="2">
        <f ca="1"/>
        <v>-1.0627826662480088E-3</v>
      </c>
      <c r="E328" s="2">
        <f ca="1"/>
        <v>3.3195221826463291E-3</v>
      </c>
      <c r="F328" s="2">
        <f ca="1"/>
        <v>-1.1240904826889856E-2</v>
      </c>
      <c r="G328" s="2">
        <f ca="1"/>
        <v>7.0746515834161465E-3</v>
      </c>
      <c r="H328" s="2">
        <f ca="1"/>
        <v>-2.2091737321607213E-2</v>
      </c>
      <c r="I328" s="2" t="str">
        <f ca="1"/>
        <v/>
      </c>
      <c r="J328" s="2" t="str">
        <f ca="1"/>
        <v/>
      </c>
      <c r="K328" s="2">
        <f ca="1"/>
        <v>5.8738993567224521E-3</v>
      </c>
      <c r="L328" s="2">
        <f ca="1"/>
        <v>1.4270822100003558E-2</v>
      </c>
      <c r="M328" s="2">
        <f ca="1"/>
        <v>5.1752460422452122E-3</v>
      </c>
      <c r="N328" s="2">
        <f ca="1"/>
        <v>-1.2572287107381798E-2</v>
      </c>
      <c r="O328" s="2" t="str">
        <f ca="1"/>
        <v/>
      </c>
      <c r="P328" s="2">
        <f ca="1"/>
        <v>-2.4802826451589639E-3</v>
      </c>
      <c r="Q328" s="2">
        <f ca="1"/>
        <v>8.3503025153445793E-4</v>
      </c>
      <c r="R328" s="2">
        <f ca="1"/>
        <v>-3.7630203483680409E-2</v>
      </c>
      <c r="S328" s="2">
        <f ca="1"/>
        <v>4.0837564252150958E-3</v>
      </c>
      <c r="T328" s="2">
        <f ca="1"/>
        <v>2.7035133420910576E-3</v>
      </c>
      <c r="U328" s="2">
        <f ca="1"/>
        <v>2.2366232160443474E-3</v>
      </c>
      <c r="V328" s="2">
        <f ca="1"/>
        <v>-1.5887973090640095E-3</v>
      </c>
      <c r="W328" s="2">
        <f ca="1"/>
        <v>6.1040730924395419E-3</v>
      </c>
      <c r="X328" s="2">
        <f ca="1"/>
        <v>-2.7437351381011826E-3</v>
      </c>
      <c r="Y328" s="2">
        <f ca="1"/>
        <v>8.8285229202037258E-3</v>
      </c>
      <c r="Z328" s="2" t="str">
        <f ca="1"/>
        <v/>
      </c>
      <c r="AA328" s="2" t="str">
        <f ca="1"/>
        <v/>
      </c>
      <c r="AB328" s="2" t="str">
        <f ca="1"/>
        <v/>
      </c>
      <c r="AC328" s="2" t="str">
        <f ca="1"/>
        <v/>
      </c>
      <c r="AD328" s="2" t="str">
        <f ca="1"/>
        <v/>
      </c>
      <c r="AE328" s="2" t="str">
        <f ca="1"/>
        <v/>
      </c>
      <c r="AF328" s="2">
        <f ca="1"/>
        <v>1.6148520331231654E-3</v>
      </c>
      <c r="AG328" s="26" t="str">
        <f ca="1"/>
        <v/>
      </c>
      <c r="AH328" s="26">
        <f ca="1"/>
        <v>-1.21E-2</v>
      </c>
    </row>
    <row r="329" spans="1:34">
      <c r="A329" s="5">
        <f ca="1"/>
        <v>38807</v>
      </c>
      <c r="B329" s="2">
        <f ca="1"/>
        <v>3.3448773286080091E-2</v>
      </c>
      <c r="C329" s="2">
        <f ca="1"/>
        <v>8.9608920491274623E-3</v>
      </c>
      <c r="D329" s="2">
        <f ca="1"/>
        <v>2.146514250280844E-2</v>
      </c>
      <c r="E329" s="2">
        <f ca="1"/>
        <v>-9.8129185986605277E-3</v>
      </c>
      <c r="F329" s="2">
        <f ca="1"/>
        <v>3.9202927518213464E-2</v>
      </c>
      <c r="G329" s="2">
        <f ca="1"/>
        <v>2.7825320134636611E-2</v>
      </c>
      <c r="H329" s="2">
        <f ca="1"/>
        <v>3.0453162443792252E-2</v>
      </c>
      <c r="I329" s="2" t="str">
        <f ca="1"/>
        <v/>
      </c>
      <c r="J329" s="2" t="str">
        <f ca="1"/>
        <v/>
      </c>
      <c r="K329" s="2">
        <f ca="1"/>
        <v>1.5647855223322186E-2</v>
      </c>
      <c r="L329" s="2">
        <f ca="1"/>
        <v>2.4123428787449153E-2</v>
      </c>
      <c r="M329" s="2">
        <f ca="1"/>
        <v>1.2885964277966547E-2</v>
      </c>
      <c r="N329" s="2">
        <f ca="1"/>
        <v>2.3067537500897226E-2</v>
      </c>
      <c r="O329" s="2" t="str">
        <f ca="1"/>
        <v/>
      </c>
      <c r="P329" s="2">
        <f ca="1"/>
        <v>3.5507933384612674E-2</v>
      </c>
      <c r="Q329" s="2">
        <f ca="1"/>
        <v>6.6746684621916035E-3</v>
      </c>
      <c r="R329" s="2">
        <f ca="1"/>
        <v>1.811238970019103E-2</v>
      </c>
      <c r="S329" s="2">
        <f ca="1"/>
        <v>6.6581869003313537E-3</v>
      </c>
      <c r="T329" s="2">
        <f ca="1"/>
        <v>1.2437905595114759E-2</v>
      </c>
      <c r="U329" s="2">
        <f ca="1"/>
        <v>1.4156853614548146E-2</v>
      </c>
      <c r="V329" s="2">
        <f ca="1"/>
        <v>1.4763965315792051E-2</v>
      </c>
      <c r="W329" s="2">
        <f ca="1"/>
        <v>1.3546930598331544E-2</v>
      </c>
      <c r="X329" s="2">
        <f ca="1"/>
        <v>1.4647762050344919E-2</v>
      </c>
      <c r="Y329" s="2">
        <f ca="1"/>
        <v>1.5823129446181465E-2</v>
      </c>
      <c r="Z329" s="2" t="str">
        <f ca="1"/>
        <v/>
      </c>
      <c r="AA329" s="2" t="str">
        <f ca="1"/>
        <v/>
      </c>
      <c r="AB329" s="2" t="str">
        <f ca="1"/>
        <v/>
      </c>
      <c r="AC329" s="2" t="str">
        <f ca="1"/>
        <v/>
      </c>
      <c r="AD329" s="2" t="str">
        <f ca="1"/>
        <v/>
      </c>
      <c r="AE329" s="2" t="str">
        <f ca="1"/>
        <v/>
      </c>
      <c r="AF329" s="2">
        <f ca="1"/>
        <v>-8.6755777250666372E-3</v>
      </c>
      <c r="AG329" s="26" t="str">
        <f ca="1"/>
        <v/>
      </c>
      <c r="AH329" s="26">
        <f ca="1"/>
        <v>3.1699999999999999E-2</v>
      </c>
    </row>
    <row r="330" spans="1:34">
      <c r="A330" s="5">
        <f ca="1"/>
        <v>38835</v>
      </c>
      <c r="B330" s="2">
        <f ca="1"/>
        <v>4.8499042165332566E-2</v>
      </c>
      <c r="C330" s="2">
        <f ca="1"/>
        <v>7.1362788202035649E-2</v>
      </c>
      <c r="D330" s="2">
        <f ca="1"/>
        <v>3.3791327017469376E-2</v>
      </c>
      <c r="E330" s="2">
        <f ca="1"/>
        <v>-1.8129344335596266E-3</v>
      </c>
      <c r="F330" s="2">
        <f ca="1"/>
        <v>4.5930916796655612E-2</v>
      </c>
      <c r="G330" s="2">
        <f ca="1"/>
        <v>5.1034822780481257E-2</v>
      </c>
      <c r="H330" s="2">
        <f ca="1"/>
        <v>4.1233342043376101E-2</v>
      </c>
      <c r="I330" s="2" t="str">
        <f ca="1"/>
        <v/>
      </c>
      <c r="J330" s="2" t="str">
        <f ca="1"/>
        <v/>
      </c>
      <c r="K330" s="2">
        <f ca="1"/>
        <v>3.305757443815522E-2</v>
      </c>
      <c r="L330" s="2">
        <f ca="1"/>
        <v>4.9625100934363807E-2</v>
      </c>
      <c r="M330" s="2">
        <f ca="1"/>
        <v>4.689017076931868E-2</v>
      </c>
      <c r="N330" s="2">
        <f ca="1"/>
        <v>2.6125266584352907E-2</v>
      </c>
      <c r="O330" s="2" t="str">
        <f ca="1"/>
        <v/>
      </c>
      <c r="P330" s="2">
        <f ca="1"/>
        <v>6.38301547816474E-2</v>
      </c>
      <c r="Q330" s="2">
        <f ca="1"/>
        <v>-3.3006659493412943E-3</v>
      </c>
      <c r="R330" s="2">
        <f ca="1"/>
        <v>1.1809427268119533E-2</v>
      </c>
      <c r="S330" s="2">
        <f ca="1"/>
        <v>6.0525700023399045E-3</v>
      </c>
      <c r="T330" s="2">
        <f ca="1"/>
        <v>1.3424612811158462E-2</v>
      </c>
      <c r="U330" s="2">
        <f ca="1"/>
        <v>1.1999925298307693E-2</v>
      </c>
      <c r="V330" s="2">
        <f ca="1"/>
        <v>-1.3586124728630655E-3</v>
      </c>
      <c r="W330" s="2">
        <f ca="1"/>
        <v>2.5411515501068675E-2</v>
      </c>
      <c r="X330" s="2">
        <f ca="1"/>
        <v>0</v>
      </c>
      <c r="Y330" s="2">
        <f ca="1"/>
        <v>2.4337389564927415E-2</v>
      </c>
      <c r="Z330" s="2" t="str">
        <f ca="1"/>
        <v/>
      </c>
      <c r="AA330" s="2" t="str">
        <f ca="1"/>
        <v/>
      </c>
      <c r="AB330" s="2" t="str">
        <f ca="1"/>
        <v/>
      </c>
      <c r="AC330" s="2" t="str">
        <f ca="1"/>
        <v/>
      </c>
      <c r="AD330" s="2" t="str">
        <f ca="1"/>
        <v/>
      </c>
      <c r="AE330" s="2" t="str">
        <f ca="1"/>
        <v/>
      </c>
      <c r="AF330" s="2">
        <f ca="1"/>
        <v>-1.4873751546683326E-3</v>
      </c>
      <c r="AG330" s="26" t="str">
        <f ca="1"/>
        <v/>
      </c>
      <c r="AH330" s="26">
        <f ca="1"/>
        <v>0.125</v>
      </c>
    </row>
    <row r="331" spans="1:34">
      <c r="A331" s="5">
        <f ca="1"/>
        <v>38868</v>
      </c>
      <c r="B331" s="2">
        <f ca="1"/>
        <v>-3.7631783499898319E-2</v>
      </c>
      <c r="C331" s="2">
        <f ca="1"/>
        <v>-0.10456719988040057</v>
      </c>
      <c r="D331" s="2">
        <f ca="1"/>
        <v>-3.8579027279217255E-2</v>
      </c>
      <c r="E331" s="2">
        <f ca="1"/>
        <v>-1.0669316349301572E-3</v>
      </c>
      <c r="F331" s="2">
        <f ca="1"/>
        <v>-4.1360926996738691E-2</v>
      </c>
      <c r="G331" s="2">
        <f ca="1"/>
        <v>-3.396775684494456E-2</v>
      </c>
      <c r="H331" s="2">
        <f ca="1"/>
        <v>-6.2888978116844005E-2</v>
      </c>
      <c r="I331" s="2" t="str">
        <f ca="1"/>
        <v/>
      </c>
      <c r="J331" s="2" t="str">
        <f ca="1"/>
        <v/>
      </c>
      <c r="K331" s="2">
        <f ca="1"/>
        <v>-2.684476721566597E-2</v>
      </c>
      <c r="L331" s="2">
        <f ca="1"/>
        <v>-2.193599437313162E-2</v>
      </c>
      <c r="M331" s="2">
        <f ca="1"/>
        <v>-9.0343698854337157E-2</v>
      </c>
      <c r="N331" s="2">
        <f ca="1"/>
        <v>-3.6850165449722486E-2</v>
      </c>
      <c r="O331" s="2" t="str">
        <f ca="1"/>
        <v/>
      </c>
      <c r="P331" s="2">
        <f ca="1"/>
        <v>-0.10676647776171995</v>
      </c>
      <c r="Q331" s="2">
        <f ca="1"/>
        <v>-2.8360103286796001E-2</v>
      </c>
      <c r="R331" s="2">
        <f ca="1"/>
        <v>-4.1489255121975648E-2</v>
      </c>
      <c r="S331" s="2">
        <f ca="1"/>
        <v>-1.897880390119842E-2</v>
      </c>
      <c r="T331" s="2">
        <f ca="1"/>
        <v>-2.8779836575802235E-2</v>
      </c>
      <c r="U331" s="2">
        <f ca="1"/>
        <v>-2.9528589982545161E-2</v>
      </c>
      <c r="V331" s="2">
        <f ca="1"/>
        <v>-3.3895987230059293E-2</v>
      </c>
      <c r="W331" s="2">
        <f ca="1"/>
        <v>-2.5259369227847838E-2</v>
      </c>
      <c r="X331" s="2">
        <f ca="1"/>
        <v>-3.4076490846474655E-2</v>
      </c>
      <c r="Y331" s="2">
        <f ca="1"/>
        <v>-2.4084621643612646E-2</v>
      </c>
      <c r="Z331" s="2" t="str">
        <f ca="1"/>
        <v/>
      </c>
      <c r="AA331" s="2" t="str">
        <f ca="1"/>
        <v/>
      </c>
      <c r="AB331" s="2" t="str">
        <f ca="1"/>
        <v/>
      </c>
      <c r="AC331" s="2" t="str">
        <f ca="1"/>
        <v/>
      </c>
      <c r="AD331" s="2" t="str">
        <f ca="1"/>
        <v/>
      </c>
      <c r="AE331" s="2" t="str">
        <f ca="1"/>
        <v/>
      </c>
      <c r="AF331" s="2">
        <f ca="1"/>
        <v>-1.9747951929420743E-3</v>
      </c>
      <c r="AG331" s="26" t="str">
        <f ca="1"/>
        <v/>
      </c>
      <c r="AH331" s="26">
        <f ca="1"/>
        <v>-1.83E-2</v>
      </c>
    </row>
    <row r="332" spans="1:34">
      <c r="A332" s="5">
        <f ca="1"/>
        <v>38898</v>
      </c>
      <c r="B332" s="2">
        <f ca="1"/>
        <v>3.6680627462966483E-4</v>
      </c>
      <c r="C332" s="2">
        <f ca="1"/>
        <v>-2.1203596263493843E-3</v>
      </c>
      <c r="D332" s="2">
        <f ca="1"/>
        <v>-2.5100349104023071E-5</v>
      </c>
      <c r="E332" s="2">
        <f ca="1"/>
        <v>2.1198359573096908E-3</v>
      </c>
      <c r="F332" s="2">
        <f ca="1"/>
        <v>1.5003627320206523E-3</v>
      </c>
      <c r="G332" s="2">
        <f ca="1"/>
        <v>-7.6170345456315553E-4</v>
      </c>
      <c r="H332" s="2">
        <f ca="1"/>
        <v>-1.4059236248728886E-3</v>
      </c>
      <c r="I332" s="2" t="str">
        <f ca="1"/>
        <v/>
      </c>
      <c r="J332" s="2" t="str">
        <f ca="1"/>
        <v/>
      </c>
      <c r="K332" s="2">
        <f ca="1"/>
        <v>5.1528073916133465E-3</v>
      </c>
      <c r="L332" s="2">
        <f ca="1"/>
        <v>8.2812710683626278E-3</v>
      </c>
      <c r="M332" s="2">
        <f ca="1"/>
        <v>-1.5038383111431099E-2</v>
      </c>
      <c r="N332" s="2">
        <f ca="1"/>
        <v>7.2403072161728909E-3</v>
      </c>
      <c r="O332" s="2" t="str">
        <f ca="1"/>
        <v/>
      </c>
      <c r="P332" s="2">
        <f ca="1"/>
        <v>1.0543920884234937E-2</v>
      </c>
      <c r="Q332" s="2">
        <f ca="1"/>
        <v>5.2249898653214093E-3</v>
      </c>
      <c r="R332" s="2">
        <f ca="1"/>
        <v>9.2109904754439798E-3</v>
      </c>
      <c r="S332" s="2">
        <f ca="1"/>
        <v>8.6851380612936666E-3</v>
      </c>
      <c r="T332" s="2">
        <f ca="1"/>
        <v>1.3258310403849675E-3</v>
      </c>
      <c r="U332" s="2">
        <f ca="1"/>
        <v>1.3061665552512468E-3</v>
      </c>
      <c r="V332" s="2">
        <f ca="1"/>
        <v>-3.9463568804988924E-3</v>
      </c>
      <c r="W332" s="2">
        <f ca="1"/>
        <v>6.3962077306448989E-3</v>
      </c>
      <c r="X332" s="2">
        <f ca="1"/>
        <v>-3.8320037235430766E-3</v>
      </c>
      <c r="Y332" s="2">
        <f ca="1"/>
        <v>9.0199886093758983E-3</v>
      </c>
      <c r="Z332" s="2" t="str">
        <f ca="1"/>
        <v/>
      </c>
      <c r="AA332" s="2" t="str">
        <f ca="1"/>
        <v/>
      </c>
      <c r="AB332" s="2" t="str">
        <f ca="1"/>
        <v/>
      </c>
      <c r="AC332" s="2" t="str">
        <f ca="1"/>
        <v/>
      </c>
      <c r="AD332" s="2" t="str">
        <f ca="1"/>
        <v/>
      </c>
      <c r="AE332" s="2" t="str">
        <f ca="1"/>
        <v/>
      </c>
      <c r="AF332" s="2">
        <f ca="1"/>
        <v>-1.6078078414489317E-3</v>
      </c>
      <c r="AG332" s="26" t="str">
        <f ca="1"/>
        <v/>
      </c>
      <c r="AH332" s="26">
        <f ca="1"/>
        <v>-4.1200000000000001E-2</v>
      </c>
    </row>
    <row r="333" spans="1:34">
      <c r="A333" s="5">
        <f ca="1"/>
        <v>38929</v>
      </c>
      <c r="B333" s="2">
        <f ca="1"/>
        <v>1.0013622096698063E-2</v>
      </c>
      <c r="C333" s="2">
        <f ca="1"/>
        <v>1.4706743518743282E-2</v>
      </c>
      <c r="D333" s="2">
        <f ca="1"/>
        <v>7.0722008747690643E-3</v>
      </c>
      <c r="E333" s="2">
        <f ca="1"/>
        <v>1.3521979318368673E-2</v>
      </c>
      <c r="F333" s="2">
        <f ca="1"/>
        <v>4.7141473358781371E-3</v>
      </c>
      <c r="G333" s="2">
        <f ca="1"/>
        <v>1.5273076364190702E-2</v>
      </c>
      <c r="H333" s="2">
        <f ca="1"/>
        <v>2.1587846444709822E-3</v>
      </c>
      <c r="I333" s="2" t="str">
        <f ca="1"/>
        <v/>
      </c>
      <c r="J333" s="2" t="str">
        <f ca="1"/>
        <v/>
      </c>
      <c r="K333" s="2">
        <f ca="1"/>
        <v>2.1135319073713982E-2</v>
      </c>
      <c r="L333" s="2">
        <f ca="1"/>
        <v>2.1887154112756716E-2</v>
      </c>
      <c r="M333" s="2">
        <f ca="1"/>
        <v>1.902790251624983E-2</v>
      </c>
      <c r="N333" s="2">
        <f ca="1"/>
        <v>1.0768298355156502E-2</v>
      </c>
      <c r="O333" s="2" t="str">
        <f ca="1"/>
        <v/>
      </c>
      <c r="P333" s="2">
        <f ca="1"/>
        <v>1.7647693746851944E-2</v>
      </c>
      <c r="Q333" s="2">
        <f ca="1"/>
        <v>5.8998371943660968E-3</v>
      </c>
      <c r="R333" s="2">
        <f ca="1"/>
        <v>-3.2623893117912126E-2</v>
      </c>
      <c r="S333" s="2">
        <f ca="1"/>
        <v>1.9531953900514792E-2</v>
      </c>
      <c r="T333" s="2">
        <f ca="1"/>
        <v>6.1716882474083107E-3</v>
      </c>
      <c r="U333" s="2">
        <f ca="1"/>
        <v>2.1950597403975723E-3</v>
      </c>
      <c r="V333" s="2">
        <f ca="1"/>
        <v>-1.9045495530813784E-2</v>
      </c>
      <c r="W333" s="2">
        <f ca="1"/>
        <v>2.4303330434667814E-2</v>
      </c>
      <c r="X333" s="2">
        <f ca="1"/>
        <v>-2.2276760430432391E-2</v>
      </c>
      <c r="Y333" s="2">
        <f ca="1"/>
        <v>2.5257560651379379E-2</v>
      </c>
      <c r="Z333" s="2" t="str">
        <f ca="1"/>
        <v/>
      </c>
      <c r="AA333" s="2" t="str">
        <f ca="1"/>
        <v/>
      </c>
      <c r="AB333" s="2" t="str">
        <f ca="1"/>
        <v/>
      </c>
      <c r="AC333" s="2" t="str">
        <f ca="1"/>
        <v/>
      </c>
      <c r="AD333" s="2" t="str">
        <f ca="1"/>
        <v/>
      </c>
      <c r="AE333" s="2" t="str">
        <f ca="1"/>
        <v/>
      </c>
      <c r="AF333" s="2">
        <f ca="1"/>
        <v>1.3880280362464343E-2</v>
      </c>
      <c r="AG333" s="26" t="str">
        <f ca="1"/>
        <v/>
      </c>
      <c r="AH333" s="26">
        <f ca="1"/>
        <v>2.9500000000000002E-2</v>
      </c>
    </row>
    <row r="334" spans="1:34">
      <c r="A334" s="5">
        <f ca="1"/>
        <v>38960</v>
      </c>
      <c r="B334" s="2">
        <f ca="1"/>
        <v>2.7768524619401231E-2</v>
      </c>
      <c r="C334" s="2">
        <f ca="1"/>
        <v>2.5977987551011987E-2</v>
      </c>
      <c r="D334" s="2">
        <f ca="1"/>
        <v>2.6430574306781644E-2</v>
      </c>
      <c r="E334" s="2">
        <f ca="1"/>
        <v>1.5308293129329738E-2</v>
      </c>
      <c r="F334" s="2">
        <f ca="1"/>
        <v>2.4226470363462212E-2</v>
      </c>
      <c r="G334" s="2">
        <f ca="1"/>
        <v>3.1244537514444424E-2</v>
      </c>
      <c r="H334" s="2">
        <f ca="1"/>
        <v>1.0784051378110863E-2</v>
      </c>
      <c r="I334" s="2" t="str">
        <f ca="1"/>
        <v/>
      </c>
      <c r="J334" s="2" t="str">
        <f ca="1"/>
        <v/>
      </c>
      <c r="K334" s="2">
        <f ca="1"/>
        <v>2.5609954016770315E-2</v>
      </c>
      <c r="L334" s="2">
        <f ca="1"/>
        <v>2.9401179973172431E-2</v>
      </c>
      <c r="M334" s="2">
        <f ca="1"/>
        <v>2.6455342604902735E-2</v>
      </c>
      <c r="N334" s="2">
        <f ca="1"/>
        <v>2.059598678063947E-2</v>
      </c>
      <c r="O334" s="2" t="str">
        <f ca="1"/>
        <v/>
      </c>
      <c r="P334" s="2">
        <f ca="1"/>
        <v>2.0470575757039946E-2</v>
      </c>
      <c r="Q334" s="2">
        <f ca="1"/>
        <v>2.6697947910789086E-2</v>
      </c>
      <c r="R334" s="2">
        <f ca="1"/>
        <v>-7.7217493710186585E-3</v>
      </c>
      <c r="S334" s="2">
        <f ca="1"/>
        <v>1.8942595865672859E-2</v>
      </c>
      <c r="T334" s="2">
        <f ca="1"/>
        <v>2.3794624104910806E-2</v>
      </c>
      <c r="U334" s="2">
        <f ca="1"/>
        <v>2.3971236607004249E-2</v>
      </c>
      <c r="V334" s="2">
        <f ca="1"/>
        <v>3.119981016847544E-2</v>
      </c>
      <c r="W334" s="2">
        <f ca="1"/>
        <v>1.6738821696903071E-2</v>
      </c>
      <c r="X334" s="2">
        <f ca="1"/>
        <v>3.0700907511102764E-2</v>
      </c>
      <c r="Y334" s="2">
        <f ca="1"/>
        <v>1.669367909238233E-2</v>
      </c>
      <c r="Z334" s="2" t="str">
        <f ca="1"/>
        <v/>
      </c>
      <c r="AA334" s="2" t="str">
        <f ca="1"/>
        <v/>
      </c>
      <c r="AB334" s="2" t="str">
        <f ca="1"/>
        <v/>
      </c>
      <c r="AC334" s="2" t="str">
        <f ca="1"/>
        <v/>
      </c>
      <c r="AD334" s="2" t="str">
        <f ca="1"/>
        <v/>
      </c>
      <c r="AE334" s="2" t="str">
        <f ca="1"/>
        <v/>
      </c>
      <c r="AF334" s="2">
        <f ca="1"/>
        <v>1.589684771574747E-2</v>
      </c>
      <c r="AG334" s="26" t="str">
        <f ca="1"/>
        <v/>
      </c>
      <c r="AH334" s="26">
        <f ca="1"/>
        <v>-9.4999999999999998E-3</v>
      </c>
    </row>
    <row r="335" spans="1:34">
      <c r="A335" s="5">
        <f ca="1"/>
        <v>38989</v>
      </c>
      <c r="B335" s="2">
        <f ca="1"/>
        <v>1.7401099093909916E-3</v>
      </c>
      <c r="C335" s="2">
        <f ca="1"/>
        <v>8.4132876910467409E-3</v>
      </c>
      <c r="D335" s="2">
        <f ca="1"/>
        <v>1.19269489553296E-2</v>
      </c>
      <c r="E335" s="2">
        <f ca="1"/>
        <v>8.783997469955826E-3</v>
      </c>
      <c r="F335" s="2">
        <f ca="1"/>
        <v>-5.4153422808720765E-3</v>
      </c>
      <c r="G335" s="2">
        <f ca="1"/>
        <v>8.6947321958778002E-3</v>
      </c>
      <c r="H335" s="2">
        <f ca="1"/>
        <v>1.8796494850818826E-3</v>
      </c>
      <c r="I335" s="2" t="str">
        <f ca="1"/>
        <v/>
      </c>
      <c r="J335" s="2" t="str">
        <f ca="1"/>
        <v/>
      </c>
      <c r="K335" s="2">
        <f ca="1"/>
        <v>1.5117309477593089E-2</v>
      </c>
      <c r="L335" s="2">
        <f ca="1"/>
        <v>8.1679785577320734E-3</v>
      </c>
      <c r="M335" s="2">
        <f ca="1"/>
        <v>2.0709025817155193E-2</v>
      </c>
      <c r="N335" s="2">
        <f ca="1"/>
        <v>2.3227216832901292E-3</v>
      </c>
      <c r="O335" s="2" t="str">
        <f ca="1"/>
        <v/>
      </c>
      <c r="P335" s="2">
        <f ca="1"/>
        <v>6.149635352608083E-3</v>
      </c>
      <c r="Q335" s="2">
        <f ca="1"/>
        <v>1.9712484091172038E-2</v>
      </c>
      <c r="R335" s="2">
        <f ca="1"/>
        <v>1.9811995090832993E-2</v>
      </c>
      <c r="S335" s="2">
        <f ca="1"/>
        <v>1.3839134205663794E-2</v>
      </c>
      <c r="T335" s="2">
        <f ca="1"/>
        <v>2.5745708516394808E-2</v>
      </c>
      <c r="U335" s="2">
        <f ca="1"/>
        <v>2.3732957012730819E-2</v>
      </c>
      <c r="V335" s="2">
        <f ca="1"/>
        <v>2.7477558217834243E-2</v>
      </c>
      <c r="W335" s="2">
        <f ca="1"/>
        <v>1.9932750201355223E-2</v>
      </c>
      <c r="X335" s="2">
        <f ca="1"/>
        <v>2.9280815613169572E-2</v>
      </c>
      <c r="Y335" s="2">
        <f ca="1"/>
        <v>2.1487437856594706E-2</v>
      </c>
      <c r="Z335" s="2" t="str">
        <f ca="1"/>
        <v/>
      </c>
      <c r="AA335" s="2" t="str">
        <f ca="1"/>
        <v/>
      </c>
      <c r="AB335" s="2" t="str">
        <f ca="1"/>
        <v/>
      </c>
      <c r="AC335" s="2" t="str">
        <f ca="1"/>
        <v/>
      </c>
      <c r="AD335" s="2" t="str">
        <f ca="1"/>
        <v/>
      </c>
      <c r="AE335" s="2" t="str">
        <f ca="1"/>
        <v/>
      </c>
      <c r="AF335" s="2">
        <f ca="1"/>
        <v>1.0118583994011155E-2</v>
      </c>
      <c r="AG335" s="26" t="str">
        <f ca="1"/>
        <v/>
      </c>
      <c r="AH335" s="26">
        <f ca="1"/>
        <v>-4.7100000000000003E-2</v>
      </c>
    </row>
    <row r="336" spans="1:34">
      <c r="A336" s="5">
        <f ca="1"/>
        <v>39021</v>
      </c>
      <c r="B336" s="2">
        <f ca="1"/>
        <v>3.8983123596496118E-2</v>
      </c>
      <c r="C336" s="2">
        <f ca="1"/>
        <v>4.7548468838899252E-2</v>
      </c>
      <c r="D336" s="2">
        <f ca="1"/>
        <v>3.7702797014012038E-2</v>
      </c>
      <c r="E336" s="2">
        <f ca="1"/>
        <v>6.614886629934578E-3</v>
      </c>
      <c r="F336" s="2">
        <f ca="1"/>
        <v>3.4106741545244436E-2</v>
      </c>
      <c r="G336" s="2">
        <f ca="1"/>
        <v>4.3650422192423308E-2</v>
      </c>
      <c r="H336" s="2">
        <f ca="1"/>
        <v>5.4856780467181045E-2</v>
      </c>
      <c r="I336" s="2" t="str">
        <f ca="1"/>
        <v/>
      </c>
      <c r="J336" s="2" t="str">
        <f ca="1"/>
        <v/>
      </c>
      <c r="K336" s="2">
        <f ca="1"/>
        <v>3.5998960769030905E-2</v>
      </c>
      <c r="L336" s="2">
        <f ca="1"/>
        <v>3.3079736034634967E-2</v>
      </c>
      <c r="M336" s="2">
        <f ca="1"/>
        <v>5.1157021258394282E-2</v>
      </c>
      <c r="N336" s="2">
        <f ca="1"/>
        <v>4.5065430752453575E-2</v>
      </c>
      <c r="O336" s="2" t="str">
        <f ca="1"/>
        <v/>
      </c>
      <c r="P336" s="2">
        <f ca="1"/>
        <v>6.5734651010640036E-2</v>
      </c>
      <c r="Q336" s="2">
        <f ca="1"/>
        <v>4.0137858652332332E-2</v>
      </c>
      <c r="R336" s="2">
        <f ca="1"/>
        <v>4.8376005078290367E-2</v>
      </c>
      <c r="S336" s="2">
        <f ca="1"/>
        <v>2.9308934017704451E-2</v>
      </c>
      <c r="T336" s="2">
        <f ca="1"/>
        <v>3.2581851214155209E-2</v>
      </c>
      <c r="U336" s="2">
        <f ca="1"/>
        <v>3.3956337844243852E-2</v>
      </c>
      <c r="V336" s="2">
        <f ca="1"/>
        <v>3.5154058322921282E-2</v>
      </c>
      <c r="W336" s="2">
        <f ca="1"/>
        <v>3.2733066057011477E-2</v>
      </c>
      <c r="X336" s="2">
        <f ca="1"/>
        <v>3.3193507204085197E-2</v>
      </c>
      <c r="Y336" s="2">
        <f ca="1"/>
        <v>3.1459968602825628E-2</v>
      </c>
      <c r="Z336" s="2" t="str">
        <f ca="1"/>
        <v/>
      </c>
      <c r="AA336" s="2" t="str">
        <f ca="1"/>
        <v/>
      </c>
      <c r="AB336" s="2" t="str">
        <f ca="1"/>
        <v/>
      </c>
      <c r="AC336" s="2" t="str">
        <f ca="1"/>
        <v/>
      </c>
      <c r="AD336" s="2" t="str">
        <f ca="1"/>
        <v/>
      </c>
      <c r="AE336" s="2" t="str">
        <f ca="1"/>
        <v/>
      </c>
      <c r="AF336" s="2">
        <f ca="1"/>
        <v>6.8559098711294631E-3</v>
      </c>
      <c r="AG336" s="26" t="str">
        <f ca="1"/>
        <v/>
      </c>
      <c r="AH336" s="26">
        <f ca="1"/>
        <v>1.37E-2</v>
      </c>
    </row>
    <row r="337" spans="1:34">
      <c r="A337" s="5">
        <f ca="1"/>
        <v>39051</v>
      </c>
      <c r="B337" s="2">
        <f ca="1"/>
        <v>3.0162569018426091E-2</v>
      </c>
      <c r="C337" s="2">
        <f ca="1"/>
        <v>7.4471322075156013E-2</v>
      </c>
      <c r="D337" s="2">
        <f ca="1"/>
        <v>2.876341962102286E-2</v>
      </c>
      <c r="E337" s="2">
        <f ca="1"/>
        <v>1.1601199050103237E-2</v>
      </c>
      <c r="F337" s="2">
        <f ca="1"/>
        <v>2.9328173717689629E-2</v>
      </c>
      <c r="G337" s="2">
        <f ca="1"/>
        <v>3.0952522463623278E-2</v>
      </c>
      <c r="H337" s="2">
        <f ca="1"/>
        <v>4.6342685370741495E-2</v>
      </c>
      <c r="I337" s="2" t="str">
        <f ca="1"/>
        <v/>
      </c>
      <c r="J337" s="2" t="str">
        <f ca="1"/>
        <v/>
      </c>
      <c r="K337" s="2">
        <f ca="1"/>
        <v>3.1859081744224645E-2</v>
      </c>
      <c r="L337" s="2">
        <f ca="1"/>
        <v>4.120554967857433E-2</v>
      </c>
      <c r="M337" s="2">
        <f ca="1"/>
        <v>7.2838250254323555E-2</v>
      </c>
      <c r="N337" s="2">
        <f ca="1"/>
        <v>3.0756789189471268E-2</v>
      </c>
      <c r="O337" s="2" t="str">
        <f ca="1"/>
        <v/>
      </c>
      <c r="P337" s="2">
        <f ca="1"/>
        <v>7.5250403877221386E-2</v>
      </c>
      <c r="Q337" s="2">
        <f ca="1"/>
        <v>2.1394384826213152E-2</v>
      </c>
      <c r="R337" s="2">
        <f ca="1"/>
        <v>4.1249337739990469E-2</v>
      </c>
      <c r="S337" s="2">
        <f ca="1"/>
        <v>1.8876924188769163E-2</v>
      </c>
      <c r="T337" s="2">
        <f ca="1"/>
        <v>1.9017440949915233E-2</v>
      </c>
      <c r="U337" s="2">
        <f ca="1"/>
        <v>2.1322104943327057E-2</v>
      </c>
      <c r="V337" s="2">
        <f ca="1"/>
        <v>1.984277001698927E-2</v>
      </c>
      <c r="W337" s="2">
        <f ca="1"/>
        <v>2.2828565852197835E-2</v>
      </c>
      <c r="X337" s="2">
        <f ca="1"/>
        <v>2.383053839364524E-2</v>
      </c>
      <c r="Y337" s="2">
        <f ca="1"/>
        <v>2.063801290636803E-2</v>
      </c>
      <c r="Z337" s="2" t="str">
        <f ca="1"/>
        <v/>
      </c>
      <c r="AA337" s="2" t="str">
        <f ca="1"/>
        <v/>
      </c>
      <c r="AB337" s="2" t="str">
        <f ca="1"/>
        <v/>
      </c>
      <c r="AC337" s="2" t="str">
        <f ca="1"/>
        <v/>
      </c>
      <c r="AD337" s="2" t="str">
        <f ca="1"/>
        <v/>
      </c>
      <c r="AE337" s="2" t="str">
        <f ca="1"/>
        <v/>
      </c>
      <c r="AF337" s="2">
        <f ca="1"/>
        <v>1.0610875048033833E-2</v>
      </c>
      <c r="AG337" s="26" t="str">
        <f ca="1"/>
        <v/>
      </c>
      <c r="AH337" s="26">
        <f ca="1"/>
        <v>6.6100000000000006E-2</v>
      </c>
    </row>
    <row r="338" spans="1:34">
      <c r="A338" s="5">
        <f ca="1"/>
        <v>39080</v>
      </c>
      <c r="B338" s="2">
        <f ca="1"/>
        <v>3.1453920662605904E-2</v>
      </c>
      <c r="C338" s="2">
        <f ca="1"/>
        <v>4.5125663716814167E-2</v>
      </c>
      <c r="D338" s="2">
        <f ca="1"/>
        <v>2.2568179391550799E-2</v>
      </c>
      <c r="E338" s="2">
        <f ca="1"/>
        <v>-5.803348085433876E-3</v>
      </c>
      <c r="F338" s="2">
        <f ca="1"/>
        <v>2.808011493674218E-2</v>
      </c>
      <c r="G338" s="2">
        <f ca="1"/>
        <v>3.4824973690499625E-2</v>
      </c>
      <c r="H338" s="2">
        <f ca="1"/>
        <v>3.5563801771606458E-2</v>
      </c>
      <c r="I338" s="2" t="str">
        <f ca="1"/>
        <v/>
      </c>
      <c r="J338" s="2" t="str">
        <f ca="1"/>
        <v/>
      </c>
      <c r="K338" s="2">
        <f ca="1"/>
        <v>2.8046468672531872E-2</v>
      </c>
      <c r="L338" s="2">
        <f ca="1"/>
        <v>3.4289733595146706E-2</v>
      </c>
      <c r="M338" s="2">
        <f ca="1"/>
        <v>5.6969467096529426E-2</v>
      </c>
      <c r="N338" s="2">
        <f ca="1"/>
        <v>1.1097894310589164E-2</v>
      </c>
      <c r="O338" s="2" t="str">
        <f ca="1"/>
        <v/>
      </c>
      <c r="P338" s="2">
        <f ca="1"/>
        <v>4.0956759518014349E-2</v>
      </c>
      <c r="Q338" s="2">
        <f ca="1"/>
        <v>5.0997249886525113E-3</v>
      </c>
      <c r="R338" s="2">
        <f ca="1"/>
        <v>1.412579957356073E-2</v>
      </c>
      <c r="S338" s="2">
        <f ca="1"/>
        <v>1.163269069810337E-2</v>
      </c>
      <c r="T338" s="2">
        <f ca="1"/>
        <v>1.3940826993752591E-2</v>
      </c>
      <c r="U338" s="2">
        <f ca="1"/>
        <v>1.2812105256944409E-2</v>
      </c>
      <c r="V338" s="2">
        <f ca="1"/>
        <v>3.387559594922001E-3</v>
      </c>
      <c r="W338" s="2">
        <f ca="1"/>
        <v>2.2448443469157628E-2</v>
      </c>
      <c r="X338" s="2">
        <f ca="1"/>
        <v>2.3558529709260766E-4</v>
      </c>
      <c r="Y338" s="2">
        <f ca="1"/>
        <v>2.5116261294543096E-2</v>
      </c>
      <c r="Z338" s="2" t="str">
        <f ca="1"/>
        <v/>
      </c>
      <c r="AA338" s="2" t="str">
        <f ca="1"/>
        <v/>
      </c>
      <c r="AB338" s="2" t="str">
        <f ca="1"/>
        <v/>
      </c>
      <c r="AC338" s="2" t="str">
        <f ca="1"/>
        <v/>
      </c>
      <c r="AD338" s="2" t="str">
        <f ca="1"/>
        <v/>
      </c>
      <c r="AE338" s="2" t="str">
        <f ca="1"/>
        <v/>
      </c>
      <c r="AF338" s="2">
        <f ca="1"/>
        <v>-6.0060023123289846E-3</v>
      </c>
      <c r="AG338" s="26" t="str">
        <f ca="1"/>
        <v/>
      </c>
      <c r="AH338" s="26">
        <f ca="1"/>
        <v>-1.38E-2</v>
      </c>
    </row>
    <row r="339" spans="1:34">
      <c r="A339" s="5">
        <f ca="1"/>
        <v>39113</v>
      </c>
      <c r="B339" s="2">
        <f ca="1"/>
        <v>6.8434028512085526E-3</v>
      </c>
      <c r="C339" s="2">
        <f ca="1"/>
        <v>-1.0099983742480953E-2</v>
      </c>
      <c r="D339" s="2">
        <f ca="1"/>
        <v>1.0164921221402532E-2</v>
      </c>
      <c r="E339" s="2">
        <f ca="1"/>
        <v>-4.103088154461704E-4</v>
      </c>
      <c r="F339" s="2">
        <f ca="1"/>
        <v>8.1241494183557309E-3</v>
      </c>
      <c r="G339" s="2">
        <f ca="1"/>
        <v>5.5720322673441245E-3</v>
      </c>
      <c r="H339" s="2">
        <f ca="1"/>
        <v>1.9257666655107405E-2</v>
      </c>
      <c r="I339" s="2" t="str">
        <f ca="1"/>
        <v/>
      </c>
      <c r="J339" s="2" t="str">
        <f ca="1"/>
        <v/>
      </c>
      <c r="K339" s="2">
        <f ca="1"/>
        <v>1.3040189125295474E-2</v>
      </c>
      <c r="L339" s="2">
        <f ca="1"/>
        <v>1.2004949326079394E-2</v>
      </c>
      <c r="M339" s="2">
        <f ca="1"/>
        <v>-5.1434791449862498E-3</v>
      </c>
      <c r="N339" s="2">
        <f ca="1"/>
        <v>1.1639403762156466E-3</v>
      </c>
      <c r="O339" s="2" t="str">
        <f ca="1"/>
        <v/>
      </c>
      <c r="P339" s="2">
        <f ca="1"/>
        <v>-4.3733040817506008E-3</v>
      </c>
      <c r="Q339" s="2">
        <f ca="1"/>
        <v>1.2936988630326227E-2</v>
      </c>
      <c r="R339" s="2">
        <f ca="1"/>
        <v>3.8167482976944132E-2</v>
      </c>
      <c r="S339" s="2">
        <f ca="1"/>
        <v>1.7528852491200515E-2</v>
      </c>
      <c r="T339" s="2">
        <f ca="1"/>
        <v>1.5121493453616278E-2</v>
      </c>
      <c r="U339" s="2">
        <f ca="1"/>
        <v>1.9259601170385186E-2</v>
      </c>
      <c r="V339" s="2">
        <f ca="1"/>
        <v>2.5704824049923022E-2</v>
      </c>
      <c r="W339" s="2">
        <f ca="1"/>
        <v>1.2787818592956498E-2</v>
      </c>
      <c r="X339" s="2">
        <f ca="1"/>
        <v>2.5751814725198902E-2</v>
      </c>
      <c r="Y339" s="2">
        <f ca="1"/>
        <v>7.7678440568664919E-3</v>
      </c>
      <c r="Z339" s="2" t="str">
        <f ca="1"/>
        <v/>
      </c>
      <c r="AA339" s="2" t="str">
        <f ca="1"/>
        <v/>
      </c>
      <c r="AB339" s="2" t="str">
        <f ca="1"/>
        <v/>
      </c>
      <c r="AC339" s="2" t="str">
        <f ca="1"/>
        <v/>
      </c>
      <c r="AD339" s="2" t="str">
        <f ca="1"/>
        <v/>
      </c>
      <c r="AE339" s="2" t="str">
        <f ca="1"/>
        <v/>
      </c>
      <c r="AF339" s="2">
        <f ca="1"/>
        <v>-7.0210631895694254E-4</v>
      </c>
      <c r="AG339" s="26" t="str">
        <f ca="1"/>
        <v/>
      </c>
      <c r="AH339" s="26">
        <f ca="1"/>
        <v>2.1899999999999999E-2</v>
      </c>
    </row>
    <row r="340" spans="1:34">
      <c r="A340" s="5">
        <f ca="1"/>
        <v>39141</v>
      </c>
      <c r="B340" s="2">
        <f ca="1"/>
        <v>8.2145525667122327E-3</v>
      </c>
      <c r="C340" s="2">
        <f ca="1"/>
        <v>-5.7960898633436855E-3</v>
      </c>
      <c r="D340" s="2">
        <f ca="1"/>
        <v>-4.8744573358043908E-3</v>
      </c>
      <c r="E340" s="2">
        <f ca="1"/>
        <v>1.5420003407735446E-2</v>
      </c>
      <c r="F340" s="2">
        <f ca="1"/>
        <v>7.7859218964200141E-3</v>
      </c>
      <c r="G340" s="2">
        <f ca="1"/>
        <v>8.640618562723943E-3</v>
      </c>
      <c r="H340" s="2">
        <f ca="1"/>
        <v>-9.1066831486668557E-3</v>
      </c>
      <c r="I340" s="2" t="str">
        <f ca="1"/>
        <v/>
      </c>
      <c r="J340" s="2" t="str">
        <f ca="1"/>
        <v/>
      </c>
      <c r="K340" s="2">
        <f ca="1"/>
        <v>2.2309552035397512E-3</v>
      </c>
      <c r="L340" s="2">
        <f ca="1"/>
        <v>1.0770551780780971E-2</v>
      </c>
      <c r="M340" s="2">
        <f ca="1"/>
        <v>-5.1099541907636071E-3</v>
      </c>
      <c r="N340" s="2">
        <f ca="1"/>
        <v>-1.4476085706428032E-2</v>
      </c>
      <c r="O340" s="2" t="str">
        <f ca="1"/>
        <v/>
      </c>
      <c r="P340" s="2">
        <f ca="1"/>
        <v>-1.2264246676620988E-2</v>
      </c>
      <c r="Q340" s="2">
        <f ca="1"/>
        <v>-2.6513860113818188E-2</v>
      </c>
      <c r="R340" s="2">
        <f ca="1"/>
        <v>-2.9169783096484565E-2</v>
      </c>
      <c r="S340" s="2">
        <f ca="1"/>
        <v>-1.2293105111561252E-2</v>
      </c>
      <c r="T340" s="2">
        <f ca="1"/>
        <v>-1.9554727566651664E-2</v>
      </c>
      <c r="U340" s="2">
        <f ca="1"/>
        <v>-1.7205179050507488E-2</v>
      </c>
      <c r="V340" s="2">
        <f ca="1"/>
        <v>-1.8796568319005755E-2</v>
      </c>
      <c r="W340" s="2">
        <f ca="1"/>
        <v>-1.5589837828832479E-2</v>
      </c>
      <c r="X340" s="2">
        <f ca="1"/>
        <v>-1.8534119629317638E-2</v>
      </c>
      <c r="Y340" s="2">
        <f ca="1"/>
        <v>-1.5852239674229322E-2</v>
      </c>
      <c r="Z340" s="2" t="str">
        <f ca="1"/>
        <v/>
      </c>
      <c r="AA340" s="2" t="str">
        <f ca="1"/>
        <v/>
      </c>
      <c r="AB340" s="2" t="str">
        <f ca="1"/>
        <v/>
      </c>
      <c r="AC340" s="2" t="str">
        <f ca="1"/>
        <v/>
      </c>
      <c r="AD340" s="2" t="str">
        <f ca="1"/>
        <v/>
      </c>
      <c r="AE340" s="2" t="str">
        <f ca="1"/>
        <v/>
      </c>
      <c r="AF340" s="2">
        <f ca="1"/>
        <v>1.6356368487868787E-2</v>
      </c>
      <c r="AG340" s="26" t="str">
        <f ca="1"/>
        <v/>
      </c>
      <c r="AH340" s="26">
        <f ca="1"/>
        <v>3.1400000000000004E-2</v>
      </c>
    </row>
    <row r="341" spans="1:34">
      <c r="A341" s="5">
        <f ca="1"/>
        <v>39171</v>
      </c>
      <c r="B341" s="2">
        <f ca="1"/>
        <v>2.5963540333819046E-2</v>
      </c>
      <c r="C341" s="2">
        <f ca="1"/>
        <v>4.0058918271547193E-2</v>
      </c>
      <c r="D341" s="2">
        <f ca="1"/>
        <v>2.0477150219222254E-2</v>
      </c>
      <c r="E341" s="2">
        <f ca="1"/>
        <v>3.0508965822476716E-5</v>
      </c>
      <c r="F341" s="2">
        <f ca="1"/>
        <v>3.3667419667826756E-2</v>
      </c>
      <c r="G341" s="2">
        <f ca="1"/>
        <v>1.8310628553395467E-2</v>
      </c>
      <c r="H341" s="2">
        <f ca="1"/>
        <v>3.5101975416027602E-2</v>
      </c>
      <c r="I341" s="2" t="str">
        <f ca="1"/>
        <v/>
      </c>
      <c r="J341" s="2" t="str">
        <f ca="1"/>
        <v/>
      </c>
      <c r="K341" s="2">
        <f ca="1"/>
        <v>1.5470158706504637E-2</v>
      </c>
      <c r="L341" s="2">
        <f ca="1"/>
        <v>2.8800162514543259E-2</v>
      </c>
      <c r="M341" s="2">
        <f ca="1"/>
        <v>3.084136997558792E-2</v>
      </c>
      <c r="N341" s="2">
        <f ca="1"/>
        <v>2.8806636561976809E-2</v>
      </c>
      <c r="O341" s="2" t="str">
        <f ca="1"/>
        <v/>
      </c>
      <c r="P341" s="2">
        <f ca="1"/>
        <v>4.6290452777573876E-2</v>
      </c>
      <c r="Q341" s="2">
        <f ca="1"/>
        <v>1.1112607758620689E-2</v>
      </c>
      <c r="R341" s="2">
        <f ca="1"/>
        <v>2.2993955197345001E-2</v>
      </c>
      <c r="S341" s="2">
        <f ca="1"/>
        <v>5.6440022882975329E-3</v>
      </c>
      <c r="T341" s="2">
        <f ca="1"/>
        <v>1.1169563208528528E-2</v>
      </c>
      <c r="U341" s="2">
        <f ca="1"/>
        <v>1.0381358643985856E-2</v>
      </c>
      <c r="V341" s="2">
        <f ca="1"/>
        <v>5.4243629745765465E-3</v>
      </c>
      <c r="W341" s="2">
        <f ca="1"/>
        <v>1.5461069107478834E-2</v>
      </c>
      <c r="X341" s="2">
        <f ca="1"/>
        <v>5.3606368170745619E-3</v>
      </c>
      <c r="Y341" s="2">
        <f ca="1"/>
        <v>1.6908655902404934E-2</v>
      </c>
      <c r="Z341" s="2" t="str">
        <f ca="1"/>
        <v/>
      </c>
      <c r="AA341" s="2" t="str">
        <f ca="1"/>
        <v/>
      </c>
      <c r="AB341" s="2" t="str">
        <f ca="1"/>
        <v/>
      </c>
      <c r="AC341" s="2" t="str">
        <f ca="1"/>
        <v/>
      </c>
      <c r="AD341" s="2" t="str">
        <f ca="1"/>
        <v/>
      </c>
      <c r="AE341" s="2" t="str">
        <f ca="1"/>
        <v/>
      </c>
      <c r="AF341" s="2">
        <f ca="1"/>
        <v>-2.05088074103911E-3</v>
      </c>
      <c r="AG341" s="26" t="str">
        <f ca="1"/>
        <v/>
      </c>
      <c r="AH341" s="26">
        <f ca="1"/>
        <v>-1.41E-2</v>
      </c>
    </row>
    <row r="342" spans="1:34">
      <c r="A342" s="5">
        <f ca="1"/>
        <v>39202</v>
      </c>
      <c r="B342" s="2">
        <f ca="1"/>
        <v>4.5350002218091129E-2</v>
      </c>
      <c r="C342" s="2">
        <f ca="1"/>
        <v>4.7589109631649362E-2</v>
      </c>
      <c r="D342" s="2">
        <f ca="1"/>
        <v>4.4946829882409597E-2</v>
      </c>
      <c r="E342" s="2">
        <f ca="1"/>
        <v>5.3922951957471313E-3</v>
      </c>
      <c r="F342" s="2">
        <f ca="1"/>
        <v>4.3541013947199003E-2</v>
      </c>
      <c r="G342" s="2">
        <f ca="1"/>
        <v>4.7133080832351022E-2</v>
      </c>
      <c r="H342" s="2">
        <f ca="1"/>
        <v>3.6189338906027158E-2</v>
      </c>
      <c r="I342" s="2" t="str">
        <f ca="1"/>
        <v/>
      </c>
      <c r="J342" s="2" t="str">
        <f ca="1"/>
        <v/>
      </c>
      <c r="K342" s="2">
        <f ca="1"/>
        <v>2.8102614900622866E-2</v>
      </c>
      <c r="L342" s="2">
        <f ca="1"/>
        <v>3.6556360339984037E-2</v>
      </c>
      <c r="M342" s="2">
        <f ca="1"/>
        <v>5.6472601936739385E-2</v>
      </c>
      <c r="N342" s="2">
        <f ca="1"/>
        <v>5.1610835069722583E-2</v>
      </c>
      <c r="O342" s="2" t="str">
        <f ca="1"/>
        <v/>
      </c>
      <c r="P342" s="2">
        <f ca="1"/>
        <v>4.5322560282792662E-2</v>
      </c>
      <c r="Q342" s="2">
        <f ca="1"/>
        <v>5.1182308665823052E-2</v>
      </c>
      <c r="R342" s="2">
        <f ca="1"/>
        <v>3.8164754953076051E-2</v>
      </c>
      <c r="S342" s="2">
        <f ca="1"/>
        <v>3.7232824824658214E-2</v>
      </c>
      <c r="T342" s="2">
        <f ca="1"/>
        <v>4.4299921420486402E-2</v>
      </c>
      <c r="U342" s="2">
        <f ca="1"/>
        <v>4.2041395322188639E-2</v>
      </c>
      <c r="V342" s="2">
        <f ca="1"/>
        <v>4.7080092902135932E-2</v>
      </c>
      <c r="W342" s="2">
        <f ca="1"/>
        <v>3.6952443000032746E-2</v>
      </c>
      <c r="X342" s="2">
        <f ca="1"/>
        <v>4.3984254663700199E-2</v>
      </c>
      <c r="Y342" s="2">
        <f ca="1"/>
        <v>4.1965199590583507E-2</v>
      </c>
      <c r="Z342" s="2" t="str">
        <f ca="1"/>
        <v/>
      </c>
      <c r="AA342" s="2" t="str">
        <f ca="1"/>
        <v/>
      </c>
      <c r="AB342" s="2" t="str">
        <f ca="1"/>
        <v/>
      </c>
      <c r="AC342" s="2" t="str">
        <f ca="1"/>
        <v/>
      </c>
      <c r="AD342" s="2" t="str">
        <f ca="1"/>
        <v/>
      </c>
      <c r="AE342" s="2" t="str">
        <f ca="1"/>
        <v/>
      </c>
      <c r="AF342" s="2">
        <f ca="1"/>
        <v>5.8959400119687989E-3</v>
      </c>
      <c r="AG342" s="26" t="str">
        <f ca="1"/>
        <v/>
      </c>
      <c r="AH342" s="26">
        <f ca="1"/>
        <v>3.0899999999999997E-2</v>
      </c>
    </row>
    <row r="343" spans="1:34">
      <c r="A343" s="5">
        <f ca="1"/>
        <v>39233</v>
      </c>
      <c r="B343" s="2">
        <f ca="1"/>
        <v>1.8849523453248862E-2</v>
      </c>
      <c r="C343" s="2">
        <f ca="1"/>
        <v>4.8838575588924578E-2</v>
      </c>
      <c r="D343" s="2">
        <f ca="1"/>
        <v>3.0659728452658706E-2</v>
      </c>
      <c r="E343" s="2">
        <f ca="1"/>
        <v>-7.5785161583978222E-3</v>
      </c>
      <c r="F343" s="2">
        <f ca="1"/>
        <v>2.1308458628009511E-2</v>
      </c>
      <c r="G343" s="2">
        <f ca="1"/>
        <v>1.6418069804425412E-2</v>
      </c>
      <c r="H343" s="2">
        <f ca="1"/>
        <v>3.4157116332671739E-2</v>
      </c>
      <c r="I343" s="2" t="str">
        <f ca="1"/>
        <v/>
      </c>
      <c r="J343" s="2" t="str">
        <f ca="1"/>
        <v/>
      </c>
      <c r="K343" s="2">
        <f ca="1"/>
        <v>1.4639629593284017E-2</v>
      </c>
      <c r="L343" s="2">
        <f ca="1"/>
        <v>2.5629924668800837E-3</v>
      </c>
      <c r="M343" s="2">
        <f ca="1"/>
        <v>4.2700993175387024E-2</v>
      </c>
      <c r="N343" s="2">
        <f ca="1"/>
        <v>3.3812856858124386E-2</v>
      </c>
      <c r="O343" s="2" t="str">
        <f ca="1"/>
        <v/>
      </c>
      <c r="P343" s="2">
        <f ca="1"/>
        <v>4.7181964573268877E-2</v>
      </c>
      <c r="Q343" s="2">
        <f ca="1"/>
        <v>3.463571039324765E-2</v>
      </c>
      <c r="R343" s="2">
        <f ca="1"/>
        <v>3.6002857015311807E-2</v>
      </c>
      <c r="S343" s="2">
        <f ca="1"/>
        <v>2.5857110370935063E-2</v>
      </c>
      <c r="T343" s="2">
        <f ca="1"/>
        <v>3.4884990020315754E-2</v>
      </c>
      <c r="U343" s="2">
        <f ca="1"/>
        <v>3.6020095526416183E-2</v>
      </c>
      <c r="V343" s="2">
        <f ca="1"/>
        <v>3.5975197341612114E-2</v>
      </c>
      <c r="W343" s="2">
        <f ca="1"/>
        <v>3.6069086857789985E-2</v>
      </c>
      <c r="X343" s="2">
        <f ca="1"/>
        <v>3.5081967213114823E-2</v>
      </c>
      <c r="Y343" s="2">
        <f ca="1"/>
        <v>3.5784451305079998E-2</v>
      </c>
      <c r="Z343" s="2" t="str">
        <f ca="1"/>
        <v/>
      </c>
      <c r="AA343" s="2" t="str">
        <f ca="1"/>
        <v/>
      </c>
      <c r="AB343" s="2" t="str">
        <f ca="1"/>
        <v/>
      </c>
      <c r="AC343" s="2" t="str">
        <f ca="1"/>
        <v/>
      </c>
      <c r="AD343" s="2" t="str">
        <f ca="1"/>
        <v/>
      </c>
      <c r="AE343" s="2" t="str">
        <f ca="1"/>
        <v/>
      </c>
      <c r="AF343" s="2">
        <f ca="1"/>
        <v>-9.1682129749641184E-3</v>
      </c>
      <c r="AG343" s="26" t="str">
        <f ca="1"/>
        <v/>
      </c>
      <c r="AH343" s="26">
        <f ca="1"/>
        <v>-3.2899999999999999E-2</v>
      </c>
    </row>
    <row r="344" spans="1:34">
      <c r="A344" s="5">
        <f ca="1"/>
        <v>39262</v>
      </c>
      <c r="B344" s="2">
        <f ca="1"/>
        <v>1.5427019587836105E-3</v>
      </c>
      <c r="C344" s="2">
        <f ca="1"/>
        <v>4.7299250728792715E-2</v>
      </c>
      <c r="D344" s="2">
        <f ca="1"/>
        <v>-2.5816357323588503E-3</v>
      </c>
      <c r="E344" s="2">
        <f ca="1"/>
        <v>-2.9582406494371074E-3</v>
      </c>
      <c r="F344" s="2">
        <f ca="1"/>
        <v>2.7791585321816888E-3</v>
      </c>
      <c r="G344" s="2">
        <f ca="1"/>
        <v>2.9946851249843356E-4</v>
      </c>
      <c r="H344" s="2">
        <f ca="1"/>
        <v>-5.2726616106897944E-3</v>
      </c>
      <c r="I344" s="2" t="str">
        <f ca="1"/>
        <v/>
      </c>
      <c r="J344" s="2" t="str">
        <f ca="1"/>
        <v/>
      </c>
      <c r="K344" s="2">
        <f ca="1"/>
        <v>-1.8094852902386206E-2</v>
      </c>
      <c r="L344" s="2">
        <f ca="1"/>
        <v>-1.8067814761715446E-2</v>
      </c>
      <c r="M344" s="2">
        <f ca="1"/>
        <v>3.7025212051552167E-2</v>
      </c>
      <c r="N344" s="2">
        <f ca="1"/>
        <v>1.2463567596992424E-2</v>
      </c>
      <c r="O344" s="2" t="str">
        <f ca="1"/>
        <v/>
      </c>
      <c r="P344" s="2">
        <f ca="1"/>
        <v>4.6299143984827512E-2</v>
      </c>
      <c r="Q344" s="2">
        <f ca="1"/>
        <v>-1.2922586967172901E-2</v>
      </c>
      <c r="R344" s="2">
        <f ca="1"/>
        <v>-2.7383388990627987E-2</v>
      </c>
      <c r="S344" s="2">
        <f ca="1"/>
        <v>-3.0688486112922117E-2</v>
      </c>
      <c r="T344" s="2">
        <f ca="1"/>
        <v>-1.6622751776737728E-2</v>
      </c>
      <c r="U344" s="2">
        <f ca="1"/>
        <v>-1.9101358222206169E-2</v>
      </c>
      <c r="V344" s="2">
        <f ca="1"/>
        <v>-1.4926855972668499E-2</v>
      </c>
      <c r="W344" s="2">
        <f ca="1"/>
        <v>-2.3365628246532013E-2</v>
      </c>
      <c r="X344" s="2">
        <f ca="1"/>
        <v>-1.0073045716463809E-2</v>
      </c>
      <c r="Y344" s="2">
        <f ca="1"/>
        <v>-2.0862823721497999E-2</v>
      </c>
      <c r="Z344" s="2" t="str">
        <f ca="1"/>
        <v/>
      </c>
      <c r="AA344" s="2" t="str">
        <f ca="1"/>
        <v/>
      </c>
      <c r="AB344" s="2" t="str">
        <f ca="1"/>
        <v/>
      </c>
      <c r="AC344" s="2" t="str">
        <f ca="1"/>
        <v/>
      </c>
      <c r="AD344" s="2" t="str">
        <f ca="1"/>
        <v/>
      </c>
      <c r="AE344" s="2" t="str">
        <f ca="1"/>
        <v/>
      </c>
      <c r="AF344" s="2">
        <f ca="1"/>
        <v>-3.7622423081657141E-3</v>
      </c>
      <c r="AG344" s="26" t="str">
        <f ca="1"/>
        <v/>
      </c>
      <c r="AH344" s="26">
        <f ca="1"/>
        <v>-1.5300000000000001E-2</v>
      </c>
    </row>
    <row r="345" spans="1:34">
      <c r="A345" s="5">
        <f ca="1"/>
        <v>39294</v>
      </c>
      <c r="B345" s="2">
        <f ca="1"/>
        <v>-1.4620303831008938E-2</v>
      </c>
      <c r="C345" s="2">
        <f ca="1"/>
        <v>5.3283567497311432E-2</v>
      </c>
      <c r="D345" s="2">
        <f ca="1"/>
        <v>-1.503950634112936E-2</v>
      </c>
      <c r="E345" s="2">
        <f ca="1"/>
        <v>8.3413833816337081E-3</v>
      </c>
      <c r="F345" s="2">
        <f ca="1"/>
        <v>-8.0311149489823968E-3</v>
      </c>
      <c r="G345" s="2">
        <f ca="1"/>
        <v>-2.1221815783437556E-2</v>
      </c>
      <c r="H345" s="2">
        <f ca="1"/>
        <v>9.3979502925190441E-3</v>
      </c>
      <c r="I345" s="2" t="str">
        <f ca="1"/>
        <v/>
      </c>
      <c r="J345" s="2" t="str">
        <f ca="1"/>
        <v/>
      </c>
      <c r="K345" s="2">
        <f ca="1"/>
        <v>-2.0344568215193978E-2</v>
      </c>
      <c r="L345" s="2">
        <f ca="1"/>
        <v>-1.5814378946998098E-2</v>
      </c>
      <c r="M345" s="2">
        <f ca="1"/>
        <v>3.153670901664582E-2</v>
      </c>
      <c r="N345" s="2">
        <f ca="1"/>
        <v>-7.5720238361933678E-3</v>
      </c>
      <c r="O345" s="2" t="str">
        <f ca="1"/>
        <v/>
      </c>
      <c r="P345" s="2">
        <f ca="1"/>
        <v>3.7759188722458377E-2</v>
      </c>
      <c r="Q345" s="2">
        <f ca="1"/>
        <v>-1.6206490041571084E-2</v>
      </c>
      <c r="R345" s="2">
        <f ca="1"/>
        <v>-3.2462785752259374E-2</v>
      </c>
      <c r="S345" s="2">
        <f ca="1"/>
        <v>-3.0879850409960167E-2</v>
      </c>
      <c r="T345" s="2">
        <f ca="1"/>
        <v>-3.1002241778386674E-2</v>
      </c>
      <c r="U345" s="2">
        <f ca="1"/>
        <v>-3.0888319566553735E-2</v>
      </c>
      <c r="V345" s="2">
        <f ca="1"/>
        <v>-1.5502950541635958E-2</v>
      </c>
      <c r="W345" s="2">
        <f ca="1"/>
        <v>-4.6244040499334498E-2</v>
      </c>
      <c r="X345" s="2">
        <f ca="1"/>
        <v>-2.149157979149979E-2</v>
      </c>
      <c r="Y345" s="2">
        <f ca="1"/>
        <v>-4.7155376269300386E-2</v>
      </c>
      <c r="Z345" s="2" t="str">
        <f ca="1"/>
        <v/>
      </c>
      <c r="AA345" s="2" t="str">
        <f ca="1"/>
        <v/>
      </c>
      <c r="AB345" s="2" t="str">
        <f ca="1"/>
        <v/>
      </c>
      <c r="AC345" s="2" t="str">
        <f ca="1"/>
        <v/>
      </c>
      <c r="AD345" s="2" t="str">
        <f ca="1"/>
        <v/>
      </c>
      <c r="AE345" s="2" t="str">
        <f ca="1"/>
        <v/>
      </c>
      <c r="AF345" s="2">
        <f ca="1"/>
        <v>1.0715346366769322E-2</v>
      </c>
      <c r="AG345" s="26" t="str">
        <f ca="1"/>
        <v/>
      </c>
      <c r="AH345" s="26">
        <f ca="1"/>
        <v>2.46E-2</v>
      </c>
    </row>
    <row r="346" spans="1:34">
      <c r="A346" s="5">
        <f ca="1"/>
        <v>39325</v>
      </c>
      <c r="B346" s="2">
        <f ca="1"/>
        <v>-1.538812410135088E-2</v>
      </c>
      <c r="C346" s="2">
        <f ca="1"/>
        <v>-2.0928658010548926E-2</v>
      </c>
      <c r="D346" s="2">
        <f ca="1"/>
        <v>-2.3426081262171608E-3</v>
      </c>
      <c r="E346" s="2">
        <f ca="1"/>
        <v>1.2256504615197375E-2</v>
      </c>
      <c r="F346" s="2">
        <f ca="1"/>
        <v>-9.7403992447216668E-3</v>
      </c>
      <c r="G346" s="2">
        <f ca="1"/>
        <v>-2.1152085139142605E-2</v>
      </c>
      <c r="H346" s="2">
        <f ca="1"/>
        <v>-3.8125578049532801E-3</v>
      </c>
      <c r="I346" s="2" t="str">
        <f ca="1"/>
        <v/>
      </c>
      <c r="J346" s="2" t="str">
        <f ca="1"/>
        <v/>
      </c>
      <c r="K346" s="2">
        <f ca="1"/>
        <v>1.2037951080399321E-2</v>
      </c>
      <c r="L346" s="2">
        <f ca="1"/>
        <v>6.2558089654683421E-4</v>
      </c>
      <c r="M346" s="2">
        <f ca="1"/>
        <v>-1.5957817241207744E-2</v>
      </c>
      <c r="N346" s="2">
        <f ca="1"/>
        <v>7.9119638826185001E-3</v>
      </c>
      <c r="O346" s="2" t="str">
        <f ca="1"/>
        <v/>
      </c>
      <c r="P346" s="2">
        <f ca="1"/>
        <v>-6.6680828966625251E-3</v>
      </c>
      <c r="Q346" s="2">
        <f ca="1"/>
        <v>2.6450888633812269E-2</v>
      </c>
      <c r="R346" s="2">
        <f ca="1"/>
        <v>1.2866742218711603E-2</v>
      </c>
      <c r="S346" s="2">
        <f ca="1"/>
        <v>2.0675726322510767E-2</v>
      </c>
      <c r="T346" s="2">
        <f ca="1"/>
        <v>1.4987859413188925E-2</v>
      </c>
      <c r="U346" s="2">
        <f ca="1"/>
        <v>1.360883929292846E-2</v>
      </c>
      <c r="V346" s="2">
        <f ca="1"/>
        <v>1.5933148098203967E-2</v>
      </c>
      <c r="W346" s="2">
        <f ca="1"/>
        <v>1.1204951829179018E-2</v>
      </c>
      <c r="X346" s="2">
        <f ca="1"/>
        <v>1.9341091624323986E-2</v>
      </c>
      <c r="Y346" s="2">
        <f ca="1"/>
        <v>1.4598540145985389E-2</v>
      </c>
      <c r="Z346" s="2" t="str">
        <f ca="1"/>
        <v/>
      </c>
      <c r="AA346" s="2" t="str">
        <f ca="1"/>
        <v/>
      </c>
      <c r="AB346" s="2" t="str">
        <f ca="1"/>
        <v/>
      </c>
      <c r="AC346" s="2" t="str">
        <f ca="1"/>
        <v/>
      </c>
      <c r="AD346" s="2" t="str">
        <f ca="1"/>
        <v/>
      </c>
      <c r="AE346" s="2" t="str">
        <f ca="1"/>
        <v/>
      </c>
      <c r="AF346" s="2">
        <f ca="1"/>
        <v>1.2806113235594432E-2</v>
      </c>
      <c r="AG346" s="26" t="str">
        <f ca="1"/>
        <v/>
      </c>
      <c r="AH346" s="26">
        <f ca="1"/>
        <v>1.3300000000000001E-2</v>
      </c>
    </row>
    <row r="347" spans="1:34">
      <c r="A347" s="5">
        <f ca="1"/>
        <v>39353</v>
      </c>
      <c r="B347" s="2">
        <f ca="1"/>
        <v>5.369082573199916E-2</v>
      </c>
      <c r="C347" s="2">
        <f ca="1"/>
        <v>0.11052182496528407</v>
      </c>
      <c r="D347" s="2">
        <f ca="1"/>
        <v>5.3998044370459811E-2</v>
      </c>
      <c r="E347" s="2">
        <f ca="1"/>
        <v>7.5863415806631945E-3</v>
      </c>
      <c r="F347" s="2">
        <f ca="1"/>
        <v>6.2483323032476647E-2</v>
      </c>
      <c r="G347" s="2">
        <f ca="1"/>
        <v>4.4649003718987529E-2</v>
      </c>
      <c r="H347" s="2">
        <f ca="1"/>
        <v>0.11773383261638762</v>
      </c>
      <c r="I347" s="2" t="str">
        <f ca="1"/>
        <v/>
      </c>
      <c r="J347" s="2" t="str">
        <f ca="1"/>
        <v/>
      </c>
      <c r="K347" s="2">
        <f ca="1"/>
        <v>3.8294451820341094E-2</v>
      </c>
      <c r="L347" s="2">
        <f ca="1"/>
        <v>4.1030312773520379E-2</v>
      </c>
      <c r="M347" s="2">
        <f ca="1"/>
        <v>8.2933141915459446E-2</v>
      </c>
      <c r="N347" s="2">
        <f ca="1"/>
        <v>6.8050749711649344E-2</v>
      </c>
      <c r="O347" s="2" t="str">
        <f ca="1"/>
        <v/>
      </c>
      <c r="P347" s="2">
        <f ca="1"/>
        <v>0.12803117611415399</v>
      </c>
      <c r="Q347" s="2">
        <f ca="1"/>
        <v>3.3105583955957599E-2</v>
      </c>
      <c r="R347" s="2">
        <f ca="1"/>
        <v>7.0614030130762562E-2</v>
      </c>
      <c r="S347" s="2">
        <f ca="1"/>
        <v>3.6331862288438176E-2</v>
      </c>
      <c r="T347" s="2">
        <f ca="1"/>
        <v>3.7388493156494014E-2</v>
      </c>
      <c r="U347" s="2">
        <f ca="1"/>
        <v>3.8188674315435808E-2</v>
      </c>
      <c r="V347" s="2">
        <f ca="1"/>
        <v>4.1890634903649054E-2</v>
      </c>
      <c r="W347" s="2">
        <f ca="1"/>
        <v>3.4347835309060645E-2</v>
      </c>
      <c r="X347" s="2">
        <f ca="1"/>
        <v>4.4953086091111566E-2</v>
      </c>
      <c r="Y347" s="2">
        <f ca="1"/>
        <v>3.5568385740845698E-2</v>
      </c>
      <c r="Z347" s="2" t="str">
        <f ca="1"/>
        <v/>
      </c>
      <c r="AA347" s="2" t="str">
        <f ca="1"/>
        <v/>
      </c>
      <c r="AB347" s="2" t="str">
        <f ca="1"/>
        <v/>
      </c>
      <c r="AC347" s="2" t="str">
        <f ca="1"/>
        <v/>
      </c>
      <c r="AD347" s="2" t="str">
        <f ca="1"/>
        <v/>
      </c>
      <c r="AE347" s="2" t="str">
        <f ca="1"/>
        <v/>
      </c>
      <c r="AF347" s="2">
        <f ca="1"/>
        <v>6.3359196674885147E-3</v>
      </c>
      <c r="AG347" s="26" t="str">
        <f ca="1"/>
        <v/>
      </c>
      <c r="AH347" s="26">
        <f ca="1"/>
        <v>9.9100000000000008E-2</v>
      </c>
    </row>
    <row r="348" spans="1:34">
      <c r="A348" s="5">
        <f ca="1"/>
        <v>39386</v>
      </c>
      <c r="B348" s="2">
        <f ca="1"/>
        <v>3.9402669070449162E-2</v>
      </c>
      <c r="C348" s="2">
        <f ca="1"/>
        <v>0.11159990157233179</v>
      </c>
      <c r="D348" s="2">
        <f ca="1"/>
        <v>3.921461624023128E-2</v>
      </c>
      <c r="E348" s="2">
        <f ca="1"/>
        <v>8.9828840648854616E-3</v>
      </c>
      <c r="F348" s="2">
        <f ca="1"/>
        <v>4.0225401678421896E-2</v>
      </c>
      <c r="G348" s="2">
        <f ca="1"/>
        <v>3.8539133700136161E-2</v>
      </c>
      <c r="H348" s="2">
        <f ca="1"/>
        <v>7.6159184878913155E-2</v>
      </c>
      <c r="I348" s="2" t="str">
        <f ca="1"/>
        <v/>
      </c>
      <c r="J348" s="2" t="str">
        <f ca="1"/>
        <v/>
      </c>
      <c r="K348" s="2">
        <f ca="1"/>
        <v>2.5913135759083685E-2</v>
      </c>
      <c r="L348" s="2">
        <f ca="1"/>
        <v>3.6985243651338477E-2</v>
      </c>
      <c r="M348" s="2">
        <f ca="1"/>
        <v>0.10265698228056071</v>
      </c>
      <c r="N348" s="2">
        <f ca="1"/>
        <v>4.3500597622093164E-2</v>
      </c>
      <c r="O348" s="2" t="str">
        <f ca="1"/>
        <v/>
      </c>
      <c r="P348" s="2">
        <f ca="1"/>
        <v>0.13013071000495041</v>
      </c>
      <c r="Q348" s="2">
        <f ca="1"/>
        <v>1.6617104793624257E-2</v>
      </c>
      <c r="R348" s="2">
        <f ca="1"/>
        <v>4.3851407699859693E-2</v>
      </c>
      <c r="S348" s="2">
        <f ca="1"/>
        <v>1.2119104485446595E-2</v>
      </c>
      <c r="T348" s="2">
        <f ca="1"/>
        <v>1.590641919913674E-2</v>
      </c>
      <c r="U348" s="2">
        <f ca="1"/>
        <v>1.7433276547416263E-2</v>
      </c>
      <c r="V348" s="2">
        <f ca="1"/>
        <v>3.4033988559871053E-2</v>
      </c>
      <c r="W348" s="2">
        <f ca="1"/>
        <v>1.1097627761437738E-4</v>
      </c>
      <c r="X348" s="2">
        <f ca="1"/>
        <v>2.9615918556224044E-2</v>
      </c>
      <c r="Y348" s="2">
        <f ca="1"/>
        <v>1.5382463991049848E-3</v>
      </c>
      <c r="Z348" s="2" t="str">
        <f ca="1"/>
        <v/>
      </c>
      <c r="AA348" s="2" t="str">
        <f ca="1"/>
        <v/>
      </c>
      <c r="AB348" s="2" t="str">
        <f ca="1"/>
        <v/>
      </c>
      <c r="AC348" s="2" t="str">
        <f ca="1"/>
        <v/>
      </c>
      <c r="AD348" s="2" t="str">
        <f ca="1"/>
        <v/>
      </c>
      <c r="AE348" s="2" t="str">
        <f ca="1"/>
        <v/>
      </c>
      <c r="AF348" s="2">
        <f ca="1"/>
        <v>1.0096165361467768E-2</v>
      </c>
      <c r="AG348" s="26" t="str">
        <f ca="1"/>
        <v/>
      </c>
      <c r="AH348" s="26">
        <f ca="1"/>
        <v>7.0699999999999999E-2</v>
      </c>
    </row>
    <row r="349" spans="1:34">
      <c r="A349" s="5">
        <f ca="1"/>
        <v>39416</v>
      </c>
      <c r="B349" s="2">
        <f ca="1"/>
        <v>-3.2624688111721201E-2</v>
      </c>
      <c r="C349" s="2">
        <f ca="1"/>
        <v>-7.0845794519186531E-2</v>
      </c>
      <c r="D349" s="2">
        <f ca="1"/>
        <v>-4.380468442309636E-2</v>
      </c>
      <c r="E349" s="2">
        <f ca="1"/>
        <v>1.7983139882821388E-2</v>
      </c>
      <c r="F349" s="2">
        <f ca="1"/>
        <v>-2.0375774362271774E-2</v>
      </c>
      <c r="G349" s="2">
        <f ca="1"/>
        <v>-4.5669938912369132E-2</v>
      </c>
      <c r="H349" s="2">
        <f ca="1"/>
        <v>-7.9199684401907236E-2</v>
      </c>
      <c r="I349" s="2" t="str">
        <f ca="1"/>
        <v/>
      </c>
      <c r="J349" s="2" t="str">
        <f ca="1"/>
        <v/>
      </c>
      <c r="K349" s="2">
        <f ca="1"/>
        <v>-2.3528913006613531E-2</v>
      </c>
      <c r="L349" s="2">
        <f ca="1"/>
        <v>-1.5446219523293491E-2</v>
      </c>
      <c r="M349" s="2">
        <f ca="1"/>
        <v>-6.7149267631868556E-2</v>
      </c>
      <c r="N349" s="2">
        <f ca="1"/>
        <v>-3.4181679343293761E-2</v>
      </c>
      <c r="O349" s="2" t="str">
        <f ca="1"/>
        <v/>
      </c>
      <c r="P349" s="2">
        <f ca="1"/>
        <v>-7.2937053812745803E-2</v>
      </c>
      <c r="Q349" s="2">
        <f ca="1"/>
        <v>-2.9356359764587406E-2</v>
      </c>
      <c r="R349" s="2">
        <f ca="1"/>
        <v>-3.3049159107227798E-2</v>
      </c>
      <c r="S349" s="2">
        <f ca="1"/>
        <v>-2.399336146929355E-2</v>
      </c>
      <c r="T349" s="2">
        <f ca="1"/>
        <v>-4.1030915238921523E-2</v>
      </c>
      <c r="U349" s="2">
        <f ca="1"/>
        <v>-4.2630847876790175E-2</v>
      </c>
      <c r="V349" s="2">
        <f ca="1"/>
        <v>-3.6837249459905033E-2</v>
      </c>
      <c r="W349" s="2">
        <f ca="1"/>
        <v>-4.8873595160041347E-2</v>
      </c>
      <c r="X349" s="2">
        <f ca="1"/>
        <v>-3.2209737827715412E-2</v>
      </c>
      <c r="Y349" s="2">
        <f ca="1"/>
        <v>-5.0404914828260261E-2</v>
      </c>
      <c r="Z349" s="2" t="str">
        <f ca="1"/>
        <v/>
      </c>
      <c r="AA349" s="2" t="str">
        <f ca="1"/>
        <v/>
      </c>
      <c r="AB349" s="2" t="str">
        <f ca="1"/>
        <v/>
      </c>
      <c r="AC349" s="2" t="str">
        <f ca="1"/>
        <v/>
      </c>
      <c r="AD349" s="2" t="str">
        <f ca="1"/>
        <v/>
      </c>
      <c r="AE349" s="2" t="str">
        <f ca="1"/>
        <v/>
      </c>
      <c r="AF349" s="2">
        <f ca="1"/>
        <v>1.7929379458144858E-2</v>
      </c>
      <c r="AG349" s="26" t="str">
        <f ca="1"/>
        <v/>
      </c>
      <c r="AH349" s="26">
        <f ca="1"/>
        <v>-1.6500000000000001E-2</v>
      </c>
    </row>
    <row r="350" spans="1:34">
      <c r="A350" s="5">
        <f ca="1"/>
        <v>39447</v>
      </c>
      <c r="B350" s="2">
        <f ca="1"/>
        <v>-2.2450071046268009E-2</v>
      </c>
      <c r="C350" s="2">
        <f ca="1"/>
        <v>3.5930996927147729E-3</v>
      </c>
      <c r="D350" s="2">
        <f ca="1"/>
        <v>-1.0805956359442518E-2</v>
      </c>
      <c r="E350" s="2">
        <f ca="1"/>
        <v>2.8087645065066943E-3</v>
      </c>
      <c r="F350" s="2">
        <f ca="1"/>
        <v>-2.1220534135940435E-2</v>
      </c>
      <c r="G350" s="2">
        <f ca="1"/>
        <v>-2.3690481275874059E-2</v>
      </c>
      <c r="H350" s="2">
        <f ca="1"/>
        <v>5.3833043057120514E-3</v>
      </c>
      <c r="I350" s="2" t="str">
        <f ca="1"/>
        <v/>
      </c>
      <c r="J350" s="2" t="str">
        <f ca="1"/>
        <v/>
      </c>
      <c r="K350" s="2">
        <f ca="1"/>
        <v>-1.2321451829983114E-2</v>
      </c>
      <c r="L350" s="2">
        <f ca="1"/>
        <v>-1.5671742126314968E-2</v>
      </c>
      <c r="M350" s="2">
        <f ca="1"/>
        <v>1.3641438023579786E-2</v>
      </c>
      <c r="N350" s="2">
        <f ca="1"/>
        <v>-2.1846553966190095E-3</v>
      </c>
      <c r="O350" s="2" t="str">
        <f ca="1"/>
        <v/>
      </c>
      <c r="P350" s="2">
        <f ca="1"/>
        <v>3.6693742962843586E-3</v>
      </c>
      <c r="Q350" s="2">
        <f ca="1"/>
        <v>4.1105137539477424E-3</v>
      </c>
      <c r="R350" s="2">
        <f ca="1"/>
        <v>3.1365371542122066E-2</v>
      </c>
      <c r="S350" s="2">
        <f ca="1"/>
        <v>-1.1823314513450651E-2</v>
      </c>
      <c r="T350" s="2">
        <f ca="1"/>
        <v>-6.9757688920820847E-3</v>
      </c>
      <c r="U350" s="2">
        <f ca="1"/>
        <v>-6.5107887283543942E-3</v>
      </c>
      <c r="V350" s="2">
        <f ca="1"/>
        <v>-3.6153849204932217E-3</v>
      </c>
      <c r="W350" s="2">
        <f ca="1"/>
        <v>-9.6705838491358189E-3</v>
      </c>
      <c r="X350" s="2">
        <f ca="1"/>
        <v>6.1483492553325418E-4</v>
      </c>
      <c r="Y350" s="2">
        <f ca="1"/>
        <v>-1.5629854353151357E-2</v>
      </c>
      <c r="Z350" s="2" t="str">
        <f ca="1"/>
        <v/>
      </c>
      <c r="AA350" s="2" t="str">
        <f ca="1"/>
        <v/>
      </c>
      <c r="AB350" s="2" t="str">
        <f ca="1"/>
        <v/>
      </c>
      <c r="AC350" s="2" t="str">
        <f ca="1"/>
        <v/>
      </c>
      <c r="AD350" s="2" t="str">
        <f ca="1"/>
        <v/>
      </c>
      <c r="AE350" s="2" t="str">
        <f ca="1"/>
        <v/>
      </c>
      <c r="AF350" s="2">
        <f ca="1"/>
        <v>-4.5838891461049996E-5</v>
      </c>
      <c r="AG350" s="26" t="str">
        <f ca="1"/>
        <v/>
      </c>
      <c r="AH350" s="26">
        <f ca="1"/>
        <v>7.1300000000000002E-2</v>
      </c>
    </row>
    <row r="351" spans="1:34">
      <c r="A351" s="5">
        <f ca="1"/>
        <v>39478</v>
      </c>
      <c r="B351" s="2">
        <f ca="1"/>
        <v>-9.2280385012439708E-2</v>
      </c>
      <c r="C351" s="2">
        <f ca="1"/>
        <v>-0.12449917882283405</v>
      </c>
      <c r="D351" s="2">
        <f ca="1"/>
        <v>-8.1673641807081213E-2</v>
      </c>
      <c r="E351" s="2">
        <f ca="1"/>
        <v>1.6798147209958772E-2</v>
      </c>
      <c r="F351" s="2">
        <f ca="1"/>
        <v>-9.1918518465979593E-2</v>
      </c>
      <c r="G351" s="2">
        <f ca="1"/>
        <v>-9.2625090955784889E-2</v>
      </c>
      <c r="H351" s="2">
        <f ca="1"/>
        <v>-0.14067088478605244</v>
      </c>
      <c r="I351" s="2" t="str">
        <f ca="1"/>
        <v/>
      </c>
      <c r="J351" s="2" t="str">
        <f ca="1"/>
        <v/>
      </c>
      <c r="K351" s="2">
        <f ca="1"/>
        <v>-4.9953404954899458E-2</v>
      </c>
      <c r="L351" s="2">
        <f ca="1"/>
        <v>-6.3215496119994344E-2</v>
      </c>
      <c r="M351" s="2">
        <f ca="1"/>
        <v>-9.1572500492469691E-2</v>
      </c>
      <c r="N351" s="2">
        <f ca="1"/>
        <v>-8.9850388364697859E-2</v>
      </c>
      <c r="O351" s="2" t="str">
        <f ca="1"/>
        <v/>
      </c>
      <c r="P351" s="2">
        <f ca="1"/>
        <v>-0.12380179692899428</v>
      </c>
      <c r="Q351" s="2">
        <f ca="1"/>
        <v>-7.1741557521698932E-2</v>
      </c>
      <c r="R351" s="2">
        <f ca="1"/>
        <v>-0.11586590139331129</v>
      </c>
      <c r="S351" s="2">
        <f ca="1"/>
        <v>-4.6205552194662908E-2</v>
      </c>
      <c r="T351" s="2">
        <f ca="1"/>
        <v>-5.9982873865497041E-2</v>
      </c>
      <c r="U351" s="2">
        <f ca="1"/>
        <v>-5.9950300839706476E-2</v>
      </c>
      <c r="V351" s="2">
        <f ca="1"/>
        <v>-7.7975999729305259E-2</v>
      </c>
      <c r="W351" s="2">
        <f ca="1"/>
        <v>-4.0052448873232768E-2</v>
      </c>
      <c r="X351" s="2">
        <f ca="1"/>
        <v>-8.0179900744416971E-2</v>
      </c>
      <c r="Y351" s="2">
        <f ca="1"/>
        <v>-4.729627956017482E-2</v>
      </c>
      <c r="Z351" s="2" t="str">
        <f ca="1"/>
        <v/>
      </c>
      <c r="AA351" s="2" t="str">
        <f ca="1"/>
        <v/>
      </c>
      <c r="AB351" s="2" t="str">
        <f ca="1"/>
        <v/>
      </c>
      <c r="AC351" s="2" t="str">
        <f ca="1"/>
        <v/>
      </c>
      <c r="AD351" s="2" t="str">
        <f ca="1"/>
        <v/>
      </c>
      <c r="AE351" s="2" t="str">
        <f ca="1"/>
        <v/>
      </c>
      <c r="AF351" s="2">
        <f ca="1"/>
        <v>2.3129386181674497E-2</v>
      </c>
      <c r="AG351" s="26" t="str">
        <f ca="1"/>
        <v/>
      </c>
      <c r="AH351" s="26">
        <f ca="1"/>
        <v>0.1011</v>
      </c>
    </row>
    <row r="352" spans="1:34">
      <c r="A352" s="5">
        <f ca="1"/>
        <v>39507</v>
      </c>
      <c r="B352" s="2">
        <f ca="1"/>
        <v>1.463683965391206E-2</v>
      </c>
      <c r="C352" s="2">
        <f ca="1"/>
        <v>7.4172859727855742E-2</v>
      </c>
      <c r="D352" s="2">
        <f ca="1"/>
        <v>3.2966153682021395E-3</v>
      </c>
      <c r="E352" s="2">
        <f ca="1"/>
        <v>1.3879892662162117E-3</v>
      </c>
      <c r="F352" s="2">
        <f ca="1"/>
        <v>2.7529876814611946E-2</v>
      </c>
      <c r="G352" s="2">
        <f ca="1"/>
        <v>1.5671598765141679E-3</v>
      </c>
      <c r="H352" s="2">
        <f ca="1"/>
        <v>5.6488648368944155E-2</v>
      </c>
      <c r="I352" s="2" t="str">
        <f ca="1"/>
        <v/>
      </c>
      <c r="J352" s="2" t="str">
        <f ca="1"/>
        <v/>
      </c>
      <c r="K352" s="2">
        <f ca="1"/>
        <v>6.4776428782926606E-4</v>
      </c>
      <c r="L352" s="2">
        <f ca="1"/>
        <v>6.8255964423059494E-3</v>
      </c>
      <c r="M352" s="2">
        <f ca="1"/>
        <v>6.0006899610664938E-2</v>
      </c>
      <c r="N352" s="2">
        <f ca="1"/>
        <v>2.1111836603777849E-2</v>
      </c>
      <c r="O352" s="2" t="str">
        <f ca="1"/>
        <v/>
      </c>
      <c r="P352" s="2">
        <f ca="1"/>
        <v>8.9840758142140265E-2</v>
      </c>
      <c r="Q352" s="2">
        <f ca="1"/>
        <v>-1.1742948411210173E-2</v>
      </c>
      <c r="R352" s="2">
        <f ca="1"/>
        <v>-4.0143138964077625E-3</v>
      </c>
      <c r="S352" s="2">
        <f ca="1"/>
        <v>-3.0029035349833772E-2</v>
      </c>
      <c r="T352" s="2">
        <f ca="1"/>
        <v>-3.2489807560939721E-2</v>
      </c>
      <c r="U352" s="2">
        <f ca="1"/>
        <v>-3.0550988649651358E-2</v>
      </c>
      <c r="V352" s="2">
        <f ca="1"/>
        <v>-1.9862488801580237E-2</v>
      </c>
      <c r="W352" s="2">
        <f ca="1"/>
        <v>-4.1898323533492085E-2</v>
      </c>
      <c r="X352" s="2">
        <f ca="1"/>
        <v>-1.146518293711013E-2</v>
      </c>
      <c r="Y352" s="2">
        <f ca="1"/>
        <v>-3.9051383399209341E-2</v>
      </c>
      <c r="Z352" s="2" t="str">
        <f ca="1"/>
        <v/>
      </c>
      <c r="AA352" s="2" t="str">
        <f ca="1"/>
        <v/>
      </c>
      <c r="AB352" s="2" t="str">
        <f ca="1"/>
        <v/>
      </c>
      <c r="AC352" s="2" t="str">
        <f ca="1"/>
        <v/>
      </c>
      <c r="AD352" s="2" t="str">
        <f ca="1"/>
        <v/>
      </c>
      <c r="AE352" s="2" t="str">
        <f ca="1"/>
        <v/>
      </c>
      <c r="AF352" s="2">
        <f ca="1"/>
        <v>-1.599232916475521E-3</v>
      </c>
      <c r="AG352" s="26" t="str">
        <f ca="1"/>
        <v/>
      </c>
      <c r="AH352" s="26">
        <f ca="1"/>
        <v>5.67E-2</v>
      </c>
    </row>
    <row r="353" spans="1:34">
      <c r="A353" s="5">
        <f ca="1"/>
        <v>39538</v>
      </c>
      <c r="B353" s="2">
        <f ca="1"/>
        <v>-1.0041177748381105E-2</v>
      </c>
      <c r="C353" s="2">
        <f ca="1"/>
        <v>-5.2828963975334563E-2</v>
      </c>
      <c r="D353" s="2">
        <f ca="1"/>
        <v>-1.4225988880795612E-2</v>
      </c>
      <c r="E353" s="2">
        <f ca="1"/>
        <v>3.4118533471704238E-3</v>
      </c>
      <c r="F353" s="2">
        <f ca="1"/>
        <v>-1.4806210094634344E-2</v>
      </c>
      <c r="G353" s="2">
        <f ca="1"/>
        <v>-5.0646292322988565E-3</v>
      </c>
      <c r="H353" s="2">
        <f ca="1"/>
        <v>-3.75604579498377E-2</v>
      </c>
      <c r="I353" s="2" t="str">
        <f ca="1"/>
        <v/>
      </c>
      <c r="J353" s="2" t="str">
        <f ca="1"/>
        <v/>
      </c>
      <c r="K353" s="2">
        <f ca="1"/>
        <v>-4.6238925777276349E-3</v>
      </c>
      <c r="L353" s="2">
        <f ca="1"/>
        <v>8.4175846057770321E-4</v>
      </c>
      <c r="M353" s="2">
        <f ca="1"/>
        <v>-2.4929563058497691E-2</v>
      </c>
      <c r="N353" s="2">
        <f ca="1"/>
        <v>-1.7164011667040558E-2</v>
      </c>
      <c r="O353" s="2" t="str">
        <f ca="1"/>
        <v/>
      </c>
      <c r="P353" s="2">
        <f ca="1"/>
        <v>-3.7855584459176E-2</v>
      </c>
      <c r="Q353" s="2">
        <f ca="1"/>
        <v>-4.082968003664208E-3</v>
      </c>
      <c r="R353" s="2">
        <f ca="1"/>
        <v>-4.0189778668325033E-3</v>
      </c>
      <c r="S353" s="2">
        <f ca="1"/>
        <v>-2.9062375122580467E-5</v>
      </c>
      <c r="T353" s="2">
        <f ca="1"/>
        <v>-4.3232410276249243E-3</v>
      </c>
      <c r="U353" s="2">
        <f ca="1"/>
        <v>-6.7760324040359223E-3</v>
      </c>
      <c r="V353" s="2">
        <f ca="1"/>
        <v>-6.087649823581516E-3</v>
      </c>
      <c r="W353" s="2">
        <f ca="1"/>
        <v>-7.5195402234838459E-3</v>
      </c>
      <c r="X353" s="2">
        <f ca="1"/>
        <v>-9.5771108616555072E-3</v>
      </c>
      <c r="Y353" s="2">
        <f ca="1"/>
        <v>-4.4563531236779599E-3</v>
      </c>
      <c r="Z353" s="2" t="str">
        <f ca="1"/>
        <v/>
      </c>
      <c r="AA353" s="2" t="str">
        <f ca="1"/>
        <v/>
      </c>
      <c r="AB353" s="2" t="str">
        <f ca="1"/>
        <v/>
      </c>
      <c r="AC353" s="2" t="str">
        <f ca="1"/>
        <v/>
      </c>
      <c r="AD353" s="2" t="str">
        <f ca="1"/>
        <v/>
      </c>
      <c r="AE353" s="2" t="str">
        <f ca="1"/>
        <v/>
      </c>
      <c r="AF353" s="2">
        <f ca="1"/>
        <v>1.2947235372548788E-3</v>
      </c>
      <c r="AG353" s="26" t="str">
        <f ca="1"/>
        <v/>
      </c>
      <c r="AH353" s="26">
        <f ca="1"/>
        <v>-6.0299999999999999E-2</v>
      </c>
    </row>
    <row r="354" spans="1:34">
      <c r="A354" s="5">
        <f ca="1"/>
        <v>39568</v>
      </c>
      <c r="B354" s="2">
        <f ca="1"/>
        <v>5.5562759436050907E-2</v>
      </c>
      <c r="C354" s="2">
        <f ca="1"/>
        <v>8.1316422099183203E-2</v>
      </c>
      <c r="D354" s="2">
        <f ca="1"/>
        <v>5.6518800047463097E-2</v>
      </c>
      <c r="E354" s="2">
        <f ca="1"/>
        <v>-2.0897383222589329E-3</v>
      </c>
      <c r="F354" s="2">
        <f ca="1"/>
        <v>5.041911887713113E-2</v>
      </c>
      <c r="G354" s="2">
        <f ca="1"/>
        <v>6.0903987014667316E-2</v>
      </c>
      <c r="H354" s="2">
        <f ca="1"/>
        <v>9.1771715736686355E-2</v>
      </c>
      <c r="I354" s="2" t="str">
        <f ca="1"/>
        <v/>
      </c>
      <c r="J354" s="2" t="str">
        <f ca="1"/>
        <v/>
      </c>
      <c r="K354" s="2">
        <f ca="1"/>
        <v>2.4090900644777733E-2</v>
      </c>
      <c r="L354" s="2">
        <f ca="1"/>
        <v>1.8801548256402803E-2</v>
      </c>
      <c r="M354" s="2">
        <f ca="1"/>
        <v>6.2939863821021916E-2</v>
      </c>
      <c r="N354" s="2">
        <f ca="1"/>
        <v>5.9171327474032677E-2</v>
      </c>
      <c r="O354" s="2" t="str">
        <f ca="1"/>
        <v/>
      </c>
      <c r="P354" s="2">
        <f ca="1"/>
        <v>8.2178638786834846E-2</v>
      </c>
      <c r="Q354" s="2">
        <f ca="1"/>
        <v>3.2994757105501774E-2</v>
      </c>
      <c r="R354" s="2">
        <f ca="1"/>
        <v>8.3929748291690309E-2</v>
      </c>
      <c r="S354" s="2">
        <f ca="1"/>
        <v>4.2286984763607073E-2</v>
      </c>
      <c r="T354" s="2">
        <f ca="1"/>
        <v>4.870849657865238E-2</v>
      </c>
      <c r="U354" s="2">
        <f ca="1"/>
        <v>5.0704779204082701E-2</v>
      </c>
      <c r="V354" s="2">
        <f ca="1"/>
        <v>5.2500720189686899E-2</v>
      </c>
      <c r="W354" s="2">
        <f ca="1"/>
        <v>4.8745828429385282E-2</v>
      </c>
      <c r="X354" s="2">
        <f ca="1"/>
        <v>6.04073179150846E-2</v>
      </c>
      <c r="Y354" s="2">
        <f ca="1"/>
        <v>4.2776298268974715E-2</v>
      </c>
      <c r="Z354" s="2" t="str">
        <f ca="1"/>
        <v/>
      </c>
      <c r="AA354" s="2" t="str">
        <f ca="1"/>
        <v/>
      </c>
      <c r="AB354" s="2" t="str">
        <f ca="1"/>
        <v/>
      </c>
      <c r="AC354" s="2" t="str">
        <f ca="1"/>
        <v/>
      </c>
      <c r="AD354" s="2" t="str">
        <f ca="1"/>
        <v/>
      </c>
      <c r="AE354" s="2" t="str">
        <f ca="1"/>
        <v/>
      </c>
      <c r="AF354" s="2">
        <f ca="1"/>
        <v>3.304257477816206E-3</v>
      </c>
      <c r="AG354" s="26" t="str">
        <f ca="1"/>
        <v/>
      </c>
      <c r="AH354" s="26">
        <f ca="1"/>
        <v>-5.5800000000000002E-2</v>
      </c>
    </row>
    <row r="355" spans="1:34">
      <c r="A355" s="5">
        <f ca="1"/>
        <v>39598</v>
      </c>
      <c r="B355" s="2">
        <f ca="1"/>
        <v>1.1638562588836984E-2</v>
      </c>
      <c r="C355" s="2">
        <f ca="1"/>
        <v>1.8841826238726746E-2</v>
      </c>
      <c r="D355" s="2">
        <f ca="1"/>
        <v>1.67648244985612E-2</v>
      </c>
      <c r="E355" s="2">
        <f ca="1"/>
        <v>-7.3329500039042298E-3</v>
      </c>
      <c r="F355" s="2">
        <f ca="1"/>
        <v>2.4206529262285229E-2</v>
      </c>
      <c r="G355" s="2">
        <f ca="1"/>
        <v>-1.3078739165916062E-3</v>
      </c>
      <c r="H355" s="2">
        <f ca="1"/>
        <v>2.3335307884284819E-2</v>
      </c>
      <c r="I355" s="2" t="str">
        <f ca="1"/>
        <v/>
      </c>
      <c r="J355" s="2" t="str">
        <f ca="1"/>
        <v/>
      </c>
      <c r="K355" s="2">
        <f ca="1"/>
        <v>1.4814882016202862E-2</v>
      </c>
      <c r="L355" s="2">
        <f ca="1"/>
        <v>4.2341662598197882E-3</v>
      </c>
      <c r="M355" s="2">
        <f ca="1"/>
        <v>1.1770827726041272E-2</v>
      </c>
      <c r="N355" s="2">
        <f ca="1"/>
        <v>2.4301140159924083E-2</v>
      </c>
      <c r="O355" s="2" t="str">
        <f ca="1"/>
        <v/>
      </c>
      <c r="P355" s="2">
        <f ca="1"/>
        <v>3.1209389009217769E-2</v>
      </c>
      <c r="Q355" s="2">
        <f ca="1"/>
        <v>2.7755870455644097E-2</v>
      </c>
      <c r="R355" s="2">
        <f ca="1"/>
        <v>4.0299526389896291E-2</v>
      </c>
      <c r="S355" s="2">
        <f ca="1"/>
        <v>1.0770228161532541E-2</v>
      </c>
      <c r="T355" s="2">
        <f ca="1"/>
        <v>1.2952445918543012E-2</v>
      </c>
      <c r="U355" s="2">
        <f ca="1"/>
        <v>1.833749401099951E-2</v>
      </c>
      <c r="V355" s="2">
        <f ca="1"/>
        <v>3.6653458592476852E-2</v>
      </c>
      <c r="W355" s="2">
        <f ca="1"/>
        <v>-1.5863886250853194E-3</v>
      </c>
      <c r="X355" s="2">
        <f ca="1"/>
        <v>3.4993489583333447E-2</v>
      </c>
      <c r="Y355" s="2">
        <f ca="1"/>
        <v>-5.7462090981644197E-3</v>
      </c>
      <c r="Z355" s="2" t="str">
        <f ca="1"/>
        <v/>
      </c>
      <c r="AA355" s="2" t="str">
        <f ca="1"/>
        <v/>
      </c>
      <c r="AB355" s="2" t="str">
        <f ca="1"/>
        <v/>
      </c>
      <c r="AC355" s="2" t="str">
        <f ca="1"/>
        <v/>
      </c>
      <c r="AD355" s="2" t="str">
        <f ca="1"/>
        <v/>
      </c>
      <c r="AE355" s="2" t="str">
        <f ca="1"/>
        <v/>
      </c>
      <c r="AF355" s="2">
        <f ca="1"/>
        <v>-1.2643316047218923E-2</v>
      </c>
      <c r="AG355" s="26" t="str">
        <f ca="1"/>
        <v/>
      </c>
      <c r="AH355" s="26">
        <f ca="1"/>
        <v>2.5699999999999997E-2</v>
      </c>
    </row>
    <row r="356" spans="1:34">
      <c r="A356" s="5">
        <f ca="1"/>
        <v>39629</v>
      </c>
      <c r="B356" s="2">
        <f ca="1"/>
        <v>-8.1583986379195492E-2</v>
      </c>
      <c r="C356" s="2">
        <f ca="1"/>
        <v>-9.9625294358680658E-2</v>
      </c>
      <c r="D356" s="2">
        <f ca="1"/>
        <v>-8.1780921188061823E-2</v>
      </c>
      <c r="E356" s="2">
        <f ca="1"/>
        <v>-8.0092678671042075E-4</v>
      </c>
      <c r="F356" s="2">
        <f ca="1"/>
        <v>-6.8176380117107735E-2</v>
      </c>
      <c r="G356" s="2">
        <f ca="1"/>
        <v>-9.5163961445132353E-2</v>
      </c>
      <c r="H356" s="2">
        <f ca="1"/>
        <v>-2.6143480736382573E-2</v>
      </c>
      <c r="I356" s="2" t="str">
        <f ca="1"/>
        <v/>
      </c>
      <c r="J356" s="2" t="str">
        <f ca="1"/>
        <v/>
      </c>
      <c r="K356" s="2">
        <f ca="1"/>
        <v>-5.6338279992848198E-2</v>
      </c>
      <c r="L356" s="2">
        <f ca="1"/>
        <v>-6.206908743768344E-2</v>
      </c>
      <c r="M356" s="2">
        <f ca="1"/>
        <v>-7.0583645166438988E-2</v>
      </c>
      <c r="N356" s="2">
        <f ca="1"/>
        <v>-5.8275205420362117E-2</v>
      </c>
      <c r="O356" s="2" t="str">
        <f ca="1"/>
        <v/>
      </c>
      <c r="P356" s="2">
        <f ca="1"/>
        <v>-8.6740326094389544E-2</v>
      </c>
      <c r="Q356" s="2">
        <f ca="1"/>
        <v>-6.4508143967523149E-2</v>
      </c>
      <c r="R356" s="2">
        <f ca="1"/>
        <v>-1.3401554457272867E-2</v>
      </c>
      <c r="S356" s="2">
        <f ca="1"/>
        <v>-6.7091505972578527E-2</v>
      </c>
      <c r="T356" s="2">
        <f ca="1"/>
        <v>-8.4311740616619377E-2</v>
      </c>
      <c r="U356" s="2">
        <f ca="1"/>
        <v>-8.3065801233748224E-2</v>
      </c>
      <c r="V356" s="2">
        <f ca="1"/>
        <v>-7.2022925801885143E-2</v>
      </c>
      <c r="W356" s="2">
        <f ca="1"/>
        <v>-9.572173456373316E-2</v>
      </c>
      <c r="X356" s="2">
        <f ca="1"/>
        <v>-6.7048195959415371E-2</v>
      </c>
      <c r="Y356" s="2">
        <f ca="1"/>
        <v>-9.5275654669129267E-2</v>
      </c>
      <c r="Z356" s="2" t="str">
        <f ca="1"/>
        <v/>
      </c>
      <c r="AA356" s="2" t="str">
        <f ca="1"/>
        <v/>
      </c>
      <c r="AB356" s="2" t="str">
        <f ca="1"/>
        <v/>
      </c>
      <c r="AC356" s="2" t="str">
        <f ca="1"/>
        <v/>
      </c>
      <c r="AD356" s="2" t="str">
        <f ca="1"/>
        <v/>
      </c>
      <c r="AE356" s="2" t="str">
        <f ca="1"/>
        <v/>
      </c>
      <c r="AF356" s="2">
        <f ca="1"/>
        <v>-1.8612471786006012E-3</v>
      </c>
      <c r="AG356" s="26" t="str">
        <f ca="1"/>
        <v/>
      </c>
      <c r="AH356" s="26">
        <f ca="1"/>
        <v>4.6199999999999998E-2</v>
      </c>
    </row>
    <row r="357" spans="1:34">
      <c r="A357" s="5">
        <f ca="1"/>
        <v>39660</v>
      </c>
      <c r="B357" s="2">
        <f ca="1"/>
        <v>-3.2012790724279663E-2</v>
      </c>
      <c r="C357" s="2">
        <f ca="1"/>
        <v>-3.6928593752570148E-2</v>
      </c>
      <c r="D357" s="2">
        <f ca="1"/>
        <v>-2.5654064733908445E-2</v>
      </c>
      <c r="E357" s="2">
        <f ca="1"/>
        <v>-8.2303937706660962E-4</v>
      </c>
      <c r="F357" s="2">
        <f ca="1"/>
        <v>-3.4809953877327181E-2</v>
      </c>
      <c r="G357" s="2">
        <f ca="1"/>
        <v>-2.9083547303969903E-2</v>
      </c>
      <c r="H357" s="2">
        <f ca="1"/>
        <v>-8.614859926918389E-2</v>
      </c>
      <c r="I357" s="2" t="str">
        <f ca="1"/>
        <v/>
      </c>
      <c r="J357" s="2" t="str">
        <f ca="1"/>
        <v/>
      </c>
      <c r="K357" s="2">
        <f ca="1"/>
        <v>-1.3641789348034514E-3</v>
      </c>
      <c r="L357" s="2">
        <f ca="1"/>
        <v>-1.6501743473753643E-2</v>
      </c>
      <c r="M357" s="2">
        <f ca="1"/>
        <v>-2.8698456313088091E-2</v>
      </c>
      <c r="N357" s="2">
        <f ca="1"/>
        <v>-3.303541503742604E-2</v>
      </c>
      <c r="O357" s="2" t="str">
        <f ca="1"/>
        <v/>
      </c>
      <c r="P357" s="2">
        <f ca="1"/>
        <v>-4.7013392666124733E-2</v>
      </c>
      <c r="Q357" s="2">
        <f ca="1"/>
        <v>-8.8775402201524602E-3</v>
      </c>
      <c r="R357" s="2">
        <f ca="1"/>
        <v>-9.1582743532982056E-2</v>
      </c>
      <c r="S357" s="2">
        <f ca="1"/>
        <v>1.9317207321761155E-2</v>
      </c>
      <c r="T357" s="2">
        <f ca="1"/>
        <v>-8.4062258385645527E-3</v>
      </c>
      <c r="U357" s="2">
        <f ca="1"/>
        <v>-1.1628531037077941E-2</v>
      </c>
      <c r="V357" s="2">
        <f ca="1"/>
        <v>-1.9012538601778498E-2</v>
      </c>
      <c r="W357" s="2">
        <f ca="1"/>
        <v>-3.610504092744193E-3</v>
      </c>
      <c r="X357" s="2">
        <f ca="1"/>
        <v>-1.6387903362054389E-2</v>
      </c>
      <c r="Y357" s="2">
        <f ca="1"/>
        <v>-1.7873100983020998E-3</v>
      </c>
      <c r="Z357" s="2" t="str">
        <f ca="1"/>
        <v/>
      </c>
      <c r="AA357" s="2" t="str">
        <f ca="1"/>
        <v/>
      </c>
      <c r="AB357" s="2" t="str">
        <f ca="1"/>
        <v/>
      </c>
      <c r="AC357" s="2" t="str">
        <f ca="1"/>
        <v/>
      </c>
      <c r="AD357" s="2" t="str">
        <f ca="1"/>
        <v/>
      </c>
      <c r="AE357" s="2" t="str">
        <f ca="1"/>
        <v/>
      </c>
      <c r="AF357" s="2">
        <f ca="1"/>
        <v>3.9486756085919559E-3</v>
      </c>
      <c r="AG357" s="26" t="str">
        <f ca="1"/>
        <v/>
      </c>
      <c r="AH357" s="26">
        <f ca="1"/>
        <v>-1.55E-2</v>
      </c>
    </row>
    <row r="358" spans="1:34">
      <c r="A358" s="5">
        <f ca="1"/>
        <v>39689</v>
      </c>
      <c r="B358" s="2">
        <f ca="1"/>
        <v>-4.026135879943276E-2</v>
      </c>
      <c r="C358" s="2">
        <f ca="1"/>
        <v>-7.9547266060895919E-2</v>
      </c>
      <c r="D358" s="2">
        <f ca="1"/>
        <v>-2.1115997687865616E-2</v>
      </c>
      <c r="E358" s="2">
        <f ca="1"/>
        <v>9.4906561803869329E-3</v>
      </c>
      <c r="F358" s="2">
        <f ca="1"/>
        <v>-4.7467869244980268E-2</v>
      </c>
      <c r="G358" s="2">
        <f ca="1"/>
        <v>-3.2828719478772826E-2</v>
      </c>
      <c r="H358" s="2">
        <f ca="1"/>
        <v>-3.6680030708862894E-2</v>
      </c>
      <c r="I358" s="2" t="str">
        <f ca="1"/>
        <v/>
      </c>
      <c r="J358" s="2" t="str">
        <f ca="1"/>
        <v/>
      </c>
      <c r="K358" s="2">
        <f ca="1"/>
        <v>-5.9764357675461425E-4</v>
      </c>
      <c r="L358" s="2">
        <f ca="1"/>
        <v>-1.9212525992008313E-2</v>
      </c>
      <c r="M358" s="2">
        <f ca="1"/>
        <v>-5.5684340805060552E-2</v>
      </c>
      <c r="N358" s="2">
        <f ca="1"/>
        <v>-1.0640878998994746E-2</v>
      </c>
      <c r="O358" s="2" t="str">
        <f ca="1"/>
        <v/>
      </c>
      <c r="P358" s="2">
        <f ca="1"/>
        <v>-5.7414495616742792E-2</v>
      </c>
      <c r="Q358" s="2">
        <f ca="1"/>
        <v>2.2906571623082735E-2</v>
      </c>
      <c r="R358" s="2">
        <f ca="1"/>
        <v>-7.5623233837107022E-3</v>
      </c>
      <c r="S358" s="2">
        <f ca="1"/>
        <v>1.877706137901531E-2</v>
      </c>
      <c r="T358" s="2">
        <f ca="1"/>
        <v>1.4467009148938786E-2</v>
      </c>
      <c r="U358" s="2">
        <f ca="1"/>
        <v>1.3769131946438848E-2</v>
      </c>
      <c r="V358" s="2">
        <f ca="1"/>
        <v>1.0766986002472039E-2</v>
      </c>
      <c r="W358" s="2">
        <f ca="1"/>
        <v>1.6987887673261516E-2</v>
      </c>
      <c r="X358" s="2">
        <f ca="1"/>
        <v>1.2023359670216329E-2</v>
      </c>
      <c r="Y358" s="2">
        <f ca="1"/>
        <v>1.629364368845114E-2</v>
      </c>
      <c r="Z358" s="2" t="str">
        <f ca="1"/>
        <v/>
      </c>
      <c r="AA358" s="2" t="str">
        <f ca="1"/>
        <v/>
      </c>
      <c r="AB358" s="2" t="str">
        <f ca="1"/>
        <v/>
      </c>
      <c r="AC358" s="2" t="str">
        <f ca="1"/>
        <v/>
      </c>
      <c r="AD358" s="2" t="str">
        <f ca="1"/>
        <v/>
      </c>
      <c r="AE358" s="2" t="str">
        <f ca="1"/>
        <v/>
      </c>
      <c r="AF358" s="2">
        <f ca="1"/>
        <v>7.4277971828168214E-3</v>
      </c>
      <c r="AG358" s="26" t="str">
        <f ca="1"/>
        <v/>
      </c>
      <c r="AH358" s="26">
        <f ca="1"/>
        <v>-9.0500000000000011E-2</v>
      </c>
    </row>
    <row r="359" spans="1:34">
      <c r="A359" s="5">
        <f ca="1"/>
        <v>39721</v>
      </c>
      <c r="B359" s="2">
        <f ca="1"/>
        <v>-0.14424382118376072</v>
      </c>
      <c r="C359" s="2">
        <f ca="1"/>
        <v>-0.17489732297491217</v>
      </c>
      <c r="D359" s="2">
        <f ca="1"/>
        <v>-0.12458268279305845</v>
      </c>
      <c r="E359" s="2">
        <f ca="1"/>
        <v>-1.3431628540614065E-2</v>
      </c>
      <c r="F359" s="2">
        <f ca="1"/>
        <v>-0.15026946357285523</v>
      </c>
      <c r="G359" s="2">
        <f ca="1"/>
        <v>-0.13811380635602094</v>
      </c>
      <c r="H359" s="2">
        <f ca="1"/>
        <v>-0.17117904896838759</v>
      </c>
      <c r="I359" s="2" t="str">
        <f ca="1"/>
        <v/>
      </c>
      <c r="J359" s="2" t="str">
        <f ca="1"/>
        <v/>
      </c>
      <c r="K359" s="2">
        <f ca="1"/>
        <v>-5.9733652267182989E-2</v>
      </c>
      <c r="L359" s="2">
        <f ca="1"/>
        <v>-7.876585184750963E-2</v>
      </c>
      <c r="M359" s="2">
        <f ca="1"/>
        <v>-0.14200567939502998</v>
      </c>
      <c r="N359" s="2">
        <f ca="1"/>
        <v>-0.12093609865470858</v>
      </c>
      <c r="O359" s="2" t="str">
        <f ca="1"/>
        <v/>
      </c>
      <c r="P359" s="2">
        <f ca="1"/>
        <v>-0.18104413270774283</v>
      </c>
      <c r="Q359" s="2">
        <f ca="1"/>
        <v>-7.1852692844745394E-2</v>
      </c>
      <c r="R359" s="2">
        <f ca="1"/>
        <v>-0.15507343278076219</v>
      </c>
      <c r="S359" s="2">
        <f ca="1"/>
        <v>-2.8895849647611695E-2</v>
      </c>
      <c r="T359" s="2">
        <f ca="1"/>
        <v>-8.9115326174538267E-2</v>
      </c>
      <c r="U359" s="2">
        <f ca="1"/>
        <v>-9.5269882207605086E-2</v>
      </c>
      <c r="V359" s="2">
        <f ca="1"/>
        <v>-0.11580450636577135</v>
      </c>
      <c r="W359" s="2">
        <f ca="1"/>
        <v>-7.347034854224567E-2</v>
      </c>
      <c r="X359" s="2">
        <f ca="1"/>
        <v>-0.11160181146203808</v>
      </c>
      <c r="Y359" s="2">
        <f ca="1"/>
        <v>-6.852442396594316E-2</v>
      </c>
      <c r="Z359" s="2" t="str">
        <f ca="1"/>
        <v/>
      </c>
      <c r="AA359" s="2" t="str">
        <f ca="1"/>
        <v/>
      </c>
      <c r="AB359" s="2" t="str">
        <f ca="1"/>
        <v/>
      </c>
      <c r="AC359" s="2" t="str">
        <f ca="1"/>
        <v/>
      </c>
      <c r="AD359" s="2" t="str">
        <f ca="1"/>
        <v/>
      </c>
      <c r="AE359" s="2" t="str">
        <f ca="1"/>
        <v/>
      </c>
      <c r="AF359" s="2">
        <f ca="1"/>
        <v>-1.7612196483469809E-2</v>
      </c>
      <c r="AG359" s="26" t="str">
        <f ca="1"/>
        <v/>
      </c>
      <c r="AH359" s="26">
        <f ca="1"/>
        <v>5.1699999999999996E-2</v>
      </c>
    </row>
    <row r="360" spans="1:34">
      <c r="A360" s="5">
        <f ca="1"/>
        <v>39752</v>
      </c>
      <c r="B360" s="2">
        <f ca="1"/>
        <v>-0.20173537650354254</v>
      </c>
      <c r="C360" s="2">
        <f ca="1"/>
        <v>-0.27353144022309511</v>
      </c>
      <c r="D360" s="2">
        <f ca="1"/>
        <v>-0.19790609289420658</v>
      </c>
      <c r="E360" s="2">
        <f ca="1"/>
        <v>-2.3604208769948981E-2</v>
      </c>
      <c r="F360" s="2">
        <f ca="1"/>
        <v>-0.19784863223218396</v>
      </c>
      <c r="G360" s="2">
        <f ca="1"/>
        <v>-0.20559903794921572</v>
      </c>
      <c r="H360" s="2">
        <f ca="1"/>
        <v>-0.16160739326112794</v>
      </c>
      <c r="I360" s="2" t="str">
        <f ca="1"/>
        <v/>
      </c>
      <c r="J360" s="2" t="str">
        <f ca="1"/>
        <v/>
      </c>
      <c r="K360" s="2">
        <f ca="1"/>
        <v>-0.14214904399442757</v>
      </c>
      <c r="L360" s="2">
        <f ca="1"/>
        <v>-0.14083909557544644</v>
      </c>
      <c r="M360" s="2">
        <f ca="1"/>
        <v>-0.22727768685215499</v>
      </c>
      <c r="N360" s="2">
        <f ca="1"/>
        <v>-0.16588288431903928</v>
      </c>
      <c r="O360" s="2" t="str">
        <f ca="1"/>
        <v/>
      </c>
      <c r="P360" s="2">
        <f ca="1"/>
        <v>-0.27127713716537499</v>
      </c>
      <c r="Q360" s="2">
        <f ca="1"/>
        <v>-0.15172307129901716</v>
      </c>
      <c r="R360" s="2">
        <f ca="1"/>
        <v>-0.14436379512647698</v>
      </c>
      <c r="S360" s="2">
        <f ca="1"/>
        <v>-0.1452668773046161</v>
      </c>
      <c r="T360" s="2">
        <f ca="1"/>
        <v>-0.16795081620762703</v>
      </c>
      <c r="U360" s="2">
        <f ca="1"/>
        <v>-0.17460625454933706</v>
      </c>
      <c r="V360" s="2">
        <f ca="1"/>
        <v>-0.17605839488944863</v>
      </c>
      <c r="W360" s="2">
        <f ca="1"/>
        <v>-0.17311333855126612</v>
      </c>
      <c r="X360" s="2">
        <f ca="1"/>
        <v>-0.17812679563302058</v>
      </c>
      <c r="Y360" s="2">
        <f ca="1"/>
        <v>-0.1623426173216331</v>
      </c>
      <c r="Z360" s="2" t="str">
        <f ca="1"/>
        <v/>
      </c>
      <c r="AA360" s="2" t="str">
        <f ca="1"/>
        <v/>
      </c>
      <c r="AB360" s="2" t="str">
        <f ca="1"/>
        <v/>
      </c>
      <c r="AC360" s="2" t="str">
        <f ca="1"/>
        <v/>
      </c>
      <c r="AD360" s="2" t="str">
        <f ca="1"/>
        <v/>
      </c>
      <c r="AE360" s="2" t="str">
        <f ca="1"/>
        <v/>
      </c>
      <c r="AF360" s="2">
        <f ca="1"/>
        <v>-2.2782838016026038E-2</v>
      </c>
      <c r="AG360" s="26" t="str">
        <f ca="1"/>
        <v/>
      </c>
      <c r="AH360" s="26">
        <f ca="1"/>
        <v>-0.1784</v>
      </c>
    </row>
    <row r="361" spans="1:34">
      <c r="A361" s="5">
        <f ca="1"/>
        <v>39780</v>
      </c>
      <c r="B361" s="2">
        <f ca="1"/>
        <v>-5.3582206252317049E-2</v>
      </c>
      <c r="C361" s="2">
        <f ca="1"/>
        <v>-7.5205349403558011E-2</v>
      </c>
      <c r="D361" s="2">
        <f ca="1"/>
        <v>-6.5062378889155018E-2</v>
      </c>
      <c r="E361" s="2">
        <f ca="1"/>
        <v>3.2549848631050197E-2</v>
      </c>
      <c r="F361" s="2">
        <f ca="1"/>
        <v>-6.3413977849322067E-2</v>
      </c>
      <c r="G361" s="2">
        <f ca="1"/>
        <v>-4.3536658002570276E-2</v>
      </c>
      <c r="H361" s="2">
        <f ca="1"/>
        <v>-7.8992640734014977E-2</v>
      </c>
      <c r="I361" s="2" t="str">
        <f ca="1"/>
        <v/>
      </c>
      <c r="J361" s="2" t="str">
        <f ca="1"/>
        <v/>
      </c>
      <c r="K361" s="2">
        <f ca="1"/>
        <v>-2.5771679395601141E-2</v>
      </c>
      <c r="L361" s="2">
        <f ca="1"/>
        <v>-1.0121957240902639E-2</v>
      </c>
      <c r="M361" s="2">
        <f ca="1"/>
        <v>-4.2282468856882936E-2</v>
      </c>
      <c r="N361" s="2">
        <f ca="1"/>
        <v>-4.6329771138256752E-2</v>
      </c>
      <c r="O361" s="2" t="str">
        <f ca="1"/>
        <v/>
      </c>
      <c r="P361" s="2">
        <f ca="1"/>
        <v>-8.3448069440287334E-2</v>
      </c>
      <c r="Q361" s="2">
        <f ca="1"/>
        <v>-4.6973413777100098E-2</v>
      </c>
      <c r="R361" s="2">
        <f ca="1"/>
        <v>-8.4065504759778739E-2</v>
      </c>
      <c r="S361" s="2">
        <f ca="1"/>
        <v>-5.1220035164458187E-2</v>
      </c>
      <c r="T361" s="2">
        <f ca="1"/>
        <v>-7.174797365080228E-2</v>
      </c>
      <c r="U361" s="2">
        <f ca="1"/>
        <v>-7.5620245722575585E-2</v>
      </c>
      <c r="V361" s="2">
        <f ca="1"/>
        <v>-7.9528687469134191E-2</v>
      </c>
      <c r="W361" s="2">
        <f ca="1"/>
        <v>-7.1708828872841676E-2</v>
      </c>
      <c r="X361" s="2">
        <f ca="1"/>
        <v>-8.6693078536471624E-2</v>
      </c>
      <c r="Y361" s="2">
        <f ca="1"/>
        <v>-6.6499658392165567E-2</v>
      </c>
      <c r="Z361" s="2" t="str">
        <f ca="1"/>
        <v/>
      </c>
      <c r="AA361" s="2" t="str">
        <f ca="1"/>
        <v/>
      </c>
      <c r="AB361" s="2" t="str">
        <f ca="1"/>
        <v/>
      </c>
      <c r="AC361" s="2" t="str">
        <f ca="1"/>
        <v/>
      </c>
      <c r="AD361" s="2" t="str">
        <f ca="1"/>
        <v/>
      </c>
      <c r="AE361" s="2" t="str">
        <f ca="1"/>
        <v/>
      </c>
      <c r="AF361" s="2">
        <f ca="1"/>
        <v>3.0312192323151823E-2</v>
      </c>
      <c r="AG361" s="26" t="str">
        <f ca="1"/>
        <v/>
      </c>
      <c r="AH361" s="26">
        <f ca="1"/>
        <v>0.13650000000000001</v>
      </c>
    </row>
    <row r="362" spans="1:34">
      <c r="A362" s="5">
        <f ca="1"/>
        <v>39813</v>
      </c>
      <c r="B362" s="2">
        <f ca="1"/>
        <v>6.0231882540762706E-2</v>
      </c>
      <c r="C362" s="2">
        <f ca="1"/>
        <v>7.826378040615932E-2</v>
      </c>
      <c r="D362" s="2">
        <f ca="1"/>
        <v>3.6736666220315212E-2</v>
      </c>
      <c r="E362" s="2">
        <f ca="1"/>
        <v>3.7309173919246652E-2</v>
      </c>
      <c r="F362" s="2">
        <f ca="1"/>
        <v>6.3811144523554825E-2</v>
      </c>
      <c r="G362" s="2">
        <f ca="1"/>
        <v>5.6490249503508921E-2</v>
      </c>
      <c r="H362" s="2">
        <f ca="1"/>
        <v>2.7724450440166679E-2</v>
      </c>
      <c r="I362" s="2" t="str">
        <f ca="1"/>
        <v/>
      </c>
      <c r="J362" s="2" t="str">
        <f ca="1"/>
        <v/>
      </c>
      <c r="K362" s="2">
        <f ca="1"/>
        <v>2.9690651913947892E-2</v>
      </c>
      <c r="L362" s="2">
        <f ca="1"/>
        <v>6.1377693535514803E-2</v>
      </c>
      <c r="M362" s="2">
        <f ca="1"/>
        <v>6.1726979342430863E-2</v>
      </c>
      <c r="N362" s="2">
        <f ca="1"/>
        <v>2.6686706746827021E-2</v>
      </c>
      <c r="O362" s="2" t="str">
        <f ca="1"/>
        <v/>
      </c>
      <c r="P362" s="2">
        <f ca="1"/>
        <v>8.135762959092592E-2</v>
      </c>
      <c r="Q362" s="2">
        <f ca="1"/>
        <v>1.139170058088969E-2</v>
      </c>
      <c r="R362" s="2">
        <f ca="1"/>
        <v>1.4867429188210646E-2</v>
      </c>
      <c r="S362" s="2">
        <f ca="1"/>
        <v>-1.5367509469104324E-4</v>
      </c>
      <c r="T362" s="2">
        <f ca="1"/>
        <v>1.0625504719352134E-2</v>
      </c>
      <c r="U362" s="2">
        <f ca="1"/>
        <v>1.5979238561877388E-2</v>
      </c>
      <c r="V362" s="2">
        <f ca="1"/>
        <v>1.8073915104276337E-2</v>
      </c>
      <c r="W362" s="2">
        <f ca="1"/>
        <v>1.3880665745674646E-2</v>
      </c>
      <c r="X362" s="2">
        <f ca="1"/>
        <v>1.2589898421083436E-2</v>
      </c>
      <c r="Y362" s="2">
        <f ca="1"/>
        <v>1.5137386256926035E-2</v>
      </c>
      <c r="Z362" s="2" t="str">
        <f ca="1"/>
        <v/>
      </c>
      <c r="AA362" s="2" t="str">
        <f ca="1"/>
        <v/>
      </c>
      <c r="AB362" s="2" t="str">
        <f ca="1"/>
        <v/>
      </c>
      <c r="AC362" s="2" t="str">
        <f ca="1"/>
        <v/>
      </c>
      <c r="AD362" s="2" t="str">
        <f ca="1"/>
        <v/>
      </c>
      <c r="AE362" s="2" t="str">
        <f ca="1"/>
        <v/>
      </c>
      <c r="AF362" s="2">
        <f ca="1"/>
        <v>6.6529189368024516E-2</v>
      </c>
      <c r="AG362" s="26" t="str">
        <f ca="1"/>
        <v/>
      </c>
      <c r="AH362" s="26">
        <f ca="1"/>
        <v>8.3400000000000002E-2</v>
      </c>
    </row>
    <row r="363" spans="1:34">
      <c r="A363" s="5">
        <f ca="1"/>
        <v>39843</v>
      </c>
      <c r="B363" s="2">
        <f ca="1"/>
        <v>-9.7976760974410979E-2</v>
      </c>
      <c r="C363" s="2">
        <f ca="1"/>
        <v>-6.4169960883332974E-2</v>
      </c>
      <c r="D363" s="2">
        <f ca="1"/>
        <v>-8.5130817136792256E-2</v>
      </c>
      <c r="E363" s="2">
        <f ca="1"/>
        <v>-8.8233271439377807E-3</v>
      </c>
      <c r="F363" s="2">
        <f ca="1"/>
        <v>-8.5406837970796914E-2</v>
      </c>
      <c r="G363" s="2">
        <f ca="1"/>
        <v>-0.11115840105929481</v>
      </c>
      <c r="H363" s="2">
        <f ca="1"/>
        <v>-7.8051899969708183E-2</v>
      </c>
      <c r="I363" s="2" t="str">
        <f ca="1"/>
        <v/>
      </c>
      <c r="J363" s="2" t="str">
        <f ca="1"/>
        <v/>
      </c>
      <c r="K363" s="2">
        <f ca="1"/>
        <v>-6.7452636518270867E-2</v>
      </c>
      <c r="L363" s="2">
        <f ca="1"/>
        <v>-8.3617266254670156E-2</v>
      </c>
      <c r="M363" s="2">
        <f ca="1"/>
        <v>-7.4478097853759362E-2</v>
      </c>
      <c r="N363" s="2">
        <f ca="1"/>
        <v>-5.6800806792673735E-2</v>
      </c>
      <c r="O363" s="2" t="str">
        <f ca="1"/>
        <v/>
      </c>
      <c r="P363" s="2">
        <f ca="1"/>
        <v>-5.6512985705657326E-2</v>
      </c>
      <c r="Q363" s="2">
        <f ca="1"/>
        <v>-4.5466270011865151E-2</v>
      </c>
      <c r="R363" s="2">
        <f ca="1"/>
        <v>-9.0968350630414432E-2</v>
      </c>
      <c r="S363" s="2">
        <f ca="1"/>
        <v>-8.9217583132922218E-2</v>
      </c>
      <c r="T363" s="2">
        <f ca="1"/>
        <v>-8.428327467480784E-2</v>
      </c>
      <c r="U363" s="2">
        <f ca="1"/>
        <v>-8.161997647831655E-2</v>
      </c>
      <c r="V363" s="2">
        <f ca="1"/>
        <v>-4.8105554819123125E-2</v>
      </c>
      <c r="W363" s="2">
        <f ca="1"/>
        <v>-0.11498953737347524</v>
      </c>
      <c r="X363" s="2">
        <f ca="1"/>
        <v>-4.8848392811946487E-2</v>
      </c>
      <c r="Y363" s="2">
        <f ca="1"/>
        <v>-0.11103012633624858</v>
      </c>
      <c r="Z363" s="2" t="str">
        <f ca="1"/>
        <v/>
      </c>
      <c r="AA363" s="2" t="str">
        <f ca="1"/>
        <v/>
      </c>
      <c r="AB363" s="2" t="str">
        <f ca="1"/>
        <v/>
      </c>
      <c r="AC363" s="2" t="str">
        <f ca="1"/>
        <v/>
      </c>
      <c r="AD363" s="2" t="str">
        <f ca="1"/>
        <v/>
      </c>
      <c r="AE363" s="2" t="str">
        <f ca="1"/>
        <v/>
      </c>
      <c r="AF363" s="2">
        <f ca="1"/>
        <v>-1.9865642994241841E-2</v>
      </c>
      <c r="AG363" s="26" t="str">
        <f ca="1"/>
        <v/>
      </c>
      <c r="AH363" s="26">
        <f ca="1"/>
        <v>4.8600000000000004E-2</v>
      </c>
    </row>
    <row r="364" spans="1:34">
      <c r="A364" s="5">
        <f ca="1"/>
        <v>39871</v>
      </c>
      <c r="B364" s="2">
        <f ca="1"/>
        <v>-0.1022717355906661</v>
      </c>
      <c r="C364" s="2">
        <f ca="1"/>
        <v>-5.6240531664326091E-2</v>
      </c>
      <c r="D364" s="2">
        <f ca="1"/>
        <v>-9.7293962747102058E-2</v>
      </c>
      <c r="E364" s="2">
        <f ca="1"/>
        <v>-3.7744489235188796E-3</v>
      </c>
      <c r="F364" s="2">
        <f ca="1"/>
        <v>-9.3044156413820633E-2</v>
      </c>
      <c r="G364" s="2">
        <f ca="1"/>
        <v>-0.1122262843070936</v>
      </c>
      <c r="H364" s="2">
        <f ca="1"/>
        <v>-9.5009491822429931E-2</v>
      </c>
      <c r="I364" s="2" t="str">
        <f ca="1"/>
        <v/>
      </c>
      <c r="J364" s="2" t="str">
        <f ca="1"/>
        <v/>
      </c>
      <c r="K364" s="2">
        <f ca="1"/>
        <v>-8.9691175545631885E-2</v>
      </c>
      <c r="L364" s="2">
        <f ca="1"/>
        <v>-9.8657640678487687E-2</v>
      </c>
      <c r="M364" s="2">
        <f ca="1"/>
        <v>-3.976060282742068E-2</v>
      </c>
      <c r="N364" s="2">
        <f ca="1"/>
        <v>-7.9691649708550402E-2</v>
      </c>
      <c r="O364" s="2" t="str">
        <f ca="1"/>
        <v/>
      </c>
      <c r="P364" s="2">
        <f ca="1"/>
        <v>-3.5038303138936938E-2</v>
      </c>
      <c r="Q364" s="2">
        <f ca="1"/>
        <v>-8.3770199427120023E-2</v>
      </c>
      <c r="R364" s="2">
        <f ca="1"/>
        <v>-9.9109299516908181E-2</v>
      </c>
      <c r="S364" s="2">
        <f ca="1"/>
        <v>-9.6219897158966769E-2</v>
      </c>
      <c r="T364" s="2">
        <f ca="1"/>
        <v>-0.10647869261906392</v>
      </c>
      <c r="U364" s="2">
        <f ca="1"/>
        <v>-0.10338692751829932</v>
      </c>
      <c r="V364" s="2">
        <f ca="1"/>
        <v>-7.5229264316282865E-2</v>
      </c>
      <c r="W364" s="2">
        <f ca="1"/>
        <v>-0.13360963908420453</v>
      </c>
      <c r="X364" s="2">
        <f ca="1"/>
        <v>-7.4773815859499507E-2</v>
      </c>
      <c r="Y364" s="2">
        <f ca="1"/>
        <v>-0.13555616288603464</v>
      </c>
      <c r="Z364" s="2" t="str">
        <f ca="1"/>
        <v/>
      </c>
      <c r="AA364" s="2" t="str">
        <f ca="1"/>
        <v/>
      </c>
      <c r="AB364" s="2" t="str">
        <f ca="1"/>
        <v/>
      </c>
      <c r="AC364" s="2" t="str">
        <f ca="1"/>
        <v/>
      </c>
      <c r="AD364" s="2" t="str">
        <f ca="1"/>
        <v/>
      </c>
      <c r="AE364" s="2" t="str">
        <f ca="1"/>
        <v/>
      </c>
      <c r="AF364" s="2">
        <f ca="1"/>
        <v>-1.0549785504380212E-2</v>
      </c>
      <c r="AG364" s="26" t="str">
        <f ca="1"/>
        <v/>
      </c>
      <c r="AH364" s="26">
        <f ca="1"/>
        <v>1.6399999999999998E-2</v>
      </c>
    </row>
    <row r="365" spans="1:34">
      <c r="A365" s="5">
        <f ca="1"/>
        <v>39903</v>
      </c>
      <c r="B365" s="2">
        <f ca="1"/>
        <v>6.3874655531680202E-2</v>
      </c>
      <c r="C365" s="2">
        <f ca="1"/>
        <v>0.1438480555848477</v>
      </c>
      <c r="D365" s="2">
        <f ca="1"/>
        <v>8.2920245065040213E-2</v>
      </c>
      <c r="E365" s="2">
        <f ca="1"/>
        <v>1.3901367153493127E-2</v>
      </c>
      <c r="F365" s="2">
        <f ca="1"/>
        <v>5.7073804033141731E-2</v>
      </c>
      <c r="G365" s="2">
        <f ca="1"/>
        <v>7.1299233327768399E-2</v>
      </c>
      <c r="H365" s="2">
        <f ca="1"/>
        <v>5.574941003247328E-2</v>
      </c>
      <c r="I365" s="2" t="str">
        <f ca="1"/>
        <v/>
      </c>
      <c r="J365" s="2" t="str">
        <f ca="1"/>
        <v/>
      </c>
      <c r="K365" s="2">
        <f ca="1"/>
        <v>3.8678919367097366E-2</v>
      </c>
      <c r="L365" s="2">
        <f ca="1"/>
        <v>1.7595516486017475E-2</v>
      </c>
      <c r="M365" s="2">
        <f ca="1"/>
        <v>0.10633865171270335</v>
      </c>
      <c r="N365" s="2">
        <f ca="1"/>
        <v>8.0745807176988746E-2</v>
      </c>
      <c r="O365" s="2" t="str">
        <f ca="1"/>
        <v/>
      </c>
      <c r="P365" s="2">
        <f ca="1"/>
        <v>0.12974060723999917</v>
      </c>
      <c r="Q365" s="2">
        <f ca="1"/>
        <v>8.7319845061837681E-2</v>
      </c>
      <c r="R365" s="2">
        <f ca="1"/>
        <v>6.3322161709258529E-2</v>
      </c>
      <c r="S365" s="2">
        <f ca="1"/>
        <v>6.6209017518809352E-2</v>
      </c>
      <c r="T365" s="2">
        <f ca="1"/>
        <v>8.7599010966576379E-2</v>
      </c>
      <c r="U365" s="2">
        <f ca="1"/>
        <v>8.7461820263983706E-2</v>
      </c>
      <c r="V365" s="2">
        <f ca="1"/>
        <v>8.9197894744574346E-2</v>
      </c>
      <c r="W365" s="2">
        <f ca="1"/>
        <v>8.5501750600281284E-2</v>
      </c>
      <c r="X365" s="2">
        <f ca="1"/>
        <v>7.867656001077096E-2</v>
      </c>
      <c r="Y365" s="2">
        <f ca="1"/>
        <v>8.1994131317619637E-2</v>
      </c>
      <c r="Z365" s="2" t="str">
        <f ca="1"/>
        <v/>
      </c>
      <c r="AA365" s="2" t="str">
        <f ca="1"/>
        <v/>
      </c>
      <c r="AB365" s="2" t="str">
        <f ca="1"/>
        <v/>
      </c>
      <c r="AC365" s="2" t="str">
        <f ca="1"/>
        <v/>
      </c>
      <c r="AD365" s="2" t="str">
        <f ca="1"/>
        <v/>
      </c>
      <c r="AE365" s="2" t="str">
        <f ca="1"/>
        <v/>
      </c>
      <c r="AF365" s="2">
        <f ca="1"/>
        <v>1.1018973058093785E-2</v>
      </c>
      <c r="AG365" s="26" t="str">
        <f ca="1"/>
        <v/>
      </c>
      <c r="AH365" s="26">
        <f ca="1"/>
        <v>-2.1099999999999997E-2</v>
      </c>
    </row>
    <row r="366" spans="1:34">
      <c r="A366" s="5">
        <f ca="1"/>
        <v>39933</v>
      </c>
      <c r="B366" s="2">
        <f ca="1"/>
        <v>0.12961586878907644</v>
      </c>
      <c r="C366" s="2">
        <f ca="1"/>
        <v>0.16655740391706947</v>
      </c>
      <c r="D366" s="2">
        <f ca="1"/>
        <v>0.1189614303878939</v>
      </c>
      <c r="E366" s="2">
        <f ca="1"/>
        <v>4.7809093344507361E-3</v>
      </c>
      <c r="F366" s="2">
        <f ca="1"/>
        <v>8.7813624652380032E-2</v>
      </c>
      <c r="G366" s="2">
        <f ca="1"/>
        <v>0.17464827001993899</v>
      </c>
      <c r="H366" s="2">
        <f ca="1"/>
        <v>5.276732323328813E-2</v>
      </c>
      <c r="I366" s="2" t="str">
        <f ca="1"/>
        <v/>
      </c>
      <c r="J366" s="2" t="str">
        <f ca="1"/>
        <v/>
      </c>
      <c r="K366" s="2">
        <f ca="1"/>
        <v>5.8472140918524887E-2</v>
      </c>
      <c r="L366" s="2">
        <f ca="1"/>
        <v>7.7510169278295821E-2</v>
      </c>
      <c r="M366" s="2">
        <f ca="1"/>
        <v>0.1301707363002951</v>
      </c>
      <c r="N366" s="2">
        <f ca="1"/>
        <v>8.2515518257793879E-2</v>
      </c>
      <c r="O366" s="2" t="str">
        <f ca="1"/>
        <v/>
      </c>
      <c r="P366" s="2">
        <f ca="1"/>
        <v>0.14138349514563112</v>
      </c>
      <c r="Q366" s="2">
        <f ca="1"/>
        <v>6.9783001808318326E-2</v>
      </c>
      <c r="R366" s="2">
        <f ca="1"/>
        <v>5.7778303094773831E-2</v>
      </c>
      <c r="S366" s="2">
        <f ca="1"/>
        <v>7.271846960534846E-2</v>
      </c>
      <c r="T366" s="2">
        <f ca="1"/>
        <v>9.5689700132341987E-2</v>
      </c>
      <c r="U366" s="2">
        <f ca="1"/>
        <v>0.10122199411928279</v>
      </c>
      <c r="V366" s="2">
        <f ca="1"/>
        <v>9.6005152466473564E-2</v>
      </c>
      <c r="W366" s="2">
        <f ca="1"/>
        <v>0.10719166652455982</v>
      </c>
      <c r="X366" s="2">
        <f ca="1"/>
        <v>9.9571734475374804E-2</v>
      </c>
      <c r="Y366" s="2">
        <f ca="1"/>
        <v>0.11015948021264048</v>
      </c>
      <c r="Z366" s="2" t="str">
        <f ca="1"/>
        <v/>
      </c>
      <c r="AA366" s="2" t="str">
        <f ca="1"/>
        <v/>
      </c>
      <c r="AB366" s="2" t="str">
        <f ca="1"/>
        <v/>
      </c>
      <c r="AC366" s="2" t="str">
        <f ca="1"/>
        <v/>
      </c>
      <c r="AD366" s="2" t="str">
        <f ca="1"/>
        <v/>
      </c>
      <c r="AE366" s="2" t="str">
        <f ca="1"/>
        <v/>
      </c>
      <c r="AF366" s="2">
        <f ca="1"/>
        <v>5.1536997452634329E-3</v>
      </c>
      <c r="AG366" s="26" t="str">
        <f ca="1"/>
        <v/>
      </c>
      <c r="AH366" s="26">
        <f ca="1"/>
        <v>-3.4000000000000002E-2</v>
      </c>
    </row>
    <row r="367" spans="1:34">
      <c r="A367" s="5">
        <f ca="1"/>
        <v>39962</v>
      </c>
      <c r="B367" s="2">
        <f ca="1"/>
        <v>0.12012905022327591</v>
      </c>
      <c r="C367" s="2">
        <f ca="1"/>
        <v>0.1714551649046398</v>
      </c>
      <c r="D367" s="2">
        <f ca="1"/>
        <v>0.10082602425323929</v>
      </c>
      <c r="E367" s="2">
        <f ca="1"/>
        <v>7.2534609468466243E-3</v>
      </c>
      <c r="F367" s="2">
        <f ca="1"/>
        <v>0.12015096777983378</v>
      </c>
      <c r="G367" s="2">
        <f ca="1"/>
        <v>0.12010028200060548</v>
      </c>
      <c r="H367" s="2">
        <f ca="1"/>
        <v>5.9177933036929531E-2</v>
      </c>
      <c r="I367" s="2" t="str">
        <f ca="1"/>
        <v/>
      </c>
      <c r="J367" s="2" t="str">
        <f ca="1"/>
        <v/>
      </c>
      <c r="K367" s="2">
        <f ca="1"/>
        <v>7.0953631895825653E-2</v>
      </c>
      <c r="L367" s="2">
        <f ca="1"/>
        <v>0.10404234341757036</v>
      </c>
      <c r="M367" s="2">
        <f ca="1"/>
        <v>0.12620280759244085</v>
      </c>
      <c r="N367" s="2">
        <f ca="1"/>
        <v>9.5622507327855349E-2</v>
      </c>
      <c r="O367" s="2" t="str">
        <f ca="1"/>
        <v/>
      </c>
      <c r="P367" s="2">
        <f ca="1"/>
        <v>0.174169539195006</v>
      </c>
      <c r="Q367" s="2">
        <f ca="1"/>
        <v>5.2773035379232093E-2</v>
      </c>
      <c r="R367" s="2">
        <f ca="1"/>
        <v>4.4230482717520857E-2</v>
      </c>
      <c r="S367" s="2">
        <f ca="1"/>
        <v>4.4328352475703998E-2</v>
      </c>
      <c r="T367" s="2">
        <f ca="1"/>
        <v>5.5900437727274842E-2</v>
      </c>
      <c r="U367" s="2">
        <f ca="1"/>
        <v>5.534252462913581E-2</v>
      </c>
      <c r="V367" s="2">
        <f ca="1"/>
        <v>4.9571113873266202E-2</v>
      </c>
      <c r="W367" s="2">
        <f ca="1"/>
        <v>6.1836344033972111E-2</v>
      </c>
      <c r="X367" s="2">
        <f ca="1"/>
        <v>4.6251217137292973E-2</v>
      </c>
      <c r="Y367" s="2">
        <f ca="1"/>
        <v>7.1029529130087657E-2</v>
      </c>
      <c r="Z367" s="2" t="str">
        <f ca="1"/>
        <v/>
      </c>
      <c r="AA367" s="2" t="str">
        <f ca="1"/>
        <v/>
      </c>
      <c r="AB367" s="2" t="str">
        <f ca="1"/>
        <v/>
      </c>
      <c r="AC367" s="2" t="str">
        <f ca="1"/>
        <v/>
      </c>
      <c r="AD367" s="2" t="str">
        <f ca="1"/>
        <v/>
      </c>
      <c r="AE367" s="2" t="str">
        <f ca="1"/>
        <v/>
      </c>
      <c r="AF367" s="2">
        <f ca="1"/>
        <v>7.1134382658291986E-3</v>
      </c>
      <c r="AG367" s="26" t="str">
        <f ca="1"/>
        <v/>
      </c>
      <c r="AH367" s="26">
        <f ca="1"/>
        <v>9.8299999999999998E-2</v>
      </c>
    </row>
    <row r="368" spans="1:34">
      <c r="A368" s="5">
        <f ca="1"/>
        <v>39994</v>
      </c>
      <c r="B368" s="2">
        <f ca="1"/>
        <v>-5.3951598557030016E-3</v>
      </c>
      <c r="C368" s="2">
        <f ca="1"/>
        <v>-1.3274866951502744E-2</v>
      </c>
      <c r="D368" s="2">
        <f ca="1"/>
        <v>-5.204656153703106E-3</v>
      </c>
      <c r="E368" s="2">
        <f ca="1"/>
        <v>5.6876798609980647E-3</v>
      </c>
      <c r="F368" s="2">
        <f ca="1"/>
        <v>-1.0808180234926741E-3</v>
      </c>
      <c r="G368" s="2">
        <f ca="1"/>
        <v>-9.6301897794258441E-3</v>
      </c>
      <c r="H368" s="2">
        <f ca="1"/>
        <v>2.7241887400199292E-3</v>
      </c>
      <c r="I368" s="2" t="str">
        <f ca="1"/>
        <v/>
      </c>
      <c r="J368" s="2" t="str">
        <f ca="1"/>
        <v/>
      </c>
      <c r="K368" s="2">
        <f ca="1"/>
        <v>1.2335101638420722E-2</v>
      </c>
      <c r="L368" s="2">
        <f ca="1"/>
        <v>6.3216770069561895E-3</v>
      </c>
      <c r="M368" s="2">
        <f ca="1"/>
        <v>1.2711446466439741E-2</v>
      </c>
      <c r="N368" s="2">
        <f ca="1"/>
        <v>-1.4473049427656814E-3</v>
      </c>
      <c r="O368" s="2" t="str">
        <f ca="1"/>
        <v/>
      </c>
      <c r="P368" s="2">
        <f ca="1"/>
        <v>-1.7424452656023999E-2</v>
      </c>
      <c r="Q368" s="2">
        <f ca="1"/>
        <v>1.6200767489282498E-2</v>
      </c>
      <c r="R368" s="2">
        <f ca="1"/>
        <v>2.3702091990511966E-2</v>
      </c>
      <c r="S368" s="2">
        <f ca="1"/>
        <v>1.0768014124397724E-2</v>
      </c>
      <c r="T368" s="2">
        <f ca="1"/>
        <v>1.9791872544653371E-3</v>
      </c>
      <c r="U368" s="2">
        <f ca="1"/>
        <v>2.445646410011612E-3</v>
      </c>
      <c r="V368" s="2">
        <f ca="1"/>
        <v>1.118602333352885E-2</v>
      </c>
      <c r="W368" s="2">
        <f ca="1"/>
        <v>-7.3850897441742362E-3</v>
      </c>
      <c r="X368" s="2">
        <f ca="1"/>
        <v>1.2284871253567909E-2</v>
      </c>
      <c r="Y368" s="2">
        <f ca="1"/>
        <v>-1.0801750093232799E-2</v>
      </c>
      <c r="Z368" s="2" t="str">
        <f ca="1"/>
        <v/>
      </c>
      <c r="AA368" s="2" t="str">
        <f ca="1"/>
        <v/>
      </c>
      <c r="AB368" s="2" t="str">
        <f ca="1"/>
        <v/>
      </c>
      <c r="AC368" s="2" t="str">
        <f ca="1"/>
        <v/>
      </c>
      <c r="AD368" s="2" t="str">
        <f ca="1"/>
        <v/>
      </c>
      <c r="AE368" s="2" t="str">
        <f ca="1"/>
        <v/>
      </c>
      <c r="AF368" s="2">
        <f ca="1"/>
        <v>4.2484378094229244E-3</v>
      </c>
      <c r="AG368" s="26" t="str">
        <f ca="1"/>
        <v/>
      </c>
      <c r="AH368" s="26">
        <f ca="1"/>
        <v>-5.2499999999999998E-2</v>
      </c>
    </row>
    <row r="369" spans="1:34">
      <c r="A369" s="5">
        <f ca="1"/>
        <v>40025</v>
      </c>
      <c r="B369" s="2">
        <f ca="1"/>
        <v>9.1425931749181219E-2</v>
      </c>
      <c r="C369" s="2">
        <f ca="1"/>
        <v>0.1131655512424128</v>
      </c>
      <c r="D369" s="2">
        <f ca="1"/>
        <v>8.8378397075063037E-2</v>
      </c>
      <c r="E369" s="2">
        <f ca="1"/>
        <v>1.6129685369903012E-2</v>
      </c>
      <c r="F369" s="2">
        <f ca="1"/>
        <v>8.6042414328222905E-2</v>
      </c>
      <c r="G369" s="2">
        <f ca="1"/>
        <v>9.6758415975173678E-2</v>
      </c>
      <c r="H369" s="2">
        <f ca="1"/>
        <v>8.4903887227680566E-2</v>
      </c>
      <c r="I369" s="2" t="str">
        <f ca="1"/>
        <v/>
      </c>
      <c r="J369" s="2" t="str">
        <f ca="1"/>
        <v/>
      </c>
      <c r="K369" s="2">
        <f ca="1"/>
        <v>6.2419569880006999E-2</v>
      </c>
      <c r="L369" s="2">
        <f ca="1"/>
        <v>6.8517783330608886E-2</v>
      </c>
      <c r="M369" s="2">
        <f ca="1"/>
        <v>9.3840928182714722E-2</v>
      </c>
      <c r="N369" s="2">
        <f ca="1"/>
        <v>7.0815764816116192E-2</v>
      </c>
      <c r="O369" s="2" t="str">
        <f ca="1"/>
        <v/>
      </c>
      <c r="P369" s="2">
        <f ca="1"/>
        <v>0.12034366917382651</v>
      </c>
      <c r="Q369" s="2">
        <f ca="1"/>
        <v>5.7544635803444585E-2</v>
      </c>
      <c r="R369" s="2">
        <f ca="1"/>
        <v>6.5592334494773474E-2</v>
      </c>
      <c r="S369" s="2">
        <f ca="1"/>
        <v>6.2909960971260531E-2</v>
      </c>
      <c r="T369" s="2">
        <f ca="1"/>
        <v>7.5630986676482728E-2</v>
      </c>
      <c r="U369" s="2">
        <f ca="1"/>
        <v>7.6313100001481241E-2</v>
      </c>
      <c r="V369" s="2">
        <f ca="1"/>
        <v>7.1026449750112991E-2</v>
      </c>
      <c r="W369" s="2">
        <f ca="1"/>
        <v>8.1850823539235673E-2</v>
      </c>
      <c r="X369" s="2">
        <f ca="1"/>
        <v>7.1263837638376501E-2</v>
      </c>
      <c r="Y369" s="2">
        <f ca="1"/>
        <v>7.9646017699115237E-2</v>
      </c>
      <c r="Z369" s="2" t="str">
        <f ca="1"/>
        <v/>
      </c>
      <c r="AA369" s="2" t="str">
        <f ca="1"/>
        <v/>
      </c>
      <c r="AB369" s="2" t="str">
        <f ca="1"/>
        <v/>
      </c>
      <c r="AC369" s="2" t="str">
        <f ca="1"/>
        <v/>
      </c>
      <c r="AD369" s="2" t="str">
        <f ca="1"/>
        <v/>
      </c>
      <c r="AE369" s="2" t="str">
        <f ca="1"/>
        <v/>
      </c>
      <c r="AF369" s="2">
        <f ca="1"/>
        <v>1.2695430710010856E-2</v>
      </c>
      <c r="AG369" s="26" t="str">
        <f ca="1"/>
        <v/>
      </c>
      <c r="AH369" s="26">
        <f ca="1"/>
        <v>2.8399999999999998E-2</v>
      </c>
    </row>
    <row r="370" spans="1:34">
      <c r="A370" s="5">
        <f ca="1"/>
        <v>40056</v>
      </c>
      <c r="B370" s="2">
        <f ca="1"/>
        <v>5.4514626511413811E-2</v>
      </c>
      <c r="C370" s="2">
        <f ca="1"/>
        <v>-3.3165911448380611E-3</v>
      </c>
      <c r="D370" s="2">
        <f ca="1"/>
        <v>3.6182328804853198E-2</v>
      </c>
      <c r="E370" s="2">
        <f ca="1"/>
        <v>1.0354400786376502E-2</v>
      </c>
      <c r="F370" s="2">
        <f ca="1"/>
        <v>3.2470257028003748E-2</v>
      </c>
      <c r="G370" s="2">
        <f ca="1"/>
        <v>7.6140854639678318E-2</v>
      </c>
      <c r="H370" s="2">
        <f ca="1"/>
        <v>5.0870948436071194E-3</v>
      </c>
      <c r="I370" s="2" t="str">
        <f ca="1"/>
        <v/>
      </c>
      <c r="J370" s="2" t="str">
        <f ca="1"/>
        <v/>
      </c>
      <c r="K370" s="2">
        <f ca="1"/>
        <v>1.9205796658627903E-2</v>
      </c>
      <c r="L370" s="2">
        <f ca="1"/>
        <v>3.9077696426620033E-2</v>
      </c>
      <c r="M370" s="2">
        <f ca="1"/>
        <v>-3.8509911293644044E-3</v>
      </c>
      <c r="N370" s="2">
        <f ca="1"/>
        <v>1.9496588780574496E-2</v>
      </c>
      <c r="O370" s="2" t="str">
        <f ca="1"/>
        <v/>
      </c>
      <c r="P370" s="2">
        <f ca="1"/>
        <v>-2.4943611516518448E-3</v>
      </c>
      <c r="Q370" s="2">
        <f ca="1"/>
        <v>2.2500448216099839E-2</v>
      </c>
      <c r="R370" s="2">
        <f ca="1"/>
        <v>1.2474454344805031E-2</v>
      </c>
      <c r="S370" s="2">
        <f ca="1"/>
        <v>3.0179571015286639E-2</v>
      </c>
      <c r="T370" s="2">
        <f ca="1"/>
        <v>3.6084090875486391E-2</v>
      </c>
      <c r="U370" s="2">
        <f ca="1"/>
        <v>3.6323438748356418E-2</v>
      </c>
      <c r="V370" s="2">
        <f ca="1"/>
        <v>2.0741249996616685E-2</v>
      </c>
      <c r="W370" s="2">
        <f ca="1"/>
        <v>5.230598237492734E-2</v>
      </c>
      <c r="X370" s="2">
        <f ca="1"/>
        <v>1.9806243272335634E-2</v>
      </c>
      <c r="Y370" s="2">
        <f ca="1"/>
        <v>5.222482435597172E-2</v>
      </c>
      <c r="Z370" s="2" t="str">
        <f ca="1"/>
        <v/>
      </c>
      <c r="AA370" s="2" t="str">
        <f ca="1"/>
        <v/>
      </c>
      <c r="AB370" s="2" t="str">
        <f ca="1"/>
        <v/>
      </c>
      <c r="AC370" s="2" t="str">
        <f ca="1"/>
        <v/>
      </c>
      <c r="AD370" s="2" t="str">
        <f ca="1"/>
        <v/>
      </c>
      <c r="AE370" s="2" t="str">
        <f ca="1"/>
        <v/>
      </c>
      <c r="AF370" s="2">
        <f ca="1"/>
        <v>1.2212495082477258E-2</v>
      </c>
      <c r="AG370" s="26" t="str">
        <f ca="1"/>
        <v/>
      </c>
      <c r="AH370" s="26">
        <f ca="1"/>
        <v>-1.6000000000000001E-3</v>
      </c>
    </row>
    <row r="371" spans="1:34">
      <c r="A371" s="5">
        <f ca="1"/>
        <v>40086</v>
      </c>
      <c r="B371" s="2">
        <f ca="1"/>
        <v>3.8477660461880649E-2</v>
      </c>
      <c r="C371" s="2">
        <f ca="1"/>
        <v>9.0934611434440232E-2</v>
      </c>
      <c r="D371" s="2">
        <f ca="1"/>
        <v>4.6198794537478112E-2</v>
      </c>
      <c r="E371" s="2">
        <f ca="1"/>
        <v>1.0504657415380987E-2</v>
      </c>
      <c r="F371" s="2">
        <f ca="1"/>
        <v>4.169538217216559E-2</v>
      </c>
      <c r="G371" s="2">
        <f ca="1"/>
        <v>3.5435914490298544E-2</v>
      </c>
      <c r="H371" s="2">
        <f ca="1"/>
        <v>4.196374006926068E-2</v>
      </c>
      <c r="I371" s="2" t="str">
        <f ca="1"/>
        <v/>
      </c>
      <c r="J371" s="2" t="str">
        <f ca="1"/>
        <v/>
      </c>
      <c r="K371" s="2">
        <f ca="1"/>
        <v>3.8769151703979737E-2</v>
      </c>
      <c r="L371" s="2">
        <f ca="1"/>
        <v>4.2593021054624237E-2</v>
      </c>
      <c r="M371" s="2">
        <f ca="1"/>
        <v>7.7552206120601971E-2</v>
      </c>
      <c r="N371" s="2">
        <f ca="1"/>
        <v>3.9843362345273428E-2</v>
      </c>
      <c r="O371" s="2" t="str">
        <f ca="1"/>
        <v/>
      </c>
      <c r="P371" s="2">
        <f ca="1"/>
        <v>7.8090500385730524E-2</v>
      </c>
      <c r="Q371" s="2">
        <f ca="1"/>
        <v>3.4293813378532434E-2</v>
      </c>
      <c r="R371" s="2">
        <f ca="1"/>
        <v>3.8270249321793126E-2</v>
      </c>
      <c r="S371" s="2">
        <f ca="1"/>
        <v>3.4920239282153709E-2</v>
      </c>
      <c r="T371" s="2">
        <f ca="1"/>
        <v>3.7311096142174718E-2</v>
      </c>
      <c r="U371" s="2">
        <f ca="1"/>
        <v>4.0576281230947038E-2</v>
      </c>
      <c r="V371" s="2">
        <f ca="1"/>
        <v>4.2535532456512509E-2</v>
      </c>
      <c r="W371" s="2">
        <f ca="1"/>
        <v>3.863602190169186E-2</v>
      </c>
      <c r="X371" s="2">
        <f ca="1"/>
        <v>4.3336916671989439E-2</v>
      </c>
      <c r="Y371" s="2">
        <f ca="1"/>
        <v>3.2307382163994536E-2</v>
      </c>
      <c r="Z371" s="2" t="str">
        <f ca="1"/>
        <v/>
      </c>
      <c r="AA371" s="2" t="str">
        <f ca="1"/>
        <v/>
      </c>
      <c r="AB371" s="2" t="str">
        <f ca="1"/>
        <v/>
      </c>
      <c r="AC371" s="2" t="str">
        <f ca="1"/>
        <v/>
      </c>
      <c r="AD371" s="2" t="str">
        <f ca="1"/>
        <v/>
      </c>
      <c r="AE371" s="2" t="str">
        <f ca="1"/>
        <v/>
      </c>
      <c r="AF371" s="2">
        <f ca="1"/>
        <v>1.1888434662812265E-2</v>
      </c>
      <c r="AG371" s="26" t="str">
        <f ca="1"/>
        <v/>
      </c>
      <c r="AH371" s="26">
        <f ca="1"/>
        <v>5.8600000000000006E-2</v>
      </c>
    </row>
    <row r="372" spans="1:34">
      <c r="A372" s="5">
        <f ca="1"/>
        <v>40116</v>
      </c>
      <c r="B372" s="2">
        <f ca="1"/>
        <v>-1.2449579288546529E-2</v>
      </c>
      <c r="C372" s="2">
        <f ca="1"/>
        <v>1.3305634182928109E-3</v>
      </c>
      <c r="D372" s="2">
        <f ca="1"/>
        <v>-1.5250880568428023E-2</v>
      </c>
      <c r="E372" s="2">
        <f ca="1"/>
        <v>4.9375166698108382E-3</v>
      </c>
      <c r="F372" s="2">
        <f ca="1"/>
        <v>-1.084966738623135E-3</v>
      </c>
      <c r="G372" s="2">
        <f ca="1"/>
        <v>-2.317385598610899E-2</v>
      </c>
      <c r="H372" s="2">
        <f ca="1"/>
        <v>-1.3940897811865699E-2</v>
      </c>
      <c r="I372" s="2" t="str">
        <f ca="1"/>
        <v/>
      </c>
      <c r="J372" s="2" t="str">
        <f ca="1"/>
        <v/>
      </c>
      <c r="K372" s="2">
        <f ca="1"/>
        <v>-1.4100185528757022E-2</v>
      </c>
      <c r="L372" s="2">
        <f ca="1"/>
        <v>-1.7107811491284736E-2</v>
      </c>
      <c r="M372" s="2">
        <f ca="1"/>
        <v>6.6983264552788581E-3</v>
      </c>
      <c r="N372" s="2">
        <f ca="1"/>
        <v>9.5952952100906066E-3</v>
      </c>
      <c r="O372" s="2" t="str">
        <f ca="1"/>
        <v/>
      </c>
      <c r="P372" s="2">
        <f ca="1"/>
        <v>1.212786695125417E-2</v>
      </c>
      <c r="Q372" s="2">
        <f ca="1"/>
        <v>1.2573285300557836E-3</v>
      </c>
      <c r="R372" s="2">
        <f ca="1"/>
        <v>-2.9596565989610833E-2</v>
      </c>
      <c r="S372" s="2">
        <f ca="1"/>
        <v>-2.5135875019066795E-2</v>
      </c>
      <c r="T372" s="2">
        <f ca="1"/>
        <v>-1.8586860232501435E-2</v>
      </c>
      <c r="U372" s="2">
        <f ca="1"/>
        <v>-2.2103603234068944E-2</v>
      </c>
      <c r="V372" s="2">
        <f ca="1"/>
        <v>-1.3546613219520812E-2</v>
      </c>
      <c r="W372" s="2">
        <f ca="1"/>
        <v>-3.0604714556086047E-2</v>
      </c>
      <c r="X372" s="2">
        <f ca="1"/>
        <v>-1.3189935064934969E-2</v>
      </c>
      <c r="Y372" s="2">
        <f ca="1"/>
        <v>-2.6475694444444493E-2</v>
      </c>
      <c r="Z372" s="2" t="str">
        <f ca="1"/>
        <v/>
      </c>
      <c r="AA372" s="2" t="str">
        <f ca="1"/>
        <v/>
      </c>
      <c r="AB372" s="2" t="str">
        <f ca="1"/>
        <v/>
      </c>
      <c r="AC372" s="2" t="str">
        <f ca="1"/>
        <v/>
      </c>
      <c r="AD372" s="2" t="str">
        <f ca="1"/>
        <v/>
      </c>
      <c r="AE372" s="2" t="str">
        <f ca="1"/>
        <v/>
      </c>
      <c r="AF372" s="2">
        <f ca="1"/>
        <v>2.2104210580336492E-3</v>
      </c>
      <c r="AG372" s="26" t="str">
        <f ca="1"/>
        <v/>
      </c>
      <c r="AH372" s="26">
        <f ca="1"/>
        <v>3.2099999999999997E-2</v>
      </c>
    </row>
    <row r="373" spans="1:34">
      <c r="A373" s="5">
        <f ca="1"/>
        <v>40147</v>
      </c>
      <c r="B373" s="2">
        <f ca="1"/>
        <v>2.0268432526112448E-2</v>
      </c>
      <c r="C373" s="2">
        <f ca="1"/>
        <v>4.3004080404655733E-2</v>
      </c>
      <c r="D373" s="2">
        <f ca="1"/>
        <v>4.1574507966260436E-2</v>
      </c>
      <c r="E373" s="2">
        <f ca="1"/>
        <v>1.294665976178146E-2</v>
      </c>
      <c r="F373" s="2">
        <f ca="1"/>
        <v>2.2807248826679578E-2</v>
      </c>
      <c r="G373" s="2">
        <f ca="1"/>
        <v>1.7820652948724043E-2</v>
      </c>
      <c r="H373" s="2">
        <f ca="1"/>
        <v>4.9963396778916709E-2</v>
      </c>
      <c r="I373" s="2" t="str">
        <f ca="1"/>
        <v/>
      </c>
      <c r="J373" s="2" t="str">
        <f ca="1"/>
        <v/>
      </c>
      <c r="K373" s="2">
        <f ca="1"/>
        <v>4.545644628444781E-2</v>
      </c>
      <c r="L373" s="2">
        <f ca="1"/>
        <v>2.6272577996715951E-2</v>
      </c>
      <c r="M373" s="2">
        <f ca="1"/>
        <v>2.9993408042188533E-2</v>
      </c>
      <c r="N373" s="2">
        <f ca="1"/>
        <v>5.2962366827623106E-2</v>
      </c>
      <c r="O373" s="2" t="str">
        <f ca="1"/>
        <v/>
      </c>
      <c r="P373" s="2">
        <f ca="1"/>
        <v>5.1379882003023035E-2</v>
      </c>
      <c r="Q373" s="2">
        <f ca="1"/>
        <v>6.1221322346699754E-2</v>
      </c>
      <c r="R373" s="2">
        <f ca="1"/>
        <v>6.8130459171407948E-2</v>
      </c>
      <c r="S373" s="2">
        <f ca="1"/>
        <v>5.7488965017458482E-2</v>
      </c>
      <c r="T373" s="2">
        <f ca="1"/>
        <v>5.9941088233667034E-2</v>
      </c>
      <c r="U373" s="2">
        <f ca="1"/>
        <v>5.89063895852876E-2</v>
      </c>
      <c r="V373" s="2">
        <f ca="1"/>
        <v>6.1433341498317647E-2</v>
      </c>
      <c r="W373" s="2">
        <f ca="1"/>
        <v>5.6363268807334395E-2</v>
      </c>
      <c r="X373" s="2">
        <f ca="1"/>
        <v>5.9633970799917675E-2</v>
      </c>
      <c r="Y373" s="2">
        <f ca="1"/>
        <v>6.0633080695497103E-2</v>
      </c>
      <c r="Z373" s="2" t="str">
        <f ca="1"/>
        <v/>
      </c>
      <c r="AA373" s="2" t="str">
        <f ca="1"/>
        <v/>
      </c>
      <c r="AB373" s="2" t="str">
        <f ca="1"/>
        <v/>
      </c>
      <c r="AC373" s="2" t="str">
        <f ca="1"/>
        <v/>
      </c>
      <c r="AD373" s="2" t="str">
        <f ca="1"/>
        <v/>
      </c>
      <c r="AE373" s="2" t="str">
        <f ca="1"/>
        <v/>
      </c>
      <c r="AF373" s="2">
        <f ca="1"/>
        <v>1.2865336250799705E-2</v>
      </c>
      <c r="AG373" s="26" t="str">
        <f ca="1"/>
        <v/>
      </c>
      <c r="AH373" s="26">
        <f ca="1"/>
        <v>0.13519999999999999</v>
      </c>
    </row>
    <row r="374" spans="1:34">
      <c r="A374" s="5">
        <f ca="1"/>
        <v>40178</v>
      </c>
      <c r="B374" s="2">
        <f ca="1"/>
        <v>1.4532445283803645E-2</v>
      </c>
      <c r="C374" s="2">
        <f ca="1"/>
        <v>3.9614432345376357E-2</v>
      </c>
      <c r="D374" s="2">
        <f ca="1"/>
        <v>2.1002354296167109E-2</v>
      </c>
      <c r="E374" s="2">
        <f ca="1"/>
        <v>-1.5631390593047058E-2</v>
      </c>
      <c r="F374" s="2">
        <f ca="1"/>
        <v>1.9901646512515893E-2</v>
      </c>
      <c r="G374" s="2">
        <f ca="1"/>
        <v>9.1234198060232471E-3</v>
      </c>
      <c r="H374" s="2">
        <f ca="1"/>
        <v>3.4541862762186931E-2</v>
      </c>
      <c r="I374" s="2" t="str">
        <f ca="1"/>
        <v/>
      </c>
      <c r="J374" s="2" t="str">
        <f ca="1"/>
        <v/>
      </c>
      <c r="K374" s="2">
        <f ca="1"/>
        <v>6.0299999999999729E-3</v>
      </c>
      <c r="L374" s="2">
        <f ca="1"/>
        <v>-7.9700000000000274E-3</v>
      </c>
      <c r="M374" s="2">
        <f ca="1"/>
        <v>3.9109999999999902E-2</v>
      </c>
      <c r="N374" s="2">
        <f ca="1"/>
        <v>2.049060998689764E-2</v>
      </c>
      <c r="O374" s="2" t="str">
        <f ca="1"/>
        <v/>
      </c>
      <c r="P374" s="2">
        <f ca="1"/>
        <v>3.4515541848790139E-2</v>
      </c>
      <c r="Q374" s="2">
        <f ca="1"/>
        <v>2.0887346602316139E-2</v>
      </c>
      <c r="R374" s="2">
        <f ca="1"/>
        <v>2.8988986585841515E-2</v>
      </c>
      <c r="S374" s="2">
        <f ca="1"/>
        <v>1.9437284387094616E-2</v>
      </c>
      <c r="T374" s="2">
        <f ca="1"/>
        <v>1.9312630570022502E-2</v>
      </c>
      <c r="U374" s="2">
        <f ca="1"/>
        <v>2.434541461006573E-2</v>
      </c>
      <c r="V374" s="2">
        <f ca="1"/>
        <v>3.0908927491309572E-2</v>
      </c>
      <c r="W374" s="2">
        <f ca="1"/>
        <v>1.7695666940790909E-2</v>
      </c>
      <c r="X374" s="2">
        <f ca="1"/>
        <v>3.3166456359970044E-2</v>
      </c>
      <c r="Y374" s="2">
        <f ca="1"/>
        <v>1.2166023013871343E-2</v>
      </c>
      <c r="Z374" s="2" t="str">
        <f ca="1"/>
        <v/>
      </c>
      <c r="AA374" s="2" t="str">
        <f ca="1"/>
        <v/>
      </c>
      <c r="AB374" s="2" t="str">
        <f ca="1"/>
        <v/>
      </c>
      <c r="AC374" s="2" t="str">
        <f ca="1"/>
        <v/>
      </c>
      <c r="AD374" s="2" t="str">
        <f ca="1"/>
        <v/>
      </c>
      <c r="AE374" s="2" t="str">
        <f ca="1"/>
        <v/>
      </c>
      <c r="AF374" s="2">
        <f ca="1"/>
        <v>-1.8814686318292136E-2</v>
      </c>
      <c r="AG374" s="26" t="str">
        <f ca="1"/>
        <v/>
      </c>
      <c r="AH374" s="26">
        <f ca="1"/>
        <v>-7.1900000000000006E-2</v>
      </c>
    </row>
    <row r="375" spans="1:34">
      <c r="A375" s="5">
        <f ca="1"/>
        <v>40207</v>
      </c>
      <c r="B375" s="2">
        <f ca="1"/>
        <v>-4.3994489610870671E-2</v>
      </c>
      <c r="C375" s="2">
        <f ca="1"/>
        <v>-5.5608222155425581E-2</v>
      </c>
      <c r="D375" s="2">
        <f ca="1"/>
        <v>-4.3021432955657704E-2</v>
      </c>
      <c r="E375" s="2">
        <f ca="1"/>
        <v>1.5275848189360775E-2</v>
      </c>
      <c r="F375" s="2">
        <f ca="1"/>
        <v>-4.2157112233498724E-2</v>
      </c>
      <c r="G375" s="2">
        <f ca="1"/>
        <v>-4.5862427722534592E-2</v>
      </c>
      <c r="H375" s="2">
        <f ca="1"/>
        <v>-7.20283058605488E-2</v>
      </c>
      <c r="I375" s="2" t="str">
        <f ca="1"/>
        <v/>
      </c>
      <c r="J375" s="2" t="str">
        <f ca="1"/>
        <v/>
      </c>
      <c r="K375" s="2">
        <f ca="1"/>
        <v>-2.4363090563899681E-2</v>
      </c>
      <c r="L375" s="2">
        <f ca="1"/>
        <v>-2.3658558712942181E-2</v>
      </c>
      <c r="M375" s="2">
        <f ca="1"/>
        <v>-3.5395675145075946E-2</v>
      </c>
      <c r="N375" s="2">
        <f ca="1"/>
        <v>-3.8541555214760347E-2</v>
      </c>
      <c r="O375" s="2" t="str">
        <f ca="1"/>
        <v/>
      </c>
      <c r="P375" s="2">
        <f ca="1"/>
        <v>-5.2427489128972937E-2</v>
      </c>
      <c r="Q375" s="2">
        <f ca="1"/>
        <v>-4.3524692644300991E-2</v>
      </c>
      <c r="R375" s="2">
        <f ca="1"/>
        <v>-6.421884569395428E-2</v>
      </c>
      <c r="S375" s="2">
        <f ca="1"/>
        <v>-2.5765990115270931E-2</v>
      </c>
      <c r="T375" s="2">
        <f ca="1"/>
        <v>-3.5970832826656286E-2</v>
      </c>
      <c r="U375" s="2">
        <f ca="1"/>
        <v>-3.5983286034846969E-2</v>
      </c>
      <c r="V375" s="2">
        <f ca="1"/>
        <v>-4.3637263334000982E-2</v>
      </c>
      <c r="W375" s="2">
        <f ca="1"/>
        <v>-2.8123321807983492E-2</v>
      </c>
      <c r="X375" s="2">
        <f ca="1"/>
        <v>-4.5985676592536877E-2</v>
      </c>
      <c r="Y375" s="2">
        <f ca="1"/>
        <v>-2.4502617801047087E-2</v>
      </c>
      <c r="Z375" s="2" t="str">
        <f ca="1"/>
        <v/>
      </c>
      <c r="AA375" s="2" t="str">
        <f ca="1"/>
        <v/>
      </c>
      <c r="AB375" s="2" t="str">
        <f ca="1"/>
        <v/>
      </c>
      <c r="AC375" s="2" t="str">
        <f ca="1"/>
        <v/>
      </c>
      <c r="AD375" s="2" t="str">
        <f ca="1"/>
        <v/>
      </c>
      <c r="AE375" s="2" t="str">
        <f ca="1"/>
        <v/>
      </c>
      <c r="AF375" s="2">
        <f ca="1"/>
        <v>1.4148657815679999E-2</v>
      </c>
      <c r="AG375" s="26" t="str">
        <f ca="1"/>
        <v/>
      </c>
      <c r="AH375" s="26">
        <f ca="1"/>
        <v>-1.2E-2</v>
      </c>
    </row>
    <row r="376" spans="1:34">
      <c r="A376" s="5">
        <f ca="1"/>
        <v>40235</v>
      </c>
      <c r="B376" s="2">
        <f ca="1"/>
        <v>-6.7570509134267324E-3</v>
      </c>
      <c r="C376" s="2">
        <f ca="1"/>
        <v>3.7275976887669662E-3</v>
      </c>
      <c r="D376" s="2">
        <f ca="1"/>
        <v>1.3109397379420656E-2</v>
      </c>
      <c r="E376" s="2">
        <f ca="1"/>
        <v>3.7343257431884658E-3</v>
      </c>
      <c r="F376" s="2">
        <f ca="1"/>
        <v>-2.6387719353556716E-4</v>
      </c>
      <c r="G376" s="2">
        <f ca="1"/>
        <v>-1.3370553851799367E-2</v>
      </c>
      <c r="H376" s="2">
        <f ca="1"/>
        <v>1.8201900381286822E-2</v>
      </c>
      <c r="I376" s="2" t="str">
        <f ca="1"/>
        <v/>
      </c>
      <c r="J376" s="2" t="str">
        <f ca="1"/>
        <v/>
      </c>
      <c r="K376" s="2">
        <f ca="1"/>
        <v>1.4803569973102915E-2</v>
      </c>
      <c r="L376" s="2">
        <f ca="1"/>
        <v>3.7478318328240988E-3</v>
      </c>
      <c r="M376" s="2">
        <f ca="1"/>
        <v>9.088823042311428E-3</v>
      </c>
      <c r="N376" s="2">
        <f ca="1"/>
        <v>1.6964451313755829E-2</v>
      </c>
      <c r="O376" s="2" t="str">
        <f ca="1"/>
        <v/>
      </c>
      <c r="P376" s="2">
        <f ca="1"/>
        <v>1.4618568894145492E-2</v>
      </c>
      <c r="Q376" s="2">
        <f ca="1"/>
        <v>2.3174750142970095E-2</v>
      </c>
      <c r="R376" s="2">
        <f ca="1"/>
        <v>4.811917599027643E-2</v>
      </c>
      <c r="S376" s="2">
        <f ca="1"/>
        <v>2.1217538577343004E-2</v>
      </c>
      <c r="T376" s="2">
        <f ca="1"/>
        <v>3.0955694977074399E-2</v>
      </c>
      <c r="U376" s="2">
        <f ca="1"/>
        <v>3.2958792684048714E-2</v>
      </c>
      <c r="V376" s="2">
        <f ca="1"/>
        <v>3.4366022283216717E-2</v>
      </c>
      <c r="W376" s="2">
        <f ca="1"/>
        <v>3.156571819024849E-2</v>
      </c>
      <c r="X376" s="2">
        <f ca="1"/>
        <v>3.871987356776007E-2</v>
      </c>
      <c r="Y376" s="2">
        <f ca="1"/>
        <v>2.6159295835122325E-2</v>
      </c>
      <c r="Z376" s="2" t="str">
        <f ca="1"/>
        <v/>
      </c>
      <c r="AA376" s="2" t="str">
        <f ca="1"/>
        <v/>
      </c>
      <c r="AB376" s="2" t="str">
        <f ca="1"/>
        <v/>
      </c>
      <c r="AC376" s="2" t="str">
        <f ca="1"/>
        <v/>
      </c>
      <c r="AD376" s="2" t="str">
        <f ca="1"/>
        <v/>
      </c>
      <c r="AE376" s="2" t="str">
        <f ca="1"/>
        <v/>
      </c>
      <c r="AF376" s="2">
        <f ca="1"/>
        <v>1.9897660403815644E-3</v>
      </c>
      <c r="AG376" s="26" t="str">
        <f ca="1"/>
        <v/>
      </c>
      <c r="AH376" s="26">
        <f ca="1"/>
        <v>3.3099999999999997E-2</v>
      </c>
    </row>
    <row r="377" spans="1:34">
      <c r="A377" s="5">
        <f ca="1"/>
        <v>40268</v>
      </c>
      <c r="B377" s="2">
        <f ca="1"/>
        <v>6.305631479027024E-2</v>
      </c>
      <c r="C377" s="2">
        <f ca="1"/>
        <v>8.0812269414885507E-2</v>
      </c>
      <c r="D377" s="2">
        <f ca="1"/>
        <v>6.4825013741816456E-2</v>
      </c>
      <c r="E377" s="2">
        <f ca="1"/>
        <v>-1.2295264730428318E-3</v>
      </c>
      <c r="F377" s="2">
        <f ca="1"/>
        <v>6.5602501459364984E-2</v>
      </c>
      <c r="G377" s="2">
        <f ca="1"/>
        <v>6.0430276640569089E-2</v>
      </c>
      <c r="H377" s="2">
        <f ca="1"/>
        <v>7.7479753324912679E-2</v>
      </c>
      <c r="I377" s="2" t="str">
        <f ca="1"/>
        <v/>
      </c>
      <c r="J377" s="2" t="str">
        <f ca="1"/>
        <v/>
      </c>
      <c r="K377" s="2">
        <f ca="1"/>
        <v>3.8632598765122254E-2</v>
      </c>
      <c r="L377" s="2">
        <f ca="1"/>
        <v>3.0899309805696377E-2</v>
      </c>
      <c r="M377" s="2">
        <f ca="1"/>
        <v>6.5471011626987291E-2</v>
      </c>
      <c r="N377" s="2">
        <f ca="1"/>
        <v>5.0299706980193808E-2</v>
      </c>
      <c r="O377" s="2" t="str">
        <f ca="1"/>
        <v/>
      </c>
      <c r="P377" s="2">
        <f ca="1"/>
        <v>7.3613410113538308E-2</v>
      </c>
      <c r="Q377" s="2">
        <f ca="1"/>
        <v>5.0170339614606534E-2</v>
      </c>
      <c r="R377" s="2">
        <f ca="1"/>
        <v>7.3637417858523346E-2</v>
      </c>
      <c r="S377" s="2">
        <f ca="1"/>
        <v>3.6931251055726956E-2</v>
      </c>
      <c r="T377" s="2">
        <f ca="1"/>
        <v>6.0347081989873583E-2</v>
      </c>
      <c r="U377" s="2">
        <f ca="1"/>
        <v>6.1446666908301383E-2</v>
      </c>
      <c r="V377" s="2">
        <f ca="1"/>
        <v>5.7844664541916162E-2</v>
      </c>
      <c r="W377" s="2">
        <f ca="1"/>
        <v>6.5099585840510496E-2</v>
      </c>
      <c r="X377" s="2">
        <f ca="1"/>
        <v>5.9174251235524909E-2</v>
      </c>
      <c r="Y377" s="2">
        <f ca="1"/>
        <v>6.1564318745404932E-2</v>
      </c>
      <c r="Z377" s="2" t="str">
        <f ca="1"/>
        <v/>
      </c>
      <c r="AA377" s="2" t="str">
        <f ca="1"/>
        <v/>
      </c>
      <c r="AB377" s="2" t="str">
        <f ca="1"/>
        <v/>
      </c>
      <c r="AC377" s="2" t="str">
        <f ca="1"/>
        <v/>
      </c>
      <c r="AD377" s="2" t="str">
        <f ca="1"/>
        <v/>
      </c>
      <c r="AE377" s="2" t="str">
        <f ca="1"/>
        <v/>
      </c>
      <c r="AF377" s="2">
        <f ca="1"/>
        <v>-7.1493758937248958E-5</v>
      </c>
      <c r="AG377" s="26" t="str">
        <f ca="1"/>
        <v/>
      </c>
      <c r="AH377" s="26">
        <f ca="1"/>
        <v>-5.0000000000000001E-3</v>
      </c>
    </row>
    <row r="378" spans="1:34">
      <c r="A378" s="5">
        <f ca="1"/>
        <v>40298</v>
      </c>
      <c r="B378" s="2">
        <f ca="1"/>
        <v>-1.7267774090195157E-2</v>
      </c>
      <c r="C378" s="2">
        <f ca="1"/>
        <v>1.2339409942619273E-2</v>
      </c>
      <c r="D378" s="2">
        <f ca="1"/>
        <v>2.2034306833245893E-3</v>
      </c>
      <c r="E378" s="2">
        <f ca="1"/>
        <v>1.0409623799257509E-2</v>
      </c>
      <c r="F378" s="2">
        <f ca="1"/>
        <v>-1.5533916563212895E-2</v>
      </c>
      <c r="G378" s="2">
        <f ca="1"/>
        <v>-1.9031430106812932E-2</v>
      </c>
      <c r="H378" s="2">
        <f ca="1"/>
        <v>1.3943096719028001E-2</v>
      </c>
      <c r="I378" s="2" t="str">
        <f ca="1"/>
        <v/>
      </c>
      <c r="J378" s="2" t="str">
        <f ca="1"/>
        <v/>
      </c>
      <c r="K378" s="2">
        <f ca="1"/>
        <v>1.9332450484743615E-5</v>
      </c>
      <c r="L378" s="2">
        <f ca="1"/>
        <v>-9.4888398870518649E-3</v>
      </c>
      <c r="M378" s="2">
        <f ca="1"/>
        <v>1.2731288161386734E-2</v>
      </c>
      <c r="N378" s="2">
        <f ca="1"/>
        <v>-1.8521948508983409E-3</v>
      </c>
      <c r="O378" s="2" t="str">
        <f ca="1"/>
        <v/>
      </c>
      <c r="P378" s="2">
        <f ca="1"/>
        <v>2.0292939273189276E-2</v>
      </c>
      <c r="Q378" s="2">
        <f ca="1"/>
        <v>9.0604962364092267E-3</v>
      </c>
      <c r="R378" s="2">
        <f ca="1"/>
        <v>5.6774908260057103E-3</v>
      </c>
      <c r="S378" s="2">
        <f ca="1"/>
        <v>8.6411160145722192E-3</v>
      </c>
      <c r="T378" s="2">
        <f ca="1"/>
        <v>1.578036711731428E-2</v>
      </c>
      <c r="U378" s="2">
        <f ca="1"/>
        <v>1.8508316579629733E-2</v>
      </c>
      <c r="V378" s="2">
        <f ca="1"/>
        <v>1.1173209516818335E-2</v>
      </c>
      <c r="W378" s="2">
        <f ca="1"/>
        <v>2.5875458293869606E-2</v>
      </c>
      <c r="X378" s="2">
        <f ca="1"/>
        <v>1.51878623123176E-2</v>
      </c>
      <c r="Y378" s="2">
        <f ca="1"/>
        <v>1.7832375668714106E-2</v>
      </c>
      <c r="Z378" s="2" t="str">
        <f ca="1"/>
        <v/>
      </c>
      <c r="AA378" s="2" t="str">
        <f ca="1"/>
        <v/>
      </c>
      <c r="AB378" s="2" t="str">
        <f ca="1"/>
        <v/>
      </c>
      <c r="AC378" s="2" t="str">
        <f ca="1"/>
        <v/>
      </c>
      <c r="AD378" s="2" t="str">
        <f ca="1"/>
        <v/>
      </c>
      <c r="AE378" s="2" t="str">
        <f ca="1"/>
        <v/>
      </c>
      <c r="AF378" s="2">
        <f ca="1"/>
        <v>9.7339362990899823E-3</v>
      </c>
      <c r="AG378" s="26" t="str">
        <f ca="1"/>
        <v/>
      </c>
      <c r="AH378" s="26">
        <f ca="1"/>
        <v>6.0499999999999998E-2</v>
      </c>
    </row>
    <row r="379" spans="1:34">
      <c r="A379" s="5">
        <f ca="1"/>
        <v>40329</v>
      </c>
      <c r="B379" s="2">
        <f ca="1"/>
        <v>-0.11367200056776186</v>
      </c>
      <c r="C379" s="2">
        <f ca="1"/>
        <v>-8.7524522917781331E-2</v>
      </c>
      <c r="D379" s="2">
        <f ca="1"/>
        <v>-9.3925929488913915E-2</v>
      </c>
      <c r="E379" s="2">
        <f ca="1"/>
        <v>8.414872798434541E-3</v>
      </c>
      <c r="F379" s="2">
        <f ca="1"/>
        <v>-0.10892809529759259</v>
      </c>
      <c r="G379" s="2">
        <f ca="1"/>
        <v>-0.11855429194578596</v>
      </c>
      <c r="H379" s="2">
        <f ca="1"/>
        <v>-8.8819368879216626E-2</v>
      </c>
      <c r="I379" s="2" t="str">
        <f ca="1"/>
        <v/>
      </c>
      <c r="J379" s="2" t="str">
        <f ca="1"/>
        <v/>
      </c>
      <c r="K379" s="2">
        <f ca="1"/>
        <v>-5.5589386689865156E-2</v>
      </c>
      <c r="L379" s="2">
        <f ca="1"/>
        <v>-7.7937384156660489E-2</v>
      </c>
      <c r="M379" s="2">
        <f ca="1"/>
        <v>-5.4838827905954048E-2</v>
      </c>
      <c r="N379" s="2">
        <f ca="1"/>
        <v>-8.7910558545184578E-2</v>
      </c>
      <c r="O379" s="2" t="str">
        <f ca="1"/>
        <v/>
      </c>
      <c r="P379" s="2">
        <f ca="1"/>
        <v>-7.7801425987017142E-2</v>
      </c>
      <c r="Q379" s="2">
        <f ca="1"/>
        <v>-8.2080649009782902E-2</v>
      </c>
      <c r="R379" s="2">
        <f ca="1"/>
        <v>-6.8117039586919143E-2</v>
      </c>
      <c r="S379" s="2">
        <f ca="1"/>
        <v>-5.8442654842569774E-2</v>
      </c>
      <c r="T379" s="2">
        <f ca="1"/>
        <v>-7.9847751499099701E-2</v>
      </c>
      <c r="U379" s="2">
        <f ca="1"/>
        <v>-7.9283708627541333E-2</v>
      </c>
      <c r="V379" s="2">
        <f ca="1"/>
        <v>-7.6341691533425335E-2</v>
      </c>
      <c r="W379" s="2">
        <f ca="1"/>
        <v>-8.2196038890443884E-2</v>
      </c>
      <c r="X379" s="2">
        <f ca="1"/>
        <v>-8.2632665140085659E-2</v>
      </c>
      <c r="Y379" s="2">
        <f ca="1"/>
        <v>-7.7671792875218873E-2</v>
      </c>
      <c r="Z379" s="2" t="str">
        <f ca="1"/>
        <v/>
      </c>
      <c r="AA379" s="2" t="str">
        <f ca="1"/>
        <v/>
      </c>
      <c r="AB379" s="2" t="str">
        <f ca="1"/>
        <v/>
      </c>
      <c r="AC379" s="2" t="str">
        <f ca="1"/>
        <v/>
      </c>
      <c r="AD379" s="2" t="str">
        <f ca="1"/>
        <v/>
      </c>
      <c r="AE379" s="2" t="str">
        <f ca="1"/>
        <v/>
      </c>
      <c r="AF379" s="2">
        <f ca="1"/>
        <v>1.0825882634808293E-2</v>
      </c>
      <c r="AG379" s="26" t="str">
        <f ca="1"/>
        <v/>
      </c>
      <c r="AH379" s="26">
        <f ca="1"/>
        <v>2.6699999999999998E-2</v>
      </c>
    </row>
    <row r="380" spans="1:34">
      <c r="A380" s="5">
        <f ca="1"/>
        <v>40359</v>
      </c>
      <c r="B380" s="2">
        <f ca="1"/>
        <v>-9.7285387032587725E-3</v>
      </c>
      <c r="C380" s="2">
        <f ca="1"/>
        <v>-7.1707793794282973E-3</v>
      </c>
      <c r="D380" s="2">
        <f ca="1"/>
        <v>-3.0456190332941096E-2</v>
      </c>
      <c r="E380" s="2">
        <f ca="1"/>
        <v>1.5681438310285869E-2</v>
      </c>
      <c r="F380" s="2">
        <f ca="1"/>
        <v>2.8910883646676927E-5</v>
      </c>
      <c r="G380" s="2">
        <f ca="1"/>
        <v>-1.9689225758971751E-2</v>
      </c>
      <c r="H380" s="2">
        <f ca="1"/>
        <v>-3.178086281534552E-2</v>
      </c>
      <c r="I380" s="2" t="str">
        <f ca="1"/>
        <v/>
      </c>
      <c r="J380" s="2" t="str">
        <f ca="1"/>
        <v/>
      </c>
      <c r="K380" s="2">
        <f ca="1"/>
        <v>8.9351510685335492E-3</v>
      </c>
      <c r="L380" s="2">
        <f ca="1"/>
        <v>2.9529688097449033E-2</v>
      </c>
      <c r="M380" s="2">
        <f ca="1"/>
        <v>1.8651905422042994E-2</v>
      </c>
      <c r="N380" s="2">
        <f ca="1"/>
        <v>-2.3332994252581278E-2</v>
      </c>
      <c r="O380" s="2" t="str">
        <f ca="1"/>
        <v/>
      </c>
      <c r="P380" s="2">
        <f ca="1"/>
        <v>1.3501194336421596E-3</v>
      </c>
      <c r="Q380" s="2">
        <f ca="1"/>
        <v>-3.8594667067981786E-2</v>
      </c>
      <c r="R380" s="2">
        <f ca="1"/>
        <v>-5.4655870445344146E-2</v>
      </c>
      <c r="S380" s="2">
        <f ca="1"/>
        <v>-1.6115953780660736E-2</v>
      </c>
      <c r="T380" s="2">
        <f ca="1"/>
        <v>-5.2355213909655619E-2</v>
      </c>
      <c r="U380" s="2">
        <f ca="1"/>
        <v>-5.5669593268572806E-2</v>
      </c>
      <c r="V380" s="2">
        <f ca="1"/>
        <v>-5.5065601357834865E-2</v>
      </c>
      <c r="W380" s="2">
        <f ca="1"/>
        <v>-5.6294503998409344E-2</v>
      </c>
      <c r="X380" s="2">
        <f ca="1"/>
        <v>-5.6982940703181308E-2</v>
      </c>
      <c r="Y380" s="2">
        <f ca="1"/>
        <v>-5.1584171509623043E-2</v>
      </c>
      <c r="Z380" s="2" t="str">
        <f ca="1"/>
        <v/>
      </c>
      <c r="AA380" s="2" t="str">
        <f ca="1"/>
        <v/>
      </c>
      <c r="AB380" s="2" t="str">
        <f ca="1"/>
        <v/>
      </c>
      <c r="AC380" s="2" t="str">
        <f ca="1"/>
        <v/>
      </c>
      <c r="AD380" s="2" t="str">
        <f ca="1"/>
        <v/>
      </c>
      <c r="AE380" s="2" t="str">
        <f ca="1"/>
        <v/>
      </c>
      <c r="AF380" s="2">
        <f ca="1"/>
        <v>1.7678411240343982E-2</v>
      </c>
      <c r="AG380" s="26" t="str">
        <f ca="1"/>
        <v/>
      </c>
      <c r="AH380" s="26">
        <f ca="1"/>
        <v>2.7799999999999998E-2</v>
      </c>
    </row>
    <row r="381" spans="1:34">
      <c r="A381" s="5">
        <f ca="1"/>
        <v>40389</v>
      </c>
      <c r="B381" s="2">
        <f ca="1"/>
        <v>9.492448972117494E-2</v>
      </c>
      <c r="C381" s="2">
        <f ca="1"/>
        <v>8.398238037232536E-2</v>
      </c>
      <c r="D381" s="2">
        <f ca="1"/>
        <v>8.168633633188313E-2</v>
      </c>
      <c r="E381" s="2">
        <f ca="1"/>
        <v>1.0675016024850806E-2</v>
      </c>
      <c r="F381" s="2">
        <f ca="1"/>
        <v>8.3341885889150355E-2</v>
      </c>
      <c r="G381" s="2">
        <f ca="1"/>
        <v>0.10699365288132578</v>
      </c>
      <c r="H381" s="2">
        <f ca="1"/>
        <v>7.7411695780206957E-2</v>
      </c>
      <c r="I381" s="2" t="str">
        <f ca="1"/>
        <v/>
      </c>
      <c r="J381" s="2" t="str">
        <f ca="1"/>
        <v/>
      </c>
      <c r="K381" s="2">
        <f ca="1"/>
        <v>4.7597309717276923E-2</v>
      </c>
      <c r="L381" s="2">
        <f ca="1"/>
        <v>5.0584689827882549E-2</v>
      </c>
      <c r="M381" s="2">
        <f ca="1"/>
        <v>8.3643423394272873E-2</v>
      </c>
      <c r="N381" s="2">
        <f ca="1"/>
        <v>6.4393495553906346E-2</v>
      </c>
      <c r="O381" s="2" t="str">
        <f ca="1"/>
        <v/>
      </c>
      <c r="P381" s="2">
        <f ca="1"/>
        <v>7.4732644970959744E-2</v>
      </c>
      <c r="Q381" s="2">
        <f ca="1"/>
        <v>6.0635815118397107E-2</v>
      </c>
      <c r="R381" s="2">
        <f ca="1"/>
        <v>7.6962753403460524E-2</v>
      </c>
      <c r="S381" s="2">
        <f ca="1"/>
        <v>4.7856027767431808E-2</v>
      </c>
      <c r="T381" s="2">
        <f ca="1"/>
        <v>7.0058948521875983E-2</v>
      </c>
      <c r="U381" s="2">
        <f ca="1"/>
        <v>6.9497025915682575E-2</v>
      </c>
      <c r="V381" s="2">
        <f ca="1"/>
        <v>7.133271078588968E-2</v>
      </c>
      <c r="W381" s="2">
        <f ca="1"/>
        <v>6.7699740749469772E-2</v>
      </c>
      <c r="X381" s="2">
        <f ca="1"/>
        <v>7.4835526315789283E-2</v>
      </c>
      <c r="Y381" s="2">
        <f ca="1"/>
        <v>6.630824372759854E-2</v>
      </c>
      <c r="Z381" s="2" t="str">
        <f ca="1"/>
        <v/>
      </c>
      <c r="AA381" s="2" t="str">
        <f ca="1"/>
        <v/>
      </c>
      <c r="AB381" s="2" t="str">
        <f ca="1"/>
        <v/>
      </c>
      <c r="AC381" s="2" t="str">
        <f ca="1"/>
        <v/>
      </c>
      <c r="AD381" s="2" t="str">
        <f ca="1"/>
        <v/>
      </c>
      <c r="AE381" s="2" t="str">
        <f ca="1"/>
        <v/>
      </c>
      <c r="AF381" s="2">
        <f ca="1"/>
        <v>8.5529587983124537E-3</v>
      </c>
      <c r="AG381" s="26" t="str">
        <f ca="1"/>
        <v/>
      </c>
      <c r="AH381" s="26">
        <f ca="1"/>
        <v>-5.1500000000000004E-2</v>
      </c>
    </row>
    <row r="382" spans="1:34">
      <c r="A382" s="5">
        <f ca="1"/>
        <v>40421</v>
      </c>
      <c r="B382" s="2">
        <f ca="1"/>
        <v>-3.0910933574746561E-2</v>
      </c>
      <c r="C382" s="2">
        <f ca="1"/>
        <v>-1.908659057759219E-2</v>
      </c>
      <c r="D382" s="2">
        <f ca="1"/>
        <v>-3.4560287517294841E-2</v>
      </c>
      <c r="E382" s="2">
        <f ca="1"/>
        <v>1.2861324551774696E-2</v>
      </c>
      <c r="F382" s="2">
        <f ca="1"/>
        <v>-2.7037797587675771E-2</v>
      </c>
      <c r="G382" s="2">
        <f ca="1"/>
        <v>-3.486916055032397E-2</v>
      </c>
      <c r="H382" s="2">
        <f ca="1"/>
        <v>-3.5874760310237327E-2</v>
      </c>
      <c r="I382" s="2" t="str">
        <f ca="1"/>
        <v/>
      </c>
      <c r="J382" s="2" t="str">
        <f ca="1"/>
        <v/>
      </c>
      <c r="K382" s="2">
        <f ca="1"/>
        <v>3.9508468175347171E-3</v>
      </c>
      <c r="L382" s="2">
        <f ca="1"/>
        <v>7.0097469824756883E-3</v>
      </c>
      <c r="M382" s="2">
        <f ca="1"/>
        <v>1.2400540986773831E-2</v>
      </c>
      <c r="N382" s="2">
        <f ca="1"/>
        <v>-2.9637331050088568E-2</v>
      </c>
      <c r="O382" s="2" t="str">
        <f ca="1"/>
        <v/>
      </c>
      <c r="P382" s="2">
        <f ca="1"/>
        <v>-1.3317463891658849E-2</v>
      </c>
      <c r="Q382" s="2">
        <f ca="1"/>
        <v>-3.4145948774368461E-2</v>
      </c>
      <c r="R382" s="2">
        <f ca="1"/>
        <v>-4.3162126467642933E-2</v>
      </c>
      <c r="S382" s="2">
        <f ca="1"/>
        <v>-1.3423580125538834E-2</v>
      </c>
      <c r="T382" s="2">
        <f ca="1"/>
        <v>-4.514673287901496E-2</v>
      </c>
      <c r="U382" s="2">
        <f ca="1"/>
        <v>-4.4725325476905421E-2</v>
      </c>
      <c r="V382" s="2">
        <f ca="1"/>
        <v>-4.6690132794787322E-2</v>
      </c>
      <c r="W382" s="2">
        <f ca="1"/>
        <v>-4.2789798542792433E-2</v>
      </c>
      <c r="X382" s="2">
        <f ca="1"/>
        <v>-4.7245600612088462E-2</v>
      </c>
      <c r="Y382" s="2">
        <f ca="1"/>
        <v>-4.2436974789916003E-2</v>
      </c>
      <c r="Z382" s="2" t="str">
        <f ca="1"/>
        <v/>
      </c>
      <c r="AA382" s="2" t="str">
        <f ca="1"/>
        <v/>
      </c>
      <c r="AB382" s="2" t="str">
        <f ca="1"/>
        <v/>
      </c>
      <c r="AC382" s="2" t="str">
        <f ca="1"/>
        <v/>
      </c>
      <c r="AD382" s="2" t="str">
        <f ca="1"/>
        <v/>
      </c>
      <c r="AE382" s="2" t="str">
        <f ca="1"/>
        <v/>
      </c>
      <c r="AF382" s="2">
        <f ca="1"/>
        <v>1.2866860439745951E-2</v>
      </c>
      <c r="AG382" s="26" t="str">
        <f ca="1"/>
        <v/>
      </c>
      <c r="AH382" s="26">
        <f ca="1"/>
        <v>5.7000000000000002E-2</v>
      </c>
    </row>
    <row r="383" spans="1:34">
      <c r="A383" s="5">
        <f ca="1"/>
        <v>40451</v>
      </c>
      <c r="B383" s="2">
        <f ca="1"/>
        <v>9.8215742562007838E-2</v>
      </c>
      <c r="C383" s="2">
        <f ca="1"/>
        <v>0.11126861612877108</v>
      </c>
      <c r="D383" s="2">
        <f ca="1"/>
        <v>9.6019154895115574E-2</v>
      </c>
      <c r="E383" s="2">
        <f ca="1"/>
        <v>1.0656936943445874E-3</v>
      </c>
      <c r="F383" s="2">
        <f ca="1"/>
        <v>0.10635633896817488</v>
      </c>
      <c r="G383" s="2">
        <f ca="1"/>
        <v>8.9793987545749077E-2</v>
      </c>
      <c r="H383" s="2">
        <f ca="1"/>
        <v>0.11896103896103893</v>
      </c>
      <c r="I383" s="2" t="str">
        <f ca="1"/>
        <v/>
      </c>
      <c r="J383" s="2" t="str">
        <f ca="1"/>
        <v/>
      </c>
      <c r="K383" s="2">
        <f ca="1"/>
        <v>5.9897566480511505E-2</v>
      </c>
      <c r="L383" s="2">
        <f ca="1"/>
        <v>6.0923379371909461E-2</v>
      </c>
      <c r="M383" s="2">
        <f ca="1"/>
        <v>9.6367043147868564E-2</v>
      </c>
      <c r="N383" s="2">
        <f ca="1"/>
        <v>9.7715927998789864E-2</v>
      </c>
      <c r="O383" s="2" t="str">
        <f ca="1"/>
        <v/>
      </c>
      <c r="P383" s="2">
        <f ca="1"/>
        <v>0.12145317814799116</v>
      </c>
      <c r="Q383" s="2">
        <f ca="1"/>
        <v>0.10129466022114791</v>
      </c>
      <c r="R383" s="2">
        <f ca="1"/>
        <v>0.10356595731772071</v>
      </c>
      <c r="S383" s="2">
        <f ca="1"/>
        <v>7.1104978728297116E-2</v>
      </c>
      <c r="T383" s="2">
        <f ca="1"/>
        <v>8.9239932864266763E-2</v>
      </c>
      <c r="U383" s="2">
        <f ca="1"/>
        <v>9.1879153691948934E-2</v>
      </c>
      <c r="V383" s="2">
        <f ca="1"/>
        <v>0.10645005758310827</v>
      </c>
      <c r="W383" s="2">
        <f ca="1"/>
        <v>7.7583179741616506E-2</v>
      </c>
      <c r="X383" s="2">
        <f ca="1"/>
        <v>0.10775438329297561</v>
      </c>
      <c r="Y383" s="2">
        <f ca="1"/>
        <v>7.5585718723653758E-2</v>
      </c>
      <c r="Z383" s="2" t="str">
        <f ca="1"/>
        <v/>
      </c>
      <c r="AA383" s="2" t="str">
        <f ca="1"/>
        <v/>
      </c>
      <c r="AB383" s="2" t="str">
        <f ca="1"/>
        <v/>
      </c>
      <c r="AC383" s="2" t="str">
        <f ca="1"/>
        <v/>
      </c>
      <c r="AD383" s="2" t="str">
        <f ca="1"/>
        <v/>
      </c>
      <c r="AE383" s="2" t="str">
        <f ca="1"/>
        <v/>
      </c>
      <c r="AF383" s="2">
        <f ca="1"/>
        <v>8.3915757156656924E-5</v>
      </c>
      <c r="AG383" s="26" t="str">
        <f ca="1"/>
        <v/>
      </c>
      <c r="AH383" s="26">
        <f ca="1"/>
        <v>4.7100000000000003E-2</v>
      </c>
    </row>
    <row r="384" spans="1:34">
      <c r="A384" s="5">
        <f ca="1"/>
        <v>40480</v>
      </c>
      <c r="B384" s="2">
        <f ca="1"/>
        <v>3.6179135230625374E-2</v>
      </c>
      <c r="C384" s="2">
        <f ca="1"/>
        <v>2.912034988155043E-2</v>
      </c>
      <c r="D384" s="2">
        <f ca="1"/>
        <v>3.6344863602115994E-2</v>
      </c>
      <c r="E384" s="2">
        <f ca="1"/>
        <v>3.5605595852428308E-3</v>
      </c>
      <c r="F384" s="2">
        <f ca="1"/>
        <v>3.3112377558782269E-2</v>
      </c>
      <c r="G384" s="2">
        <f ca="1"/>
        <v>3.939539323047548E-2</v>
      </c>
      <c r="H384" s="2">
        <f ca="1"/>
        <v>4.1464385196975713E-2</v>
      </c>
      <c r="I384" s="2" t="str">
        <f ca="1"/>
        <v/>
      </c>
      <c r="J384" s="2" t="str">
        <f ca="1"/>
        <v/>
      </c>
      <c r="K384" s="2">
        <f ca="1"/>
        <v>2.7883189094251463E-2</v>
      </c>
      <c r="L384" s="2">
        <f ca="1"/>
        <v>2.2283569530976655E-2</v>
      </c>
      <c r="M384" s="2">
        <f ca="1"/>
        <v>3.0264188563697218E-2</v>
      </c>
      <c r="N384" s="2">
        <f ca="1"/>
        <v>3.91805612971384E-2</v>
      </c>
      <c r="O384" s="2" t="str">
        <f ca="1"/>
        <v/>
      </c>
      <c r="P384" s="2">
        <f ca="1"/>
        <v>2.9720432191481995E-2</v>
      </c>
      <c r="Q384" s="2">
        <f ca="1"/>
        <v>4.4904137235116076E-2</v>
      </c>
      <c r="R384" s="2">
        <f ca="1"/>
        <v>4.9204887502233403E-2</v>
      </c>
      <c r="S384" s="2">
        <f ca="1"/>
        <v>3.2491000565372102E-2</v>
      </c>
      <c r="T384" s="2">
        <f ca="1"/>
        <v>3.8048152800415513E-2</v>
      </c>
      <c r="U384" s="2">
        <f ca="1"/>
        <v>3.8916626229333326E-2</v>
      </c>
      <c r="V384" s="2">
        <f ca="1"/>
        <v>4.7760001083761237E-2</v>
      </c>
      <c r="W384" s="2">
        <f ca="1"/>
        <v>3.0005804018715596E-2</v>
      </c>
      <c r="X384" s="2">
        <f ca="1"/>
        <v>5.1750795816280157E-2</v>
      </c>
      <c r="Y384" s="2">
        <f ca="1"/>
        <v>2.7207392197125198E-2</v>
      </c>
      <c r="Z384" s="2" t="str">
        <f ca="1"/>
        <v/>
      </c>
      <c r="AA384" s="2" t="str">
        <f ca="1"/>
        <v/>
      </c>
      <c r="AB384" s="2" t="str">
        <f ca="1"/>
        <v/>
      </c>
      <c r="AC384" s="2" t="str">
        <f ca="1"/>
        <v/>
      </c>
      <c r="AD384" s="2" t="str">
        <f ca="1"/>
        <v/>
      </c>
      <c r="AE384" s="2" t="str">
        <f ca="1"/>
        <v/>
      </c>
      <c r="AF384" s="2">
        <f ca="1"/>
        <v>1.5205939851470544E-3</v>
      </c>
      <c r="AG384" s="26" t="str">
        <f ca="1"/>
        <v/>
      </c>
      <c r="AH384" s="26">
        <f ca="1"/>
        <v>3.8100000000000002E-2</v>
      </c>
    </row>
    <row r="385" spans="1:34">
      <c r="A385" s="5">
        <f ca="1"/>
        <v>40512</v>
      </c>
      <c r="B385" s="2">
        <f ca="1"/>
        <v>-4.7890261700908168E-2</v>
      </c>
      <c r="C385" s="2">
        <f ca="1"/>
        <v>-2.6353600663772739E-2</v>
      </c>
      <c r="D385" s="2">
        <f ca="1"/>
        <v>-2.1837639057715654E-2</v>
      </c>
      <c r="E385" s="2">
        <f ca="1"/>
        <v>-5.7474019825240145E-3</v>
      </c>
      <c r="F385" s="2">
        <f ca="1"/>
        <v>-3.1988699331262423E-2</v>
      </c>
      <c r="G385" s="2">
        <f ca="1"/>
        <v>-6.4515223042947864E-2</v>
      </c>
      <c r="H385" s="2">
        <f ca="1"/>
        <v>2.8911304702226069E-3</v>
      </c>
      <c r="I385" s="2" t="str">
        <f ca="1"/>
        <v/>
      </c>
      <c r="J385" s="2" t="str">
        <f ca="1"/>
        <v/>
      </c>
      <c r="K385" s="2">
        <f ca="1"/>
        <v>-2.138095280254278E-2</v>
      </c>
      <c r="L385" s="2">
        <f ca="1"/>
        <v>-4.2800332932581127E-2</v>
      </c>
      <c r="M385" s="2">
        <f ca="1"/>
        <v>-2.6257180597794236E-2</v>
      </c>
      <c r="N385" s="2">
        <f ca="1"/>
        <v>-1.5260342998585637E-2</v>
      </c>
      <c r="O385" s="2" t="str">
        <f ca="1"/>
        <v/>
      </c>
      <c r="P385" s="2">
        <f ca="1"/>
        <v>-2.3178558656904526E-2</v>
      </c>
      <c r="Q385" s="2">
        <f ca="1"/>
        <v>-1.0140028971511732E-3</v>
      </c>
      <c r="R385" s="2">
        <f ca="1"/>
        <v>1.9204317696529818E-2</v>
      </c>
      <c r="S385" s="2">
        <f ca="1"/>
        <v>-8.366199721357678E-3</v>
      </c>
      <c r="T385" s="2">
        <f ca="1"/>
        <v>1.2044150409493029E-4</v>
      </c>
      <c r="U385" s="2">
        <f ca="1"/>
        <v>3.2612594570821715E-3</v>
      </c>
      <c r="V385" s="2">
        <f ca="1"/>
        <v>1.1612847615045652E-2</v>
      </c>
      <c r="W385" s="2">
        <f ca="1"/>
        <v>-5.2918047856047269E-3</v>
      </c>
      <c r="X385" s="2">
        <f ca="1"/>
        <v>9.8581805603598343E-3</v>
      </c>
      <c r="Y385" s="2">
        <f ca="1"/>
        <v>-6.0969515242379358E-3</v>
      </c>
      <c r="Z385" s="2" t="str">
        <f ca="1"/>
        <v/>
      </c>
      <c r="AA385" s="2" t="str">
        <f ca="1"/>
        <v/>
      </c>
      <c r="AB385" s="2" t="str">
        <f ca="1"/>
        <v/>
      </c>
      <c r="AC385" s="2" t="str">
        <f ca="1"/>
        <v/>
      </c>
      <c r="AD385" s="2" t="str">
        <f ca="1"/>
        <v/>
      </c>
      <c r="AE385" s="2" t="str">
        <f ca="1"/>
        <v/>
      </c>
      <c r="AF385" s="2">
        <f ca="1"/>
        <v>-8.352175209208737E-3</v>
      </c>
      <c r="AG385" s="26" t="str">
        <f ca="1"/>
        <v/>
      </c>
      <c r="AH385" s="26">
        <f ca="1"/>
        <v>2.0199999999999999E-2</v>
      </c>
    </row>
    <row r="386" spans="1:34">
      <c r="A386" s="5">
        <f ca="1"/>
        <v>40543</v>
      </c>
      <c r="B386" s="2">
        <f ca="1"/>
        <v>8.1063743387236584E-2</v>
      </c>
      <c r="C386" s="2">
        <f ca="1"/>
        <v>7.147348128595106E-2</v>
      </c>
      <c r="D386" s="2">
        <f ca="1"/>
        <v>7.3525190041173888E-2</v>
      </c>
      <c r="E386" s="2">
        <f ca="1"/>
        <v>-1.0783669582095191E-2</v>
      </c>
      <c r="F386" s="2">
        <f ca="1"/>
        <v>7.857960608973974E-2</v>
      </c>
      <c r="G386" s="2">
        <f ca="1"/>
        <v>8.3655967314545429E-2</v>
      </c>
      <c r="H386" s="2">
        <f ca="1"/>
        <v>5.1877627217657478E-2</v>
      </c>
      <c r="I386" s="2" t="str">
        <f ca="1"/>
        <v/>
      </c>
      <c r="J386" s="2" t="str">
        <f ca="1"/>
        <v/>
      </c>
      <c r="K386" s="2">
        <f ca="1"/>
        <v>4.6980169356589774E-2</v>
      </c>
      <c r="L386" s="2">
        <f ca="1"/>
        <v>5.1622190875538702E-2</v>
      </c>
      <c r="M386" s="2">
        <f ca="1"/>
        <v>6.0689470238893345E-2</v>
      </c>
      <c r="N386" s="2">
        <f ca="1"/>
        <v>5.7869045615216351E-2</v>
      </c>
      <c r="O386" s="2" t="str">
        <f ca="1"/>
        <v/>
      </c>
      <c r="P386" s="2">
        <f ca="1"/>
        <v>7.1532481045096769E-2</v>
      </c>
      <c r="Q386" s="2">
        <f ca="1"/>
        <v>4.5193097781429867E-2</v>
      </c>
      <c r="R386" s="2">
        <f ca="1"/>
        <v>4.1939256840995844E-2</v>
      </c>
      <c r="S386" s="2">
        <f ca="1"/>
        <v>4.9572219426270651E-2</v>
      </c>
      <c r="T386" s="2">
        <f ca="1"/>
        <v>6.683749597986674E-2</v>
      </c>
      <c r="U386" s="2">
        <f ca="1"/>
        <v>6.6753144534901845E-2</v>
      </c>
      <c r="V386" s="2">
        <f ca="1"/>
        <v>5.5082182326326466E-2</v>
      </c>
      <c r="W386" s="2">
        <f ca="1"/>
        <v>7.8903728084055824E-2</v>
      </c>
      <c r="X386" s="2">
        <f ca="1"/>
        <v>5.5370202496634581E-2</v>
      </c>
      <c r="Y386" s="2">
        <f ca="1"/>
        <v>7.9714352315901127E-2</v>
      </c>
      <c r="Z386" s="2" t="str">
        <f ca="1"/>
        <v/>
      </c>
      <c r="AA386" s="2" t="str">
        <f ca="1"/>
        <v/>
      </c>
      <c r="AB386" s="2" t="str">
        <f ca="1"/>
        <v/>
      </c>
      <c r="AC386" s="2" t="str">
        <f ca="1"/>
        <v/>
      </c>
      <c r="AD386" s="2" t="str">
        <f ca="1"/>
        <v/>
      </c>
      <c r="AE386" s="2" t="str">
        <f ca="1"/>
        <v/>
      </c>
      <c r="AF386" s="2">
        <f ca="1"/>
        <v>-6.7102880596616689E-3</v>
      </c>
      <c r="AG386" s="26" t="str">
        <f ca="1"/>
        <v/>
      </c>
      <c r="AH386" s="26">
        <f ca="1"/>
        <v>2.63E-2</v>
      </c>
    </row>
    <row r="387" spans="1:34">
      <c r="A387" s="5">
        <f ca="1"/>
        <v>40574</v>
      </c>
      <c r="B387" s="2">
        <f ca="1"/>
        <v>2.3729560168446184E-2</v>
      </c>
      <c r="C387" s="2">
        <f ca="1"/>
        <v>-2.6939341622858898E-2</v>
      </c>
      <c r="D387" s="2">
        <f ca="1"/>
        <v>1.5920376139949864E-2</v>
      </c>
      <c r="E387" s="2">
        <f ca="1"/>
        <v>1.1638535128877473E-3</v>
      </c>
      <c r="F387" s="2">
        <f ca="1"/>
        <v>2.9905082868146218E-3</v>
      </c>
      <c r="G387" s="2">
        <f ca="1"/>
        <v>4.5313173801280984E-2</v>
      </c>
      <c r="H387" s="2">
        <f ca="1"/>
        <v>-3.1390351089003992E-3</v>
      </c>
      <c r="I387" s="2" t="str">
        <f ca="1"/>
        <v/>
      </c>
      <c r="J387" s="2" t="str">
        <f ca="1"/>
        <v/>
      </c>
      <c r="K387" s="2">
        <f ca="1"/>
        <v>-5.7548237693230342E-3</v>
      </c>
      <c r="L387" s="2">
        <f ca="1"/>
        <v>5.5216133033212282E-3</v>
      </c>
      <c r="M387" s="2">
        <f ca="1"/>
        <v>-3.8791565046695668E-2</v>
      </c>
      <c r="N387" s="2">
        <f ca="1"/>
        <v>4.7415987780041018E-3</v>
      </c>
      <c r="O387" s="2" t="str">
        <f ca="1"/>
        <v/>
      </c>
      <c r="P387" s="2">
        <f ca="1"/>
        <v>-3.434510537294113E-2</v>
      </c>
      <c r="Q387" s="2">
        <f ca="1"/>
        <v>1.2844524602293763E-2</v>
      </c>
      <c r="R387" s="2">
        <f ca="1"/>
        <v>5.6620531418844298E-3</v>
      </c>
      <c r="S387" s="2">
        <f ca="1"/>
        <v>-1.5384000639334728E-3</v>
      </c>
      <c r="T387" s="2">
        <f ca="1"/>
        <v>2.3697289142286932E-2</v>
      </c>
      <c r="U387" s="2">
        <f ca="1"/>
        <v>2.4047832154001348E-2</v>
      </c>
      <c r="V387" s="2">
        <f ca="1"/>
        <v>2.544911993087038E-2</v>
      </c>
      <c r="W387" s="2">
        <f ca="1"/>
        <v>2.2621673628385179E-2</v>
      </c>
      <c r="X387" s="2">
        <f ca="1"/>
        <v>1.8723542819928406E-2</v>
      </c>
      <c r="Y387" s="2">
        <f ca="1"/>
        <v>2.8501781361335184E-2</v>
      </c>
      <c r="Z387" s="2" t="str">
        <f ca="1"/>
        <v/>
      </c>
      <c r="AA387" s="2" t="str">
        <f ca="1"/>
        <v/>
      </c>
      <c r="AB387" s="2" t="str">
        <f ca="1"/>
        <v/>
      </c>
      <c r="AC387" s="2" t="str">
        <f ca="1"/>
        <v/>
      </c>
      <c r="AD387" s="2" t="str">
        <f ca="1"/>
        <v/>
      </c>
      <c r="AE387" s="2" t="str">
        <f ca="1"/>
        <v/>
      </c>
      <c r="AF387" s="2">
        <f ca="1"/>
        <v>-8.5106382978727448E-4</v>
      </c>
      <c r="AG387" s="26" t="str">
        <f ca="1"/>
        <v/>
      </c>
      <c r="AH387" s="26">
        <f ca="1"/>
        <v>-6.1600000000000002E-2</v>
      </c>
    </row>
    <row r="388" spans="1:34">
      <c r="A388" s="5">
        <f ca="1"/>
        <v>40602</v>
      </c>
      <c r="B388" s="2">
        <f ca="1"/>
        <v>3.320270771669339E-2</v>
      </c>
      <c r="C388" s="2">
        <f ca="1"/>
        <v>-9.1802102178431353E-3</v>
      </c>
      <c r="D388" s="2">
        <f ca="1"/>
        <v>2.9529855280451628E-2</v>
      </c>
      <c r="E388" s="2">
        <f ca="1"/>
        <v>2.501506381580088E-3</v>
      </c>
      <c r="F388" s="2">
        <f ca="1"/>
        <v>3.2092499236174743E-2</v>
      </c>
      <c r="G388" s="2">
        <f ca="1"/>
        <v>3.4311059281213557E-2</v>
      </c>
      <c r="H388" s="2">
        <f ca="1"/>
        <v>2.894583858153291E-2</v>
      </c>
      <c r="I388" s="2" t="str">
        <f ca="1"/>
        <v/>
      </c>
      <c r="J388" s="2" t="str">
        <f ca="1"/>
        <v/>
      </c>
      <c r="K388" s="2">
        <f ca="1"/>
        <v>1.9823922546778672E-2</v>
      </c>
      <c r="L388" s="2">
        <f ca="1"/>
        <v>2.5455475759735304E-2</v>
      </c>
      <c r="M388" s="2">
        <f ca="1"/>
        <v>-9.422066820864744E-3</v>
      </c>
      <c r="N388" s="2">
        <f ca="1"/>
        <v>2.3501092705792918E-2</v>
      </c>
      <c r="O388" s="2" t="str">
        <f ca="1"/>
        <v/>
      </c>
      <c r="P388" s="2">
        <f ca="1"/>
        <v>-1.127518528173988E-2</v>
      </c>
      <c r="Q388" s="2">
        <f ca="1"/>
        <v>2.8285410983140583E-2</v>
      </c>
      <c r="R388" s="2">
        <f ca="1"/>
        <v>4.0318920576510278E-2</v>
      </c>
      <c r="S388" s="2">
        <f ca="1"/>
        <v>3.1008837752209445E-2</v>
      </c>
      <c r="T388" s="2">
        <f ca="1"/>
        <v>3.4250720756463397E-2</v>
      </c>
      <c r="U388" s="2">
        <f ca="1"/>
        <v>3.4783031071229722E-2</v>
      </c>
      <c r="V388" s="2">
        <f ca="1"/>
        <v>3.2726463703000773E-2</v>
      </c>
      <c r="W388" s="2">
        <f ca="1"/>
        <v>3.6885010785258555E-2</v>
      </c>
      <c r="X388" s="2">
        <f ca="1"/>
        <v>2.7649033082947177E-2</v>
      </c>
      <c r="Y388" s="2">
        <f ca="1"/>
        <v>4.0291704649042796E-2</v>
      </c>
      <c r="Z388" s="2" t="str">
        <f ca="1"/>
        <v/>
      </c>
      <c r="AA388" s="2" t="str">
        <f ca="1"/>
        <v/>
      </c>
      <c r="AB388" s="2" t="str">
        <f ca="1"/>
        <v/>
      </c>
      <c r="AC388" s="2" t="str">
        <f ca="1"/>
        <v/>
      </c>
      <c r="AD388" s="2" t="str">
        <f ca="1"/>
        <v/>
      </c>
      <c r="AE388" s="2" t="str">
        <f ca="1"/>
        <v/>
      </c>
      <c r="AF388" s="2">
        <f ca="1"/>
        <v>2.9125588485841227E-3</v>
      </c>
      <c r="AG388" s="26" t="str">
        <f ca="1"/>
        <v/>
      </c>
      <c r="AH388" s="26">
        <f ca="1"/>
        <v>5.7099999999999998E-2</v>
      </c>
    </row>
    <row r="389" spans="1:34">
      <c r="A389" s="5">
        <f ca="1"/>
        <v>40633</v>
      </c>
      <c r="B389" s="2">
        <f ca="1"/>
        <v>-2.1959191146274142E-2</v>
      </c>
      <c r="C389" s="2">
        <f ca="1"/>
        <v>5.8951646571800825E-2</v>
      </c>
      <c r="D389" s="2">
        <f ca="1"/>
        <v>-5.8314858205578261E-4</v>
      </c>
      <c r="E389" s="2">
        <f ca="1"/>
        <v>5.5247947933367446E-4</v>
      </c>
      <c r="F389" s="2">
        <f ca="1"/>
        <v>-1.1780134256896859E-2</v>
      </c>
      <c r="G389" s="2">
        <f ca="1"/>
        <v>-3.2134505236911456E-2</v>
      </c>
      <c r="H389" s="2">
        <f ca="1"/>
        <v>3.0744603215706587E-2</v>
      </c>
      <c r="I389" s="2" t="str">
        <f ca="1"/>
        <v/>
      </c>
      <c r="J389" s="2" t="str">
        <f ca="1"/>
        <v/>
      </c>
      <c r="K389" s="2">
        <f ca="1"/>
        <v>1.0303040632669687E-2</v>
      </c>
      <c r="L389" s="2">
        <f ca="1"/>
        <v>-1.5949105424477746E-2</v>
      </c>
      <c r="M389" s="2">
        <f ca="1"/>
        <v>5.5797208968161656E-2</v>
      </c>
      <c r="N389" s="2">
        <f ca="1"/>
        <v>7.4784671721078956E-3</v>
      </c>
      <c r="O389" s="2" t="str">
        <f ca="1"/>
        <v/>
      </c>
      <c r="P389" s="2">
        <f ca="1"/>
        <v>5.7649750925202248E-2</v>
      </c>
      <c r="Q389" s="2">
        <f ca="1"/>
        <v>5.8833324082807647E-4</v>
      </c>
      <c r="R389" s="2">
        <f ca="1"/>
        <v>2.0645663349526E-2</v>
      </c>
      <c r="S389" s="2">
        <f ca="1"/>
        <v>1.5746503292921137E-2</v>
      </c>
      <c r="T389" s="2">
        <f ca="1"/>
        <v>4.0340852418728007E-4</v>
      </c>
      <c r="U389" s="2">
        <f ca="1"/>
        <v>2.5853575941002984E-3</v>
      </c>
      <c r="V389" s="2">
        <f ca="1"/>
        <v>1.2220487332444206E-3</v>
      </c>
      <c r="W389" s="2">
        <f ca="1"/>
        <v>3.9711411048375458E-3</v>
      </c>
      <c r="X389" s="2">
        <f ca="1"/>
        <v>2.6737967914436936E-3</v>
      </c>
      <c r="Y389" s="2">
        <f ca="1"/>
        <v>-3.4768719486561334E-4</v>
      </c>
      <c r="Z389" s="2" t="str">
        <f ca="1"/>
        <v/>
      </c>
      <c r="AA389" s="2" t="str">
        <f ca="1"/>
        <v/>
      </c>
      <c r="AB389" s="2" t="str">
        <f ca="1"/>
        <v/>
      </c>
      <c r="AC389" s="2" t="str">
        <f ca="1"/>
        <v/>
      </c>
      <c r="AD389" s="2" t="str">
        <f ca="1"/>
        <v/>
      </c>
      <c r="AE389" s="2" t="str">
        <f ca="1"/>
        <v/>
      </c>
      <c r="AF389" s="2">
        <f ca="1"/>
        <v>-2.2284526009204216E-3</v>
      </c>
      <c r="AG389" s="26" t="str">
        <f ca="1"/>
        <v/>
      </c>
      <c r="AH389" s="26">
        <f ca="1"/>
        <v>2.06E-2</v>
      </c>
    </row>
    <row r="390" spans="1:34">
      <c r="A390" s="5">
        <f ca="1"/>
        <v>40662</v>
      </c>
      <c r="B390" s="2">
        <f ca="1"/>
        <v>6.0763434801797828E-2</v>
      </c>
      <c r="C390" s="2">
        <f ca="1"/>
        <v>3.1240648467892471E-2</v>
      </c>
      <c r="D390" s="2">
        <f ca="1"/>
        <v>4.1489035491190721E-2</v>
      </c>
      <c r="E390" s="2">
        <f ca="1"/>
        <v>1.2693943678209788E-2</v>
      </c>
      <c r="F390" s="2">
        <f ca="1"/>
        <v>6.2158409583478742E-2</v>
      </c>
      <c r="G390" s="2">
        <f ca="1"/>
        <v>5.9336178873018862E-2</v>
      </c>
      <c r="H390" s="2">
        <f ca="1"/>
        <v>5.8901450268356657E-2</v>
      </c>
      <c r="I390" s="2" t="str">
        <f ca="1"/>
        <v/>
      </c>
      <c r="J390" s="2" t="str">
        <f ca="1"/>
        <v/>
      </c>
      <c r="K390" s="2">
        <f ca="1"/>
        <v>4.3963459381036428E-2</v>
      </c>
      <c r="L390" s="2">
        <f ca="1"/>
        <v>5.5223556255772265E-2</v>
      </c>
      <c r="M390" s="2">
        <f ca="1"/>
        <v>4.5163389990976154E-2</v>
      </c>
      <c r="N390" s="2">
        <f ca="1"/>
        <v>5.1069929353946844E-2</v>
      </c>
      <c r="O390" s="2" t="str">
        <f ca="1"/>
        <v/>
      </c>
      <c r="P390" s="2">
        <f ca="1"/>
        <v>4.5862084316431455E-2</v>
      </c>
      <c r="Q390" s="2">
        <f ca="1"/>
        <v>4.4986576138809332E-2</v>
      </c>
      <c r="R390" s="2">
        <f ca="1"/>
        <v>3.8919630789136302E-2</v>
      </c>
      <c r="S390" s="2">
        <f ca="1"/>
        <v>4.0233618669112452E-2</v>
      </c>
      <c r="T390" s="2">
        <f ca="1"/>
        <v>2.9606755923205601E-2</v>
      </c>
      <c r="U390" s="2">
        <f ca="1"/>
        <v>3.0077293837812453E-2</v>
      </c>
      <c r="V390" s="2">
        <f ca="1"/>
        <v>3.3488203819715505E-2</v>
      </c>
      <c r="W390" s="2">
        <f ca="1"/>
        <v>2.6628568122043898E-2</v>
      </c>
      <c r="X390" s="2">
        <f ca="1"/>
        <v>3.0948678071539719E-2</v>
      </c>
      <c r="Y390" s="2">
        <f ca="1"/>
        <v>2.9619181946403405E-2</v>
      </c>
      <c r="Z390" s="2" t="str">
        <f ca="1"/>
        <v/>
      </c>
      <c r="AA390" s="2" t="str">
        <f ca="1"/>
        <v/>
      </c>
      <c r="AB390" s="2" t="str">
        <f ca="1"/>
        <v/>
      </c>
      <c r="AC390" s="2" t="str">
        <f ca="1"/>
        <v/>
      </c>
      <c r="AD390" s="2" t="str">
        <f ca="1"/>
        <v/>
      </c>
      <c r="AE390" s="2" t="str">
        <f ca="1"/>
        <v/>
      </c>
      <c r="AF390" s="2">
        <f ca="1"/>
        <v>1.5673963583559641E-2</v>
      </c>
      <c r="AG390" s="26" t="str">
        <f ca="1"/>
        <v/>
      </c>
      <c r="AH390" s="26">
        <f ca="1"/>
        <v>8.1699999999999995E-2</v>
      </c>
    </row>
    <row r="391" spans="1:34">
      <c r="A391" s="5">
        <f ca="1"/>
        <v>40694</v>
      </c>
      <c r="B391" s="2">
        <f ca="1"/>
        <v>-2.8062954932496151E-2</v>
      </c>
      <c r="C391" s="2">
        <f ca="1"/>
        <v>-2.583093816788264E-2</v>
      </c>
      <c r="D391" s="2">
        <f ca="1"/>
        <v>-2.0560816847049801E-2</v>
      </c>
      <c r="E391" s="2">
        <f ca="1"/>
        <v>1.3050121333772714E-2</v>
      </c>
      <c r="F391" s="2">
        <f ca="1"/>
        <v>-2.1662584308798246E-2</v>
      </c>
      <c r="G391" s="2">
        <f ca="1"/>
        <v>-3.4642905653201432E-2</v>
      </c>
      <c r="H391" s="2">
        <f ca="1"/>
        <v>-1.1970494349063955E-2</v>
      </c>
      <c r="I391" s="2" t="str">
        <f ca="1"/>
        <v/>
      </c>
      <c r="J391" s="2" t="str">
        <f ca="1"/>
        <v/>
      </c>
      <c r="K391" s="2">
        <f ca="1"/>
        <v>1.0406819375429144E-2</v>
      </c>
      <c r="L391" s="2">
        <f ca="1"/>
        <v>-3.0461382689355521E-3</v>
      </c>
      <c r="M391" s="2">
        <f ca="1"/>
        <v>-5.8809375530770149E-3</v>
      </c>
      <c r="N391" s="2">
        <f ca="1"/>
        <v>-5.6303454187690907E-3</v>
      </c>
      <c r="O391" s="2" t="str">
        <f ca="1"/>
        <v/>
      </c>
      <c r="P391" s="2">
        <f ca="1"/>
        <v>-1.0947848739209752E-2</v>
      </c>
      <c r="Q391" s="2">
        <f ca="1"/>
        <v>-1.2527470194175258E-3</v>
      </c>
      <c r="R391" s="2">
        <f ca="1"/>
        <v>-4.970422096695311E-3</v>
      </c>
      <c r="S391" s="2">
        <f ca="1"/>
        <v>1.097811112811882E-2</v>
      </c>
      <c r="T391" s="2">
        <f ca="1"/>
        <v>-1.1322521468423212E-2</v>
      </c>
      <c r="U391" s="2">
        <f ca="1"/>
        <v>-1.0727561969384566E-2</v>
      </c>
      <c r="V391" s="2">
        <f ca="1"/>
        <v>-1.0887008366543395E-2</v>
      </c>
      <c r="W391" s="2">
        <f ca="1"/>
        <v>-1.0565445236960853E-2</v>
      </c>
      <c r="X391" s="2">
        <f ca="1"/>
        <v>-7.2409111479861833E-3</v>
      </c>
      <c r="Y391" s="2">
        <f ca="1"/>
        <v>-1.3698630136986301E-2</v>
      </c>
      <c r="Z391" s="2" t="str">
        <f ca="1"/>
        <v/>
      </c>
      <c r="AA391" s="2" t="str">
        <f ca="1"/>
        <v/>
      </c>
      <c r="AB391" s="2" t="str">
        <f ca="1"/>
        <v/>
      </c>
      <c r="AC391" s="2" t="str">
        <f ca="1"/>
        <v/>
      </c>
      <c r="AD391" s="2" t="str">
        <f ca="1"/>
        <v/>
      </c>
      <c r="AE391" s="2" t="str">
        <f ca="1"/>
        <v/>
      </c>
      <c r="AF391" s="2">
        <f ca="1"/>
        <v>1.2397550778998755E-2</v>
      </c>
      <c r="AG391" s="26" t="str">
        <f ca="1"/>
        <v/>
      </c>
      <c r="AH391" s="26">
        <f ca="1"/>
        <v>-1.32E-2</v>
      </c>
    </row>
    <row r="392" spans="1:34">
      <c r="A392" s="5">
        <f ca="1"/>
        <v>40724</v>
      </c>
      <c r="B392" s="2">
        <f ca="1"/>
        <v>-1.2275663377595334E-2</v>
      </c>
      <c r="C392" s="2">
        <f ca="1"/>
        <v>-1.4964822029731102E-2</v>
      </c>
      <c r="D392" s="2">
        <f ca="1"/>
        <v>-1.5368574383075505E-2</v>
      </c>
      <c r="E392" s="2">
        <f ca="1"/>
        <v>-2.9277294423119275E-3</v>
      </c>
      <c r="F392" s="2">
        <f ca="1"/>
        <v>-1.5439176577249214E-2</v>
      </c>
      <c r="G392" s="2">
        <f ca="1"/>
        <v>-9.0725511428488212E-3</v>
      </c>
      <c r="H392" s="2">
        <f ca="1"/>
        <v>-8.1425047479752044E-3</v>
      </c>
      <c r="I392" s="2" t="str">
        <f ca="1"/>
        <v/>
      </c>
      <c r="J392" s="2" t="str">
        <f ca="1"/>
        <v/>
      </c>
      <c r="K392" s="2">
        <f ca="1"/>
        <v>-9.2360839004261824E-3</v>
      </c>
      <c r="L392" s="2">
        <f ca="1"/>
        <v>-5.3190573735216263E-3</v>
      </c>
      <c r="M392" s="2">
        <f ca="1"/>
        <v>-6.6987962099478776E-3</v>
      </c>
      <c r="N392" s="2">
        <f ca="1"/>
        <v>-1.2108150470219339E-2</v>
      </c>
      <c r="O392" s="2" t="str">
        <f ca="1"/>
        <v/>
      </c>
      <c r="P392" s="2">
        <f ca="1"/>
        <v>-1.0027543467033795E-2</v>
      </c>
      <c r="Q392" s="2">
        <f ca="1"/>
        <v>-5.5275046505448271E-3</v>
      </c>
      <c r="R392" s="2">
        <f ca="1"/>
        <v>-6.693859306028953E-3</v>
      </c>
      <c r="S392" s="2">
        <f ca="1"/>
        <v>-1.1391853098995975E-2</v>
      </c>
      <c r="T392" s="2">
        <f ca="1"/>
        <v>-1.6670376576052037E-2</v>
      </c>
      <c r="U392" s="2">
        <f ca="1"/>
        <v>-1.7479965289486331E-2</v>
      </c>
      <c r="V392" s="2">
        <f ca="1"/>
        <v>-1.4342979763359335E-2</v>
      </c>
      <c r="W392" s="2">
        <f ca="1"/>
        <v>-2.0503409775231626E-2</v>
      </c>
      <c r="X392" s="2">
        <f ca="1"/>
        <v>-1.3921059990627468E-2</v>
      </c>
      <c r="Y392" s="2">
        <f ca="1"/>
        <v>-2.1157110197672215E-2</v>
      </c>
      <c r="Z392" s="2" t="str">
        <f ca="1"/>
        <v/>
      </c>
      <c r="AA392" s="2" t="str">
        <f ca="1"/>
        <v/>
      </c>
      <c r="AB392" s="2" t="str">
        <f ca="1"/>
        <v/>
      </c>
      <c r="AC392" s="2" t="str">
        <f ca="1"/>
        <v/>
      </c>
      <c r="AD392" s="2" t="str">
        <f ca="1"/>
        <v/>
      </c>
      <c r="AE392" s="2" t="str">
        <f ca="1"/>
        <v/>
      </c>
      <c r="AF392" s="2">
        <f ca="1"/>
        <v>-4.4669885590776851E-3</v>
      </c>
      <c r="AG392" s="26" t="str">
        <f ca="1"/>
        <v/>
      </c>
      <c r="AH392" s="26">
        <f ca="1"/>
        <v>-2.1600000000000001E-2</v>
      </c>
    </row>
    <row r="393" spans="1:34">
      <c r="A393" s="5">
        <f ca="1"/>
        <v>40753</v>
      </c>
      <c r="B393" s="2">
        <f ca="1"/>
        <v>-1.5728508398286038E-2</v>
      </c>
      <c r="C393" s="2">
        <f ca="1"/>
        <v>-3.7584420945514243E-3</v>
      </c>
      <c r="D393" s="2">
        <f ca="1"/>
        <v>-1.5959107839118001E-2</v>
      </c>
      <c r="E393" s="2">
        <f ca="1"/>
        <v>1.5868025483752327E-2</v>
      </c>
      <c r="F393" s="2">
        <f ca="1"/>
        <v>-6.6083471007231413E-3</v>
      </c>
      <c r="G393" s="2">
        <f ca="1"/>
        <v>-2.4891688836282708E-2</v>
      </c>
      <c r="H393" s="2">
        <f ca="1"/>
        <v>-7.4830530856590241E-3</v>
      </c>
      <c r="I393" s="2" t="str">
        <f ca="1"/>
        <v/>
      </c>
      <c r="J393" s="2" t="str">
        <f ca="1"/>
        <v/>
      </c>
      <c r="K393" s="2">
        <f ca="1"/>
        <v>-6.2632165168122087E-3</v>
      </c>
      <c r="L393" s="2">
        <f ca="1"/>
        <v>1.3091859338225011E-2</v>
      </c>
      <c r="M393" s="2">
        <f ca="1"/>
        <v>1.5673823925694549E-2</v>
      </c>
      <c r="N393" s="2">
        <f ca="1"/>
        <v>-1.8543492919757293E-3</v>
      </c>
      <c r="O393" s="2" t="str">
        <f ca="1"/>
        <v/>
      </c>
      <c r="P393" s="2">
        <f ca="1"/>
        <v>5.0167369473546764E-3</v>
      </c>
      <c r="Q393" s="2">
        <f ca="1"/>
        <v>-3.1639142750253036E-3</v>
      </c>
      <c r="R393" s="2">
        <f ca="1"/>
        <v>-1.8619355129041771E-2</v>
      </c>
      <c r="S393" s="2">
        <f ca="1"/>
        <v>-3.3270643297781718E-2</v>
      </c>
      <c r="T393" s="2">
        <f ca="1"/>
        <v>-2.0340760920332296E-2</v>
      </c>
      <c r="U393" s="2">
        <f ca="1"/>
        <v>-2.1701474664819087E-2</v>
      </c>
      <c r="V393" s="2">
        <f ca="1"/>
        <v>-1.0023660677163995E-2</v>
      </c>
      <c r="W393" s="2">
        <f ca="1"/>
        <v>-3.3169245681448335E-2</v>
      </c>
      <c r="X393" s="2">
        <f ca="1"/>
        <v>-7.265419693924793E-3</v>
      </c>
      <c r="Y393" s="2">
        <f ca="1"/>
        <v>-3.4968777876895542E-2</v>
      </c>
      <c r="Z393" s="2" t="str">
        <f ca="1"/>
        <v/>
      </c>
      <c r="AA393" s="2" t="str">
        <f ca="1"/>
        <v/>
      </c>
      <c r="AB393" s="2" t="str">
        <f ca="1"/>
        <v/>
      </c>
      <c r="AC393" s="2" t="str">
        <f ca="1"/>
        <v/>
      </c>
      <c r="AD393" s="2" t="str">
        <f ca="1"/>
        <v/>
      </c>
      <c r="AE393" s="2" t="str">
        <f ca="1"/>
        <v/>
      </c>
      <c r="AF393" s="2">
        <f ca="1"/>
        <v>1.6861039295529491E-2</v>
      </c>
      <c r="AG393" s="26" t="str">
        <f ca="1"/>
        <v/>
      </c>
      <c r="AH393" s="26">
        <f ca="1"/>
        <v>8.3499999999999991E-2</v>
      </c>
    </row>
    <row r="394" spans="1:34">
      <c r="A394" s="5">
        <f ca="1"/>
        <v>40786</v>
      </c>
      <c r="B394" s="2">
        <f ca="1"/>
        <v>-9.0176795172273727E-2</v>
      </c>
      <c r="C394" s="2">
        <f ca="1"/>
        <v>-8.9001098541060406E-2</v>
      </c>
      <c r="D394" s="2">
        <f ca="1"/>
        <v>-7.2638534074852726E-2</v>
      </c>
      <c r="E394" s="2">
        <f ca="1"/>
        <v>1.4609963037143864E-2</v>
      </c>
      <c r="F394" s="2">
        <f ca="1"/>
        <v>-8.4955085132298228E-2</v>
      </c>
      <c r="G394" s="2">
        <f ca="1"/>
        <v>-9.5518399479975327E-2</v>
      </c>
      <c r="H394" s="2">
        <f ca="1"/>
        <v>-7.0316657796700335E-2</v>
      </c>
      <c r="I394" s="2" t="str">
        <f ca="1"/>
        <v/>
      </c>
      <c r="J394" s="2" t="str">
        <f ca="1"/>
        <v/>
      </c>
      <c r="K394" s="2">
        <f ca="1"/>
        <v>-1.506635694676821E-2</v>
      </c>
      <c r="L394" s="2">
        <f ca="1"/>
        <v>-4.1706169233265797E-2</v>
      </c>
      <c r="M394" s="2">
        <f ca="1"/>
        <v>-5.0000352810844084E-2</v>
      </c>
      <c r="N394" s="2">
        <f ca="1"/>
        <v>-4.4795692301578656E-2</v>
      </c>
      <c r="O394" s="2" t="str">
        <f ca="1"/>
        <v/>
      </c>
      <c r="P394" s="2">
        <f ca="1"/>
        <v>-5.6950307979791122E-2</v>
      </c>
      <c r="Q394" s="2">
        <f ca="1"/>
        <v>-4.0060476736829706E-2</v>
      </c>
      <c r="R394" s="2">
        <f ca="1"/>
        <v>-5.6849055954878339E-2</v>
      </c>
      <c r="S394" s="2">
        <f ca="1"/>
        <v>-2.6108006032723031E-3</v>
      </c>
      <c r="T394" s="2">
        <f ca="1"/>
        <v>-5.4330147393322425E-2</v>
      </c>
      <c r="U394" s="2">
        <f ca="1"/>
        <v>-5.7580161654879877E-2</v>
      </c>
      <c r="V394" s="2">
        <f ca="1"/>
        <v>-5.2773344736219245E-2</v>
      </c>
      <c r="W394" s="2">
        <f ca="1"/>
        <v>-6.2405742594393437E-2</v>
      </c>
      <c r="X394" s="2">
        <f ca="1"/>
        <v>-5.6680161943319873E-2</v>
      </c>
      <c r="Y394" s="2">
        <f ca="1"/>
        <v>-5.8975781105564895E-2</v>
      </c>
      <c r="Z394" s="2" t="str">
        <f ca="1"/>
        <v/>
      </c>
      <c r="AA394" s="2" t="str">
        <f ca="1"/>
        <v/>
      </c>
      <c r="AB394" s="2" t="str">
        <f ca="1"/>
        <v/>
      </c>
      <c r="AC394" s="2" t="str">
        <f ca="1"/>
        <v/>
      </c>
      <c r="AD394" s="2" t="str">
        <f ca="1"/>
        <v/>
      </c>
      <c r="AE394" s="2" t="str">
        <f ca="1"/>
        <v/>
      </c>
      <c r="AF394" s="2">
        <f ca="1"/>
        <v>1.5197973466504311E-2</v>
      </c>
      <c r="AG394" s="26" t="str">
        <f ca="1"/>
        <v/>
      </c>
      <c r="AH394" s="26">
        <f ca="1"/>
        <v>0.1234</v>
      </c>
    </row>
    <row r="395" spans="1:34">
      <c r="A395" s="5">
        <f ca="1"/>
        <v>40816</v>
      </c>
      <c r="B395" s="2">
        <f ca="1"/>
        <v>-9.4966814798768132E-2</v>
      </c>
      <c r="C395" s="2">
        <f ca="1"/>
        <v>-0.14562398189087983</v>
      </c>
      <c r="D395" s="2">
        <f ca="1"/>
        <v>-9.4048106076536964E-2</v>
      </c>
      <c r="E395" s="2">
        <f ca="1"/>
        <v>7.2746108025668913E-3</v>
      </c>
      <c r="F395" s="2">
        <f ca="1"/>
        <v>-0.10826776805331818</v>
      </c>
      <c r="G395" s="2">
        <f ca="1"/>
        <v>-8.1187389397057871E-2</v>
      </c>
      <c r="H395" s="2">
        <f ca="1"/>
        <v>-7.0125223613595647E-2</v>
      </c>
      <c r="I395" s="2" t="str">
        <f ca="1"/>
        <v/>
      </c>
      <c r="J395" s="2" t="str">
        <f ca="1"/>
        <v/>
      </c>
      <c r="K395" s="2">
        <f ca="1"/>
        <v>-4.2946555946795216E-2</v>
      </c>
      <c r="L395" s="2">
        <f ca="1"/>
        <v>-4.907395853758529E-2</v>
      </c>
      <c r="M395" s="2">
        <f ca="1"/>
        <v>-0.11781658285858586</v>
      </c>
      <c r="N395" s="2">
        <f ca="1"/>
        <v>-7.2690019553188823E-2</v>
      </c>
      <c r="O395" s="2" t="str">
        <f ca="1"/>
        <v/>
      </c>
      <c r="P395" s="2">
        <f ca="1"/>
        <v>-0.12005430744250467</v>
      </c>
      <c r="Q395" s="2">
        <f ca="1"/>
        <v>-4.7038191302793707E-2</v>
      </c>
      <c r="R395" s="2">
        <f ca="1"/>
        <v>-4.9919778296382791E-2</v>
      </c>
      <c r="S395" s="2">
        <f ca="1"/>
        <v>-2.6913351207797073E-2</v>
      </c>
      <c r="T395" s="2">
        <f ca="1"/>
        <v>-7.0296359151569579E-2</v>
      </c>
      <c r="U395" s="2">
        <f ca="1"/>
        <v>-7.4617317287156745E-2</v>
      </c>
      <c r="V395" s="2">
        <f ca="1"/>
        <v>-7.3684146884616886E-2</v>
      </c>
      <c r="W395" s="2">
        <f ca="1"/>
        <v>-7.5573437939167376E-2</v>
      </c>
      <c r="X395" s="2">
        <f ca="1"/>
        <v>-7.3773123987716335E-2</v>
      </c>
      <c r="Y395" s="2">
        <f ca="1"/>
        <v>-6.8534139883134171E-2</v>
      </c>
      <c r="Z395" s="2" t="str">
        <f ca="1"/>
        <v/>
      </c>
      <c r="AA395" s="2" t="str">
        <f ca="1"/>
        <v/>
      </c>
      <c r="AB395" s="2" t="str">
        <f ca="1"/>
        <v/>
      </c>
      <c r="AC395" s="2" t="str">
        <f ca="1"/>
        <v/>
      </c>
      <c r="AD395" s="2" t="str">
        <f ca="1"/>
        <v/>
      </c>
      <c r="AE395" s="2" t="str">
        <f ca="1"/>
        <v/>
      </c>
      <c r="AF395" s="2">
        <f ca="1"/>
        <v>7.6997939665379477E-3</v>
      </c>
      <c r="AG395" s="26" t="str">
        <f ca="1"/>
        <v/>
      </c>
      <c r="AH395" s="26">
        <f ca="1"/>
        <v>-0.1142</v>
      </c>
    </row>
    <row r="396" spans="1:34">
      <c r="A396" s="5">
        <f ca="1"/>
        <v>40847</v>
      </c>
      <c r="B396" s="2">
        <f ca="1"/>
        <v>9.6472844215212961E-2</v>
      </c>
      <c r="C396" s="2">
        <f ca="1"/>
        <v>0.13190996768642205</v>
      </c>
      <c r="D396" s="2">
        <f ca="1"/>
        <v>0.10740918931922049</v>
      </c>
      <c r="E396" s="2">
        <f ca="1"/>
        <v>1.0741690902129951E-3</v>
      </c>
      <c r="F396" s="2">
        <f ca="1"/>
        <v>0.10114879420180181</v>
      </c>
      <c r="G396" s="2">
        <f ca="1"/>
        <v>9.1775886962250683E-2</v>
      </c>
      <c r="H396" s="2">
        <f ca="1"/>
        <v>8.8982942157239953E-2</v>
      </c>
      <c r="I396" s="2" t="str">
        <f ca="1"/>
        <v/>
      </c>
      <c r="J396" s="2" t="str">
        <f ca="1"/>
        <v/>
      </c>
      <c r="K396" s="2">
        <f ca="1"/>
        <v>4.8587356430780985E-2</v>
      </c>
      <c r="L396" s="2">
        <f ca="1"/>
        <v>4.0790312300828531E-2</v>
      </c>
      <c r="M396" s="2">
        <f ca="1"/>
        <v>9.7010212930765949E-2</v>
      </c>
      <c r="N396" s="2">
        <f ca="1"/>
        <v>9.2318218015006823E-2</v>
      </c>
      <c r="O396" s="2" t="str">
        <f ca="1"/>
        <v/>
      </c>
      <c r="P396" s="2">
        <f ca="1"/>
        <v>9.4024311419695222E-2</v>
      </c>
      <c r="Q396" s="2">
        <f ca="1"/>
        <v>8.9530195048762182E-2</v>
      </c>
      <c r="R396" s="2">
        <f ca="1"/>
        <v>8.2377022964242305E-2</v>
      </c>
      <c r="S396" s="2">
        <f ca="1"/>
        <v>6.5755624910223451E-2</v>
      </c>
      <c r="T396" s="2">
        <f ca="1"/>
        <v>0.10929184205370046</v>
      </c>
      <c r="U396" s="2">
        <f ca="1"/>
        <v>0.11208823403709016</v>
      </c>
      <c r="V396" s="2">
        <f ca="1"/>
        <v>0.10973877211799746</v>
      </c>
      <c r="W396" s="2">
        <f ca="1"/>
        <v>0.11449103894086665</v>
      </c>
      <c r="X396" s="2">
        <f ca="1"/>
        <v>0.11601716124419018</v>
      </c>
      <c r="Y396" s="2">
        <f ca="1"/>
        <v>0.10265674814027641</v>
      </c>
      <c r="Z396" s="2" t="str">
        <f ca="1"/>
        <v/>
      </c>
      <c r="AA396" s="2" t="str">
        <f ca="1"/>
        <v/>
      </c>
      <c r="AB396" s="2" t="str">
        <f ca="1"/>
        <v/>
      </c>
      <c r="AC396" s="2" t="str">
        <f ca="1"/>
        <v/>
      </c>
      <c r="AD396" s="2" t="str">
        <f ca="1"/>
        <v/>
      </c>
      <c r="AE396" s="2" t="str">
        <f ca="1"/>
        <v/>
      </c>
      <c r="AF396" s="2">
        <f ca="1"/>
        <v>1.2604720415115447E-3</v>
      </c>
      <c r="AG396" s="26" t="str">
        <f ca="1"/>
        <v/>
      </c>
      <c r="AH396" s="26">
        <f ca="1"/>
        <v>6.4699999999999994E-2</v>
      </c>
    </row>
    <row r="397" spans="1:34">
      <c r="A397" s="5">
        <f ca="1"/>
        <v>40877</v>
      </c>
      <c r="B397" s="2">
        <f ca="1"/>
        <v>-4.8250358317001515E-2</v>
      </c>
      <c r="C397" s="2">
        <f ca="1"/>
        <v>-6.6059250427944041E-2</v>
      </c>
      <c r="D397" s="2">
        <f ca="1"/>
        <v>-2.9436031699755488E-2</v>
      </c>
      <c r="E397" s="2">
        <f ca="1"/>
        <v>-8.6754524647986771E-4</v>
      </c>
      <c r="F397" s="2">
        <f ca="1"/>
        <v>-4.3713713881999121E-2</v>
      </c>
      <c r="G397" s="2">
        <f ca="1"/>
        <v>-5.2846332212895163E-2</v>
      </c>
      <c r="H397" s="2">
        <f ca="1"/>
        <v>-1.2566542610825919E-2</v>
      </c>
      <c r="I397" s="2" t="str">
        <f ca="1"/>
        <v/>
      </c>
      <c r="J397" s="2" t="str">
        <f ca="1"/>
        <v/>
      </c>
      <c r="K397" s="2">
        <f ca="1"/>
        <v>-1.6754589229075335E-2</v>
      </c>
      <c r="L397" s="2">
        <f ca="1"/>
        <v>-2.9898058427290122E-2</v>
      </c>
      <c r="M397" s="2">
        <f ca="1"/>
        <v>-3.9303723147060883E-2</v>
      </c>
      <c r="N397" s="2">
        <f ca="1"/>
        <v>-1.4375192524899888E-2</v>
      </c>
      <c r="O397" s="2" t="str">
        <f ca="1"/>
        <v/>
      </c>
      <c r="P397" s="2">
        <f ca="1"/>
        <v>-5.278203943168075E-2</v>
      </c>
      <c r="Q397" s="2">
        <f ca="1"/>
        <v>5.5190962883270526E-3</v>
      </c>
      <c r="R397" s="2">
        <f ca="1"/>
        <v>4.113280695948204E-3</v>
      </c>
      <c r="S397" s="2">
        <f ca="1"/>
        <v>1.1646214827022154E-2</v>
      </c>
      <c r="T397" s="2">
        <f ca="1"/>
        <v>-2.2200199972243965E-3</v>
      </c>
      <c r="U397" s="2">
        <f ca="1"/>
        <v>-2.6230056458721781E-3</v>
      </c>
      <c r="V397" s="2">
        <f ca="1"/>
        <v>-9.6063927603044579E-5</v>
      </c>
      <c r="W397" s="2">
        <f ca="1"/>
        <v>-5.181915633372434E-3</v>
      </c>
      <c r="X397" s="2">
        <f ca="1"/>
        <v>-2.0823322120774911E-3</v>
      </c>
      <c r="Y397" s="2">
        <f ca="1"/>
        <v>-5.5898226676946083E-3</v>
      </c>
      <c r="Z397" s="2" t="str">
        <f ca="1"/>
        <v/>
      </c>
      <c r="AA397" s="2">
        <f ca="1"/>
        <v>1.5408320493065927E-3</v>
      </c>
      <c r="AB397" s="2" t="str">
        <f ca="1"/>
        <v/>
      </c>
      <c r="AC397" s="2" t="str">
        <f ca="1"/>
        <v/>
      </c>
      <c r="AD397" s="2" t="str">
        <f ca="1"/>
        <v/>
      </c>
      <c r="AE397" s="2" t="str">
        <f ca="1"/>
        <v/>
      </c>
      <c r="AF397" s="2">
        <f ca="1"/>
        <v>-3.3240472459586897E-3</v>
      </c>
      <c r="AG397" s="26" t="str">
        <f ca="1"/>
        <v/>
      </c>
      <c r="AH397" s="26">
        <f ca="1"/>
        <v>1.18E-2</v>
      </c>
    </row>
    <row r="398" spans="1:34">
      <c r="A398" s="5">
        <f ca="1"/>
        <v>40907</v>
      </c>
      <c r="B398" s="2">
        <f ca="1"/>
        <v>-9.3530000472482593E-3</v>
      </c>
      <c r="C398" s="2">
        <f ca="1"/>
        <v>-1.1957463752840087E-2</v>
      </c>
      <c r="D398" s="2">
        <f ca="1"/>
        <v>-1.6766434148553456E-3</v>
      </c>
      <c r="E398" s="2">
        <f ca="1"/>
        <v>1.0990831452971929E-2</v>
      </c>
      <c r="F398" s="2">
        <f ca="1"/>
        <v>-1.2944173428254836E-2</v>
      </c>
      <c r="G398" s="2">
        <f ca="1"/>
        <v>-5.7123337065644831E-3</v>
      </c>
      <c r="H398" s="2">
        <f ca="1"/>
        <v>1.2118176071373292E-2</v>
      </c>
      <c r="I398" s="2" t="str">
        <f ca="1"/>
        <v/>
      </c>
      <c r="J398" s="2" t="str">
        <f ca="1"/>
        <v/>
      </c>
      <c r="K398" s="2">
        <f ca="1"/>
        <v>2.5363741966755646E-2</v>
      </c>
      <c r="L398" s="2">
        <f ca="1"/>
        <v>7.0086517396308673E-3</v>
      </c>
      <c r="M398" s="2">
        <f ca="1"/>
        <v>1.1903620618029482E-2</v>
      </c>
      <c r="N398" s="2">
        <f ca="1"/>
        <v>2.7398687363266961E-3</v>
      </c>
      <c r="O398" s="2" t="str">
        <f ca="1"/>
        <v/>
      </c>
      <c r="P398" s="2">
        <f ca="1"/>
        <v>-1.3098328001448644E-2</v>
      </c>
      <c r="Q398" s="2">
        <f ca="1"/>
        <v>3.1670286637493299E-3</v>
      </c>
      <c r="R398" s="2">
        <f ca="1"/>
        <v>1.233637819003675E-2</v>
      </c>
      <c r="S398" s="2">
        <f ca="1"/>
        <v>2.6306546357415403E-2</v>
      </c>
      <c r="T398" s="2">
        <f ca="1"/>
        <v>1.0210484217238459E-2</v>
      </c>
      <c r="U398" s="2">
        <f ca="1"/>
        <v>8.3588646674572151E-3</v>
      </c>
      <c r="V398" s="2">
        <f ca="1"/>
        <v>-3.2155097367204213E-3</v>
      </c>
      <c r="W398" s="2">
        <f ca="1"/>
        <v>2.0151542701120417E-2</v>
      </c>
      <c r="X398" s="2">
        <f ca="1"/>
        <v>-5.0416906126675544E-3</v>
      </c>
      <c r="Y398" s="2">
        <f ca="1"/>
        <v>2.5301366580587445E-2</v>
      </c>
      <c r="Z398" s="2" t="str">
        <f ca="1"/>
        <v/>
      </c>
      <c r="AA398" s="2">
        <f ca="1"/>
        <v>3.0738603639746495E-2</v>
      </c>
      <c r="AB398" s="2" t="str">
        <f ca="1"/>
        <v/>
      </c>
      <c r="AC398" s="2" t="str">
        <f ca="1"/>
        <v/>
      </c>
      <c r="AD398" s="2" t="str">
        <f ca="1"/>
        <v/>
      </c>
      <c r="AE398" s="2" t="str">
        <f ca="1"/>
        <v/>
      </c>
      <c r="AF398" s="2">
        <f ca="1"/>
        <v>1.3563119506227267E-2</v>
      </c>
      <c r="AG398" s="26" t="str">
        <f ca="1"/>
        <v/>
      </c>
      <c r="AH398" s="26">
        <f ca="1"/>
        <v>-0.1024</v>
      </c>
    </row>
    <row r="399" spans="1:34">
      <c r="A399" s="5">
        <f ca="1"/>
        <v>40939</v>
      </c>
      <c r="B399" s="2">
        <f ca="1"/>
        <v>5.3530787758172438E-2</v>
      </c>
      <c r="C399" s="2">
        <f ca="1"/>
        <v>0.11361939192793222</v>
      </c>
      <c r="D399" s="2">
        <f ca="1"/>
        <v>5.842512345205577E-2</v>
      </c>
      <c r="E399" s="2">
        <f ca="1"/>
        <v>8.7807027952468732E-3</v>
      </c>
      <c r="F399" s="2">
        <f ca="1"/>
        <v>5.4772389520156582E-2</v>
      </c>
      <c r="G399" s="2">
        <f ca="1"/>
        <v>5.2281700586785274E-2</v>
      </c>
      <c r="H399" s="2">
        <f ca="1"/>
        <v>2.6090953015072402E-2</v>
      </c>
      <c r="I399" s="2" t="str">
        <f ca="1"/>
        <v/>
      </c>
      <c r="J399" s="2" t="str">
        <f ca="1"/>
        <v/>
      </c>
      <c r="K399" s="2">
        <f ca="1"/>
        <v>1.9487505501491396E-2</v>
      </c>
      <c r="L399" s="2">
        <f ca="1"/>
        <v>1.064722204297602E-2</v>
      </c>
      <c r="M399" s="2">
        <f ca="1"/>
        <v>7.2278978699215388E-2</v>
      </c>
      <c r="N399" s="2">
        <f ca="1"/>
        <v>5.3567161543016904E-2</v>
      </c>
      <c r="O399" s="2" t="str">
        <f ca="1"/>
        <v/>
      </c>
      <c r="P399" s="2">
        <f ca="1"/>
        <v>8.8797145769622735E-2</v>
      </c>
      <c r="Q399" s="2">
        <f ca="1"/>
        <v>5.2634947045083695E-2</v>
      </c>
      <c r="R399" s="2">
        <f ca="1"/>
        <v>1.9406976744186111E-2</v>
      </c>
      <c r="S399" s="2">
        <f ca="1"/>
        <v>1.4668916765993545E-2</v>
      </c>
      <c r="T399" s="2">
        <f ca="1"/>
        <v>4.4812205183676353E-2</v>
      </c>
      <c r="U399" s="2">
        <f ca="1"/>
        <v>4.8733402913864715E-2</v>
      </c>
      <c r="V399" s="2">
        <f ca="1"/>
        <v>5.9690629991266633E-2</v>
      </c>
      <c r="W399" s="2">
        <f ca="1"/>
        <v>3.7829790777618867E-2</v>
      </c>
      <c r="X399" s="2">
        <f ca="1"/>
        <v>6.2823834196891234E-2</v>
      </c>
      <c r="Y399" s="2">
        <f ca="1"/>
        <v>3.467327109925699E-2</v>
      </c>
      <c r="Z399" s="2" t="str">
        <f ca="1"/>
        <v/>
      </c>
      <c r="AA399" s="2">
        <f ca="1"/>
        <v>1.3098802395209589E-2</v>
      </c>
      <c r="AB399" s="2" t="str">
        <f ca="1"/>
        <v/>
      </c>
      <c r="AC399" s="2" t="str">
        <f ca="1"/>
        <v/>
      </c>
      <c r="AD399" s="2" t="str">
        <f ca="1"/>
        <v/>
      </c>
      <c r="AE399" s="2" t="str">
        <f ca="1"/>
        <v/>
      </c>
      <c r="AF399" s="2">
        <f ca="1"/>
        <v>7.2562358276643578E-3</v>
      </c>
      <c r="AG399" s="26" t="str">
        <f ca="1"/>
        <v/>
      </c>
      <c r="AH399" s="26">
        <f ca="1"/>
        <v>0.1091</v>
      </c>
    </row>
    <row r="400" spans="1:34">
      <c r="A400" s="5">
        <f ca="1"/>
        <v>40968</v>
      </c>
      <c r="B400" s="2">
        <f ca="1"/>
        <v>5.7686672571091856E-2</v>
      </c>
      <c r="C400" s="2">
        <f ca="1"/>
        <v>6.00848319061634E-2</v>
      </c>
      <c r="D400" s="2">
        <f ca="1"/>
        <v>5.0816973426531888E-2</v>
      </c>
      <c r="E400" s="2">
        <f ca="1"/>
        <v>-2.29649420555222E-4</v>
      </c>
      <c r="F400" s="2">
        <f ca="1"/>
        <v>6.0517712450979623E-2</v>
      </c>
      <c r="G400" s="2">
        <f ca="1"/>
        <v>5.4835483185547283E-2</v>
      </c>
      <c r="H400" s="2">
        <f ca="1"/>
        <v>4.9293105626442742E-2</v>
      </c>
      <c r="I400" s="2" t="str">
        <f ca="1"/>
        <v/>
      </c>
      <c r="J400" s="2" t="str">
        <f ca="1"/>
        <v/>
      </c>
      <c r="K400" s="2">
        <f ca="1"/>
        <v>2.5094935443898229E-2</v>
      </c>
      <c r="L400" s="2">
        <f ca="1"/>
        <v>3.6092817921447876E-2</v>
      </c>
      <c r="M400" s="2">
        <f ca="1"/>
        <v>6.1229448449015851E-2</v>
      </c>
      <c r="N400" s="2">
        <f ca="1"/>
        <v>4.9453204350698637E-2</v>
      </c>
      <c r="O400" s="2" t="str">
        <f ca="1"/>
        <v/>
      </c>
      <c r="P400" s="2">
        <f ca="1"/>
        <v>6.0480662104090539E-2</v>
      </c>
      <c r="Q400" s="2">
        <f ca="1"/>
        <v>4.0498915840881944E-2</v>
      </c>
      <c r="R400" s="2">
        <f ca="1"/>
        <v>5.0873170676065546E-2</v>
      </c>
      <c r="S400" s="2">
        <f ca="1"/>
        <v>2.1848104210281556E-2</v>
      </c>
      <c r="T400" s="2">
        <f ca="1"/>
        <v>4.3242470884987443E-2</v>
      </c>
      <c r="U400" s="2">
        <f ca="1"/>
        <v>4.3882335139801935E-2</v>
      </c>
      <c r="V400" s="2">
        <f ca="1"/>
        <v>4.7825086220658036E-2</v>
      </c>
      <c r="W400" s="2">
        <f ca="1"/>
        <v>3.9863115708331141E-2</v>
      </c>
      <c r="X400" s="2">
        <f ca="1"/>
        <v>4.7836684948202292E-2</v>
      </c>
      <c r="Y400" s="2">
        <f ca="1"/>
        <v>3.8851040324065549E-2</v>
      </c>
      <c r="Z400" s="2" t="str">
        <f ca="1"/>
        <v/>
      </c>
      <c r="AA400" s="2">
        <f ca="1"/>
        <v>2.0982637606206313E-2</v>
      </c>
      <c r="AB400" s="2" t="str">
        <f ca="1"/>
        <v/>
      </c>
      <c r="AC400" s="2" t="str">
        <f ca="1"/>
        <v/>
      </c>
      <c r="AD400" s="2" t="str">
        <f ca="1"/>
        <v/>
      </c>
      <c r="AE400" s="2" t="str">
        <f ca="1"/>
        <v/>
      </c>
      <c r="AF400" s="2">
        <f ca="1"/>
        <v>-1.3142214001738884E-4</v>
      </c>
      <c r="AG400" s="26" t="str">
        <f ca="1"/>
        <v/>
      </c>
      <c r="AH400" s="26">
        <f ca="1"/>
        <v>-1.52E-2</v>
      </c>
    </row>
    <row r="401" spans="1:34">
      <c r="A401" s="5">
        <f ca="1"/>
        <v>40998</v>
      </c>
      <c r="B401" s="2">
        <f ca="1"/>
        <v>-4.0424376182887226E-3</v>
      </c>
      <c r="C401" s="2">
        <f ca="1"/>
        <v>-3.3269575432624959E-2</v>
      </c>
      <c r="D401" s="2">
        <f ca="1"/>
        <v>7.131035653410122E-3</v>
      </c>
      <c r="E401" s="2">
        <f ca="1"/>
        <v>-5.4792371646908387E-3</v>
      </c>
      <c r="F401" s="2">
        <f ca="1"/>
        <v>2.1724212788547955E-3</v>
      </c>
      <c r="G401" s="2">
        <f ca="1"/>
        <v>-1.0344404048344339E-2</v>
      </c>
      <c r="H401" s="2">
        <f ca="1"/>
        <v>3.30330659019515E-2</v>
      </c>
      <c r="I401" s="2" t="str">
        <f ca="1"/>
        <v/>
      </c>
      <c r="J401" s="2" t="str">
        <f ca="1"/>
        <v/>
      </c>
      <c r="K401" s="2">
        <f ca="1"/>
        <v>1.1784065385575167E-2</v>
      </c>
      <c r="L401" s="2">
        <f ca="1"/>
        <v>1.0317718833358299E-2</v>
      </c>
      <c r="M401" s="2">
        <f ca="1"/>
        <v>-4.6762365315368513E-3</v>
      </c>
      <c r="N401" s="2">
        <f ca="1"/>
        <v>1.6424866571450064E-2</v>
      </c>
      <c r="O401" s="2" t="str">
        <f ca="1"/>
        <v/>
      </c>
      <c r="P401" s="2">
        <f ca="1"/>
        <v>-1.296006921453864E-2</v>
      </c>
      <c r="Q401" s="2">
        <f ca="1"/>
        <v>3.5913565940539946E-2</v>
      </c>
      <c r="R401" s="2">
        <f ca="1"/>
        <v>4.3319693039108299E-2</v>
      </c>
      <c r="S401" s="2">
        <f ca="1"/>
        <v>2.5882527017875342E-2</v>
      </c>
      <c r="T401" s="2">
        <f ca="1"/>
        <v>3.285334101146864E-2</v>
      </c>
      <c r="U401" s="2">
        <f ca="1"/>
        <v>3.1290742460355049E-2</v>
      </c>
      <c r="V401" s="2">
        <f ca="1"/>
        <v>3.2891112296035967E-2</v>
      </c>
      <c r="W401" s="2">
        <f ca="1"/>
        <v>2.9644009264937449E-2</v>
      </c>
      <c r="X401" s="2">
        <f ca="1"/>
        <v>3.4644644717626981E-2</v>
      </c>
      <c r="Y401" s="2">
        <f ca="1"/>
        <v>2.8354513043322208E-2</v>
      </c>
      <c r="Z401" s="2" t="str">
        <f ca="1"/>
        <v/>
      </c>
      <c r="AA401" s="2">
        <f ca="1"/>
        <v>2.5811950048092506E-2</v>
      </c>
      <c r="AB401" s="2" t="str">
        <f ca="1"/>
        <v/>
      </c>
      <c r="AC401" s="2" t="str">
        <f ca="1"/>
        <v/>
      </c>
      <c r="AD401" s="2" t="str">
        <f ca="1"/>
        <v/>
      </c>
      <c r="AE401" s="2" t="str">
        <f ca="1"/>
        <v/>
      </c>
      <c r="AF401" s="2">
        <f ca="1"/>
        <v>-5.7276063342387188E-3</v>
      </c>
      <c r="AG401" s="26" t="str">
        <f ca="1"/>
        <v/>
      </c>
      <c r="AH401" s="26">
        <f ca="1"/>
        <v>-2.4500000000000001E-2</v>
      </c>
    </row>
    <row r="402" spans="1:34">
      <c r="A402" s="5">
        <f ca="1"/>
        <v>41029</v>
      </c>
      <c r="B402" s="2">
        <f ca="1"/>
        <v>-1.8419710930830831E-2</v>
      </c>
      <c r="C402" s="2">
        <f ca="1"/>
        <v>-1.1674040838370628E-2</v>
      </c>
      <c r="D402" s="2">
        <f ca="1"/>
        <v>-1.0788480816869875E-2</v>
      </c>
      <c r="E402" s="2">
        <f ca="1"/>
        <v>1.1086449519474427E-2</v>
      </c>
      <c r="F402" s="2">
        <f ca="1"/>
        <v>-7.7470325710949466E-3</v>
      </c>
      <c r="G402" s="2">
        <f ca="1"/>
        <v>-2.9394170313426962E-2</v>
      </c>
      <c r="H402" s="2">
        <f ca="1"/>
        <v>1.2343586103135263E-2</v>
      </c>
      <c r="I402" s="2" t="str">
        <f ca="1"/>
        <v/>
      </c>
      <c r="J402" s="2" t="str">
        <f ca="1"/>
        <v/>
      </c>
      <c r="K402" s="2">
        <f ca="1"/>
        <v>1.2078467645585289E-2</v>
      </c>
      <c r="L402" s="2">
        <f ca="1"/>
        <v>1.2983278582816601E-3</v>
      </c>
      <c r="M402" s="2">
        <f ca="1"/>
        <v>1.0490802250120371E-2</v>
      </c>
      <c r="N402" s="2">
        <f ca="1"/>
        <v>-1.7934400769145939E-3</v>
      </c>
      <c r="O402" s="2" t="str">
        <f ca="1"/>
        <v/>
      </c>
      <c r="P402" s="2">
        <f ca="1"/>
        <v>-3.076840514118633E-3</v>
      </c>
      <c r="Q402" s="2">
        <f ca="1"/>
        <v>-3.4217279726260568E-3</v>
      </c>
      <c r="R402" s="2">
        <f ca="1"/>
        <v>1.8019142738243794E-2</v>
      </c>
      <c r="S402" s="2">
        <f ca="1"/>
        <v>1.3674312817241208E-2</v>
      </c>
      <c r="T402" s="2">
        <f ca="1"/>
        <v>-6.2827993490403248E-3</v>
      </c>
      <c r="U402" s="2">
        <f ca="1"/>
        <v>-5.802457557030522E-3</v>
      </c>
      <c r="V402" s="2">
        <f ca="1"/>
        <v>-1.5435645364332291E-3</v>
      </c>
      <c r="W402" s="2">
        <f ca="1"/>
        <v>-1.0197252947355791E-2</v>
      </c>
      <c r="X402" s="2">
        <f ca="1"/>
        <v>-2.9589967591937931E-3</v>
      </c>
      <c r="Y402" s="2">
        <f ca="1"/>
        <v>-9.1886269070735258E-3</v>
      </c>
      <c r="Z402" s="2" t="str">
        <f ca="1"/>
        <v/>
      </c>
      <c r="AA402" s="2">
        <f ca="1"/>
        <v>1.3106159895150576E-2</v>
      </c>
      <c r="AB402" s="2" t="str">
        <f ca="1"/>
        <v/>
      </c>
      <c r="AC402" s="2" t="str">
        <f ca="1"/>
        <v/>
      </c>
      <c r="AD402" s="2" t="str">
        <f ca="1"/>
        <v/>
      </c>
      <c r="AE402" s="2" t="str">
        <f ca="1"/>
        <v/>
      </c>
      <c r="AF402" s="2">
        <f ca="1"/>
        <v>9.0614789353414514E-3</v>
      </c>
      <c r="AG402" s="26" t="str">
        <f ca="1"/>
        <v/>
      </c>
      <c r="AH402" s="26">
        <f ca="1"/>
        <v>-3.0999999999999999E-3</v>
      </c>
    </row>
    <row r="403" spans="1:34">
      <c r="A403" s="5">
        <f ca="1"/>
        <v>41060</v>
      </c>
      <c r="B403" s="2">
        <f ca="1"/>
        <v>-0.11353190195379168</v>
      </c>
      <c r="C403" s="2">
        <f ca="1"/>
        <v>-0.11162487652115431</v>
      </c>
      <c r="D403" s="2">
        <f ca="1"/>
        <v>-8.8763035900639498E-2</v>
      </c>
      <c r="E403" s="2">
        <f ca="1"/>
        <v>9.0482611069633775E-3</v>
      </c>
      <c r="F403" s="2">
        <f ca="1"/>
        <v>-0.11181207283111158</v>
      </c>
      <c r="G403" s="2">
        <f ca="1"/>
        <v>-0.11535392696668006</v>
      </c>
      <c r="H403" s="2">
        <f ca="1"/>
        <v>-5.6663805915475249E-2</v>
      </c>
      <c r="I403" s="2" t="str">
        <f ca="1"/>
        <v/>
      </c>
      <c r="J403" s="2" t="str">
        <f ca="1"/>
        <v/>
      </c>
      <c r="K403" s="2">
        <f ca="1"/>
        <v>-4.4629937091590313E-2</v>
      </c>
      <c r="L403" s="2">
        <f ca="1"/>
        <v>-7.5640490114174203E-2</v>
      </c>
      <c r="M403" s="2">
        <f ca="1"/>
        <v>-8.3337932176264562E-2</v>
      </c>
      <c r="N403" s="2">
        <f ca="1"/>
        <v>-7.3885421104299007E-2</v>
      </c>
      <c r="O403" s="2" t="str">
        <f ca="1"/>
        <v/>
      </c>
      <c r="P403" s="2">
        <f ca="1"/>
        <v>-0.10280910469320551</v>
      </c>
      <c r="Q403" s="2">
        <f ca="1"/>
        <v>-5.6737254162146949E-2</v>
      </c>
      <c r="R403" s="2">
        <f ca="1"/>
        <v>-4.6600989249070052E-2</v>
      </c>
      <c r="S403" s="2">
        <f ca="1"/>
        <v>-2.4768784545504297E-2</v>
      </c>
      <c r="T403" s="2">
        <f ca="1"/>
        <v>-6.0099462118860636E-2</v>
      </c>
      <c r="U403" s="2">
        <f ca="1"/>
        <v>-6.1451606573958054E-2</v>
      </c>
      <c r="V403" s="2">
        <f ca="1"/>
        <v>-6.4146652329404405E-2</v>
      </c>
      <c r="W403" s="2">
        <f ca="1"/>
        <v>-5.8640536315105109E-2</v>
      </c>
      <c r="X403" s="2">
        <f ca="1"/>
        <v>-6.2888637648388951E-2</v>
      </c>
      <c r="Y403" s="2">
        <f ca="1"/>
        <v>-5.9142607174103204E-2</v>
      </c>
      <c r="Z403" s="2" t="str">
        <f ca="1"/>
        <v/>
      </c>
      <c r="AA403" s="2">
        <f ca="1"/>
        <v>-2.1887346596272724E-2</v>
      </c>
      <c r="AB403" s="2" t="str">
        <f ca="1"/>
        <v/>
      </c>
      <c r="AC403" s="2" t="str">
        <f ca="1"/>
        <v/>
      </c>
      <c r="AD403" s="2" t="str">
        <f ca="1"/>
        <v/>
      </c>
      <c r="AE403" s="2" t="str">
        <f ca="1"/>
        <v/>
      </c>
      <c r="AF403" s="2">
        <f ca="1"/>
        <v>1.078645325571872E-2</v>
      </c>
      <c r="AG403" s="26" t="str">
        <f ca="1"/>
        <v/>
      </c>
      <c r="AH403" s="26">
        <f ca="1"/>
        <v>-6.1100000000000002E-2</v>
      </c>
    </row>
    <row r="404" spans="1:34">
      <c r="A404" s="5">
        <f ca="1"/>
        <v>41089</v>
      </c>
      <c r="B404" s="2">
        <f ca="1"/>
        <v>7.0495980387975068E-2</v>
      </c>
      <c r="C404" s="2">
        <f ca="1"/>
        <v>3.9066196649947926E-2</v>
      </c>
      <c r="D404" s="2">
        <f ca="1"/>
        <v>4.9885963255042916E-2</v>
      </c>
      <c r="E404" s="2">
        <f ca="1"/>
        <v>3.9203560345876803E-4</v>
      </c>
      <c r="F404" s="2">
        <f ca="1"/>
        <v>5.4545966190945649E-2</v>
      </c>
      <c r="G404" s="2">
        <f ca="1"/>
        <v>8.6629731397821194E-2</v>
      </c>
      <c r="H404" s="2">
        <f ca="1"/>
        <v>3.7178804420183717E-2</v>
      </c>
      <c r="I404" s="2" t="str">
        <f ca="1"/>
        <v/>
      </c>
      <c r="J404" s="2" t="str">
        <f ca="1"/>
        <v/>
      </c>
      <c r="K404" s="2">
        <f ca="1"/>
        <v>4.1206294542497586E-2</v>
      </c>
      <c r="L404" s="2">
        <f ca="1"/>
        <v>6.3001318019205277E-2</v>
      </c>
      <c r="M404" s="2">
        <f ca="1"/>
        <v>4.5927620538368324E-2</v>
      </c>
      <c r="N404" s="2">
        <f ca="1"/>
        <v>4.2789999999999967E-2</v>
      </c>
      <c r="O404" s="2" t="str">
        <f ca="1"/>
        <v/>
      </c>
      <c r="P404" s="2">
        <f ca="1"/>
        <v>5.2789999999999962E-2</v>
      </c>
      <c r="Q404" s="2">
        <f ca="1"/>
        <v>2.9160000000000085E-2</v>
      </c>
      <c r="R404" s="2">
        <f ca="1"/>
        <v>3.0956566479440891E-2</v>
      </c>
      <c r="S404" s="2">
        <f ca="1"/>
        <v>3.9050750824897389E-2</v>
      </c>
      <c r="T404" s="2">
        <f ca="1"/>
        <v>4.120434904482511E-2</v>
      </c>
      <c r="U404" s="2">
        <f ca="1"/>
        <v>3.8284295170963288E-2</v>
      </c>
      <c r="V404" s="2">
        <f ca="1"/>
        <v>2.7153822716410102E-2</v>
      </c>
      <c r="W404" s="2">
        <f ca="1"/>
        <v>4.9649072801519464E-2</v>
      </c>
      <c r="X404" s="2">
        <f ca="1"/>
        <v>2.8897854969171678E-2</v>
      </c>
      <c r="Y404" s="2">
        <f ca="1"/>
        <v>4.786700286751059E-2</v>
      </c>
      <c r="Z404" s="2" t="str">
        <f ca="1"/>
        <v/>
      </c>
      <c r="AA404" s="2">
        <f ca="1"/>
        <v>3.6479873981026679E-2</v>
      </c>
      <c r="AB404" s="2" t="str">
        <f ca="1"/>
        <v/>
      </c>
      <c r="AC404" s="2" t="str">
        <f ca="1"/>
        <v/>
      </c>
      <c r="AD404" s="2" t="str">
        <f ca="1"/>
        <v/>
      </c>
      <c r="AE404" s="2" t="str">
        <f ca="1"/>
        <v/>
      </c>
      <c r="AF404" s="2">
        <f ca="1"/>
        <v>-1.9959475011282349E-4</v>
      </c>
      <c r="AG404" s="26" t="str">
        <f ca="1"/>
        <v/>
      </c>
      <c r="AH404" s="26">
        <f ca="1"/>
        <v>2.6600000000000002E-2</v>
      </c>
    </row>
    <row r="405" spans="1:34">
      <c r="A405" s="5">
        <f ca="1"/>
        <v>41121</v>
      </c>
      <c r="B405" s="2">
        <f ca="1"/>
        <v>1.1462897206374901E-2</v>
      </c>
      <c r="C405" s="2">
        <f ca="1"/>
        <v>2.0224616768273578E-2</v>
      </c>
      <c r="D405" s="2">
        <f ca="1"/>
        <v>1.40192637335728E-2</v>
      </c>
      <c r="E405" s="2">
        <f ca="1"/>
        <v>1.3793141513547531E-2</v>
      </c>
      <c r="F405" s="2">
        <f ca="1"/>
        <v>1.715550151854019E-2</v>
      </c>
      <c r="G405" s="2">
        <f ca="1"/>
        <v>5.8807488942835334E-3</v>
      </c>
      <c r="H405" s="2">
        <f ca="1"/>
        <v>2.1479841254559574E-2</v>
      </c>
      <c r="I405" s="2" t="str">
        <f ca="1"/>
        <v/>
      </c>
      <c r="J405" s="2" t="str">
        <f ca="1"/>
        <v/>
      </c>
      <c r="K405" s="2">
        <f ca="1"/>
        <v>2.3941321940724909E-2</v>
      </c>
      <c r="L405" s="2">
        <f ca="1"/>
        <v>2.2530820461952723E-2</v>
      </c>
      <c r="M405" s="2">
        <f ca="1"/>
        <v>2.8297814168333619E-2</v>
      </c>
      <c r="N405" s="2">
        <f ca="1"/>
        <v>2.0071155266161034E-2</v>
      </c>
      <c r="O405" s="2" t="str">
        <f ca="1"/>
        <v/>
      </c>
      <c r="P405" s="2">
        <f ca="1"/>
        <v>1.8275249574938982E-2</v>
      </c>
      <c r="Q405" s="2">
        <f ca="1"/>
        <v>1.0610595048388826E-2</v>
      </c>
      <c r="R405" s="2">
        <f ca="1"/>
        <v>1.3339571636514912E-2</v>
      </c>
      <c r="S405" s="2">
        <f ca="1"/>
        <v>1.8983274196248637E-2</v>
      </c>
      <c r="T405" s="2">
        <f ca="1"/>
        <v>1.3885865287871019E-2</v>
      </c>
      <c r="U405" s="2">
        <f ca="1"/>
        <v>1.1861257660801115E-2</v>
      </c>
      <c r="V405" s="2">
        <f ca="1"/>
        <v>1.3403834057639482E-2</v>
      </c>
      <c r="W405" s="2">
        <f ca="1"/>
        <v>1.0349787600150501E-2</v>
      </c>
      <c r="X405" s="2">
        <f ca="1"/>
        <v>1.2204087634171523E-2</v>
      </c>
      <c r="Y405" s="2">
        <f ca="1"/>
        <v>1.1798355380765161E-2</v>
      </c>
      <c r="Z405" s="2" t="str">
        <f ca="1"/>
        <v/>
      </c>
      <c r="AA405" s="2">
        <f ca="1"/>
        <v>1.9354782976775016E-2</v>
      </c>
      <c r="AB405" s="2" t="str">
        <f ca="1"/>
        <v/>
      </c>
      <c r="AC405" s="2" t="str">
        <f ca="1"/>
        <v/>
      </c>
      <c r="AD405" s="2" t="str">
        <f ca="1"/>
        <v/>
      </c>
      <c r="AE405" s="2" t="str">
        <f ca="1"/>
        <v/>
      </c>
      <c r="AF405" s="2">
        <f ca="1"/>
        <v>1.3619449007582954E-2</v>
      </c>
      <c r="AG405" s="26" t="str">
        <f ca="1"/>
        <v/>
      </c>
      <c r="AH405" s="26">
        <f ca="1"/>
        <v>3.9000000000000003E-3</v>
      </c>
    </row>
    <row r="406" spans="1:34">
      <c r="A406" s="5">
        <f ca="1"/>
        <v>41152</v>
      </c>
      <c r="B406" s="2">
        <f ca="1"/>
        <v>2.6962601553195915E-2</v>
      </c>
      <c r="C406" s="2">
        <f ca="1"/>
        <v>-2.8901411594041532E-3</v>
      </c>
      <c r="D406" s="2">
        <f ca="1"/>
        <v>2.224474525293586E-2</v>
      </c>
      <c r="E406" s="2">
        <f ca="1"/>
        <v>6.5332433197589528E-4</v>
      </c>
      <c r="F406" s="2">
        <f ca="1"/>
        <v>1.9516286322489588E-2</v>
      </c>
      <c r="G406" s="2">
        <f ca="1"/>
        <v>3.4353527392369139E-2</v>
      </c>
      <c r="H406" s="2">
        <f ca="1"/>
        <v>1.6567006314731285E-2</v>
      </c>
      <c r="I406" s="2" t="str">
        <f ca="1"/>
        <v/>
      </c>
      <c r="J406" s="2" t="str">
        <f ca="1"/>
        <v/>
      </c>
      <c r="K406" s="2">
        <f ca="1"/>
        <v>6.2734600487519424E-3</v>
      </c>
      <c r="L406" s="2">
        <f ca="1"/>
        <v>2.4052452882483359E-2</v>
      </c>
      <c r="M406" s="2">
        <f ca="1"/>
        <v>3.4565033340563916E-3</v>
      </c>
      <c r="N406" s="2">
        <f ca="1"/>
        <v>1.9422404392133344E-2</v>
      </c>
      <c r="O406" s="2" t="str">
        <f ca="1"/>
        <v/>
      </c>
      <c r="P406" s="2">
        <f ca="1"/>
        <v>-3.6006455043234797E-3</v>
      </c>
      <c r="Q406" s="2">
        <f ca="1"/>
        <v>2.826705638027853E-2</v>
      </c>
      <c r="R406" s="2">
        <f ca="1"/>
        <v>1.3738546935760224E-2</v>
      </c>
      <c r="S406" s="2">
        <f ca="1"/>
        <v>-5.1940342806263491E-4</v>
      </c>
      <c r="T406" s="2">
        <f ca="1"/>
        <v>2.2542272333570101E-2</v>
      </c>
      <c r="U406" s="2">
        <f ca="1"/>
        <v>2.4281491352173112E-2</v>
      </c>
      <c r="V406" s="2">
        <f ca="1"/>
        <v>2.6904501187585705E-2</v>
      </c>
      <c r="W406" s="2">
        <f ca="1"/>
        <v>2.1711623129438286E-2</v>
      </c>
      <c r="X406" s="2">
        <f ca="1"/>
        <v>3.3991865194654282E-2</v>
      </c>
      <c r="Y406" s="2">
        <f ca="1"/>
        <v>1.4840989399293118E-2</v>
      </c>
      <c r="Z406" s="2" t="str">
        <f ca="1"/>
        <v/>
      </c>
      <c r="AA406" s="2">
        <f ca="1"/>
        <v>-1.6949152542372412E-3</v>
      </c>
      <c r="AB406" s="2" t="str">
        <f ca="1"/>
        <v/>
      </c>
      <c r="AC406" s="2" t="str">
        <f ca="1"/>
        <v/>
      </c>
      <c r="AD406" s="2" t="str">
        <f ca="1"/>
        <v/>
      </c>
      <c r="AE406" s="2" t="str">
        <f ca="1"/>
        <v/>
      </c>
      <c r="AF406" s="2">
        <f ca="1"/>
        <v>3.0723556104786487E-6</v>
      </c>
      <c r="AG406" s="26" t="str">
        <f ca="1"/>
        <v/>
      </c>
      <c r="AH406" s="26">
        <f ca="1"/>
        <v>4.6399999999999997E-2</v>
      </c>
    </row>
    <row r="407" spans="1:34">
      <c r="A407" s="5">
        <f ca="1"/>
        <v>41180</v>
      </c>
      <c r="B407" s="2">
        <f ca="1"/>
        <v>2.9934197177502477E-2</v>
      </c>
      <c r="C407" s="2">
        <f ca="1"/>
        <v>6.0544339495948826E-2</v>
      </c>
      <c r="D407" s="2">
        <f ca="1"/>
        <v>3.1915312477628979E-2</v>
      </c>
      <c r="E407" s="2">
        <f ca="1"/>
        <v>1.3765261485559929E-3</v>
      </c>
      <c r="F407" s="2">
        <f ca="1"/>
        <v>2.6057542264900924E-2</v>
      </c>
      <c r="G407" s="2">
        <f ca="1"/>
        <v>3.3726510980932656E-2</v>
      </c>
      <c r="H407" s="2">
        <f ca="1"/>
        <v>2.3487478495565151E-2</v>
      </c>
      <c r="I407" s="2" t="str">
        <f ca="1"/>
        <v/>
      </c>
      <c r="J407" s="2" t="str">
        <f ca="1"/>
        <v/>
      </c>
      <c r="K407" s="2">
        <f ca="1"/>
        <v>1.8792215608907883E-2</v>
      </c>
      <c r="L407" s="2">
        <f ca="1"/>
        <v>2.413877682203781E-2</v>
      </c>
      <c r="M407" s="2">
        <f ca="1"/>
        <v>3.8197374017697121E-2</v>
      </c>
      <c r="N407" s="2">
        <f ca="1"/>
        <v>3.0007930799166308E-2</v>
      </c>
      <c r="O407" s="2" t="str">
        <f ca="1"/>
        <v/>
      </c>
      <c r="P407" s="2">
        <f ca="1"/>
        <v>5.8876396079275646E-2</v>
      </c>
      <c r="Q407" s="2">
        <f ca="1"/>
        <v>2.0280884168006934E-2</v>
      </c>
      <c r="R407" s="2">
        <f ca="1"/>
        <v>1.830934596465662E-2</v>
      </c>
      <c r="S407" s="2">
        <f ca="1"/>
        <v>1.5452327924488337E-2</v>
      </c>
      <c r="T407" s="2">
        <f ca="1"/>
        <v>2.5838530553236667E-2</v>
      </c>
      <c r="U407" s="2">
        <f ca="1"/>
        <v>2.5722407856363858E-2</v>
      </c>
      <c r="V407" s="2">
        <f ca="1"/>
        <v>1.9611075338055461E-2</v>
      </c>
      <c r="W407" s="2">
        <f ca="1"/>
        <v>3.1742538387309754E-2</v>
      </c>
      <c r="X407" s="2">
        <f ca="1"/>
        <v>2.0582400604246046E-2</v>
      </c>
      <c r="Y407" s="2">
        <f ca="1"/>
        <v>2.8965042885300284E-2</v>
      </c>
      <c r="Z407" s="2" t="str">
        <f ca="1"/>
        <v/>
      </c>
      <c r="AA407" s="2">
        <f ca="1"/>
        <v>1.5779687401695497E-2</v>
      </c>
      <c r="AB407" s="2" t="str">
        <f ca="1"/>
        <v/>
      </c>
      <c r="AC407" s="2" t="str">
        <f ca="1"/>
        <v/>
      </c>
      <c r="AD407" s="2" t="str">
        <f ca="1"/>
        <v/>
      </c>
      <c r="AE407" s="2" t="str">
        <f ca="1"/>
        <v/>
      </c>
      <c r="AF407" s="2">
        <f ca="1"/>
        <v>2.64445824012358E-3</v>
      </c>
      <c r="AG407" s="26" t="str">
        <f ca="1"/>
        <v/>
      </c>
      <c r="AH407" s="26">
        <f ca="1"/>
        <v>5.0900000000000001E-2</v>
      </c>
    </row>
    <row r="408" spans="1:34">
      <c r="A408" s="5">
        <f ca="1"/>
        <v>41213</v>
      </c>
      <c r="B408" s="2">
        <f ca="1"/>
        <v>8.4014208651390469E-3</v>
      </c>
      <c r="C408" s="2">
        <f ca="1"/>
        <v>-5.9673300550830179E-3</v>
      </c>
      <c r="D408" s="2">
        <f ca="1"/>
        <v>-6.4083330876370968E-3</v>
      </c>
      <c r="E408" s="2">
        <f ca="1"/>
        <v>1.9668675189758655E-3</v>
      </c>
      <c r="F408" s="2">
        <f ca="1"/>
        <v>3.8892300265016963E-3</v>
      </c>
      <c r="G408" s="2">
        <f ca="1"/>
        <v>1.2799392495739281E-2</v>
      </c>
      <c r="H408" s="2">
        <f ca="1"/>
        <v>-1.5842500981349341E-2</v>
      </c>
      <c r="I408" s="2" t="str">
        <f ca="1"/>
        <v/>
      </c>
      <c r="J408" s="2" t="str">
        <f ca="1"/>
        <v/>
      </c>
      <c r="K408" s="2">
        <f ca="1"/>
        <v>-7.4394993654544996E-3</v>
      </c>
      <c r="L408" s="2">
        <f ca="1"/>
        <v>-3.3364440443647658E-3</v>
      </c>
      <c r="M408" s="2">
        <f ca="1"/>
        <v>-2.2029538387142089E-3</v>
      </c>
      <c r="N408" s="2">
        <f ca="1"/>
        <v>-1.8524155713927633E-2</v>
      </c>
      <c r="O408" s="2" t="str">
        <f ca="1"/>
        <v/>
      </c>
      <c r="P408" s="2">
        <f ca="1"/>
        <v>-7.0199635739925867E-3</v>
      </c>
      <c r="Q408" s="2">
        <f ca="1"/>
        <v>-3.6190511102761259E-2</v>
      </c>
      <c r="R408" s="2">
        <f ca="1"/>
        <v>-2.3566011668704256E-2</v>
      </c>
      <c r="S408" s="2">
        <f ca="1"/>
        <v>-9.8384283580687359E-3</v>
      </c>
      <c r="T408" s="2">
        <f ca="1"/>
        <v>-1.8463925874362547E-2</v>
      </c>
      <c r="U408" s="2">
        <f ca="1"/>
        <v>-1.6882633088706505E-2</v>
      </c>
      <c r="V408" s="2">
        <f ca="1"/>
        <v>-2.9186791423317128E-2</v>
      </c>
      <c r="W408" s="2">
        <f ca="1"/>
        <v>-4.9099299230568536E-3</v>
      </c>
      <c r="X408" s="2">
        <f ca="1"/>
        <v>-3.1353591160221073E-2</v>
      </c>
      <c r="Y408" s="2">
        <f ca="1"/>
        <v>-3.9168937329699567E-3</v>
      </c>
      <c r="Z408" s="2" t="str">
        <f ca="1"/>
        <v/>
      </c>
      <c r="AA408" s="2">
        <f ca="1"/>
        <v>-1.1099899091826425E-2</v>
      </c>
      <c r="AB408" s="2" t="str">
        <f ca="1"/>
        <v/>
      </c>
      <c r="AC408" s="2" t="str">
        <f ca="1"/>
        <v/>
      </c>
      <c r="AD408" s="2" t="str">
        <f ca="1"/>
        <v/>
      </c>
      <c r="AE408" s="2" t="str">
        <f ca="1"/>
        <v/>
      </c>
      <c r="AF408" s="2">
        <f ca="1"/>
        <v>-4.5413386560716078E-4</v>
      </c>
      <c r="AG408" s="26" t="str">
        <f ca="1"/>
        <v/>
      </c>
      <c r="AH408" s="26">
        <f ca="1"/>
        <v>-2.9399999999999999E-2</v>
      </c>
    </row>
    <row r="409" spans="1:34">
      <c r="A409" s="5">
        <f ca="1"/>
        <v>41243</v>
      </c>
      <c r="B409" s="2">
        <f ca="1"/>
        <v>2.426122484525475E-2</v>
      </c>
      <c r="C409" s="2">
        <f ca="1"/>
        <v>1.277063285226721E-2</v>
      </c>
      <c r="D409" s="2">
        <f ca="1"/>
        <v>1.3271123306417464E-2</v>
      </c>
      <c r="E409" s="2">
        <f ca="1"/>
        <v>1.5779969741501765E-3</v>
      </c>
      <c r="F409" s="2">
        <f ca="1"/>
        <v>2.9257441124440044E-2</v>
      </c>
      <c r="G409" s="2">
        <f ca="1"/>
        <v>1.942720932760059E-2</v>
      </c>
      <c r="H409" s="2">
        <f ca="1"/>
        <v>2.2714488796162814E-2</v>
      </c>
      <c r="I409" s="2" t="str">
        <f ca="1"/>
        <v/>
      </c>
      <c r="J409" s="2" t="str">
        <f ca="1"/>
        <v/>
      </c>
      <c r="K409" s="2">
        <f ca="1"/>
        <v>3.4316535132196354E-3</v>
      </c>
      <c r="L409" s="2">
        <f ca="1"/>
        <v>6.4963582277538226E-3</v>
      </c>
      <c r="M409" s="2">
        <f ca="1"/>
        <v>1.0083264339034477E-2</v>
      </c>
      <c r="N409" s="2">
        <f ca="1"/>
        <v>1.1731114820794815E-2</v>
      </c>
      <c r="O409" s="2" t="str">
        <f ca="1"/>
        <v/>
      </c>
      <c r="P409" s="2">
        <f ca="1"/>
        <v>1.1681743713939846E-2</v>
      </c>
      <c r="Q409" s="2">
        <f ca="1"/>
        <v>1.1020462498098203E-2</v>
      </c>
      <c r="R409" s="2">
        <f ca="1"/>
        <v>1.7915309446254093E-2</v>
      </c>
      <c r="S409" s="2">
        <f ca="1"/>
        <v>1.9460998892463766E-3</v>
      </c>
      <c r="T409" s="2">
        <f ca="1"/>
        <v>5.7985524631744487E-3</v>
      </c>
      <c r="U409" s="2">
        <f ca="1"/>
        <v>7.9445375085000977E-3</v>
      </c>
      <c r="V409" s="2">
        <f ca="1"/>
        <v>1.674516232555319E-2</v>
      </c>
      <c r="W409" s="2">
        <f ca="1"/>
        <v>-4.1477354886336601E-4</v>
      </c>
      <c r="X409" s="2">
        <f ca="1"/>
        <v>2.0248110651646875E-2</v>
      </c>
      <c r="Y409" s="2">
        <f ca="1"/>
        <v>-7.3516840485552673E-3</v>
      </c>
      <c r="Z409" s="2" t="str">
        <f ca="1"/>
        <v/>
      </c>
      <c r="AA409" s="2">
        <f ca="1"/>
        <v>3.4013605442177338E-3</v>
      </c>
      <c r="AB409" s="2" t="str">
        <f ca="1"/>
        <v/>
      </c>
      <c r="AC409" s="2">
        <f ca="1"/>
        <v>2.5549738219895268E-2</v>
      </c>
      <c r="AD409" s="2">
        <f ca="1"/>
        <v>1.6013114244246431E-2</v>
      </c>
      <c r="AE409" s="2" t="str">
        <f ca="1"/>
        <v/>
      </c>
      <c r="AF409" s="2">
        <f ca="1"/>
        <v>2.7061017949520628E-3</v>
      </c>
      <c r="AG409" s="26" t="str">
        <f ca="1"/>
        <v/>
      </c>
      <c r="AH409" s="26">
        <f ca="1"/>
        <v>-4.7999999999999996E-3</v>
      </c>
    </row>
    <row r="410" spans="1:34">
      <c r="A410" s="5">
        <f ca="1"/>
        <v>41274</v>
      </c>
      <c r="B410" s="2">
        <f ca="1"/>
        <v>3.2118038422004357E-2</v>
      </c>
      <c r="C410" s="2">
        <f ca="1"/>
        <v>4.9018117783938733E-2</v>
      </c>
      <c r="D410" s="2">
        <f ca="1"/>
        <v>2.3135188397608385E-2</v>
      </c>
      <c r="E410" s="2">
        <f ca="1"/>
        <v>-1.4239152797478542E-3</v>
      </c>
      <c r="F410" s="2">
        <f ca="1"/>
        <v>2.3867214654749679E-2</v>
      </c>
      <c r="G410" s="2">
        <f ca="1"/>
        <v>4.0594768642520637E-2</v>
      </c>
      <c r="H410" s="2">
        <f ca="1"/>
        <v>2.509999999999991E-3</v>
      </c>
      <c r="I410" s="2" t="str">
        <f ca="1"/>
        <v/>
      </c>
      <c r="J410" s="2" t="str">
        <f ca="1"/>
        <v/>
      </c>
      <c r="K410" s="2">
        <f ca="1"/>
        <v>-4.1449107672479422E-3</v>
      </c>
      <c r="L410" s="2">
        <f ca="1"/>
        <v>1.646537742759911E-4</v>
      </c>
      <c r="M410" s="2">
        <f ca="1"/>
        <v>3.5912062427946034E-2</v>
      </c>
      <c r="N410" s="2">
        <f ca="1"/>
        <v>2.7319694524339535E-3</v>
      </c>
      <c r="O410" s="2" t="str">
        <f ca="1"/>
        <v/>
      </c>
      <c r="P410" s="2">
        <f ca="1"/>
        <v>7.4720129550095143E-3</v>
      </c>
      <c r="Q410" s="2">
        <f ca="1"/>
        <v>-1.5198397396710226E-2</v>
      </c>
      <c r="R410" s="2">
        <f ca="1"/>
        <v>-1.0149999999999977E-2</v>
      </c>
      <c r="S410" s="2">
        <f ca="1"/>
        <v>-8.1272140605014535E-3</v>
      </c>
      <c r="T410" s="2">
        <f ca="1"/>
        <v>9.0745635492719065E-3</v>
      </c>
      <c r="U410" s="2">
        <f ca="1"/>
        <v>1.0370666653165262E-2</v>
      </c>
      <c r="V410" s="2">
        <f ca="1"/>
        <v>-2.763948556434618E-4</v>
      </c>
      <c r="W410" s="2">
        <f ca="1"/>
        <v>2.0654649738914219E-2</v>
      </c>
      <c r="X410" s="2">
        <f ca="1"/>
        <v>7.2842216573623469E-4</v>
      </c>
      <c r="Y410" s="2">
        <f ca="1"/>
        <v>2.1180677359386238E-2</v>
      </c>
      <c r="Z410" s="2" t="str">
        <f ca="1"/>
        <v/>
      </c>
      <c r="AA410" s="2">
        <f ca="1"/>
        <v>-8.5177975362711236E-3</v>
      </c>
      <c r="AB410" s="2" t="str">
        <f ca="1"/>
        <v/>
      </c>
      <c r="AC410" s="2">
        <f ca="1"/>
        <v>4.190398126449485E-2</v>
      </c>
      <c r="AD410" s="2">
        <f ca="1"/>
        <v>6.7763870431995901E-2</v>
      </c>
      <c r="AE410" s="2" t="str">
        <f ca="1"/>
        <v/>
      </c>
      <c r="AF410" s="2">
        <f ca="1"/>
        <v>-2.4492971656071951E-3</v>
      </c>
      <c r="AG410" s="26" t="str">
        <f ca="1"/>
        <v/>
      </c>
      <c r="AH410" s="26">
        <f ca="1"/>
        <v>-2.0499999999999997E-2</v>
      </c>
    </row>
    <row r="411" spans="1:34">
      <c r="A411" s="5">
        <f ca="1"/>
        <v>41305</v>
      </c>
      <c r="B411" s="2">
        <f ca="1"/>
        <v>5.2924482227521177E-2</v>
      </c>
      <c r="C411" s="2">
        <f ca="1"/>
        <v>1.3938848920863356E-2</v>
      </c>
      <c r="D411" s="2">
        <f ca="1"/>
        <v>4.6355553086132775E-2</v>
      </c>
      <c r="E411" s="2">
        <f ca="1"/>
        <v>-6.9941823583949663E-3</v>
      </c>
      <c r="F411" s="2">
        <f ca="1"/>
        <v>4.670763372633558E-2</v>
      </c>
      <c r="G411" s="2">
        <f ca="1"/>
        <v>5.9216001823412183E-2</v>
      </c>
      <c r="H411" s="2">
        <f ca="1"/>
        <v>3.8353732132347849E-2</v>
      </c>
      <c r="I411" s="2" t="str">
        <f ca="1"/>
        <v/>
      </c>
      <c r="J411" s="2" t="str">
        <f ca="1"/>
        <v/>
      </c>
      <c r="K411" s="2">
        <f ca="1"/>
        <v>4.3335024671476E-2</v>
      </c>
      <c r="L411" s="2">
        <f ca="1"/>
        <v>4.0786256965766036E-2</v>
      </c>
      <c r="M411" s="2">
        <f ca="1"/>
        <v>1.9543261498874306E-2</v>
      </c>
      <c r="N411" s="2">
        <f ca="1"/>
        <v>3.9995683919001566E-2</v>
      </c>
      <c r="O411" s="2" t="str">
        <f ca="1"/>
        <v/>
      </c>
      <c r="P411" s="2">
        <f ca="1"/>
        <v>9.2336184078341058E-3</v>
      </c>
      <c r="Q411" s="2">
        <f ca="1"/>
        <v>5.0777855239659705E-2</v>
      </c>
      <c r="R411" s="2">
        <f ca="1"/>
        <v>4.3794514320351592E-2</v>
      </c>
      <c r="S411" s="2">
        <f ca="1"/>
        <v>5.0930028922440113E-2</v>
      </c>
      <c r="T411" s="2">
        <f ca="1"/>
        <v>5.1790588375145406E-2</v>
      </c>
      <c r="U411" s="2">
        <f ca="1"/>
        <v>5.4233796508571588E-2</v>
      </c>
      <c r="V411" s="2">
        <f ca="1"/>
        <v>4.2859873437596056E-2</v>
      </c>
      <c r="W411" s="2">
        <f ca="1"/>
        <v>6.4995549101614786E-2</v>
      </c>
      <c r="X411" s="2">
        <f ca="1"/>
        <v>4.3973026130935441E-2</v>
      </c>
      <c r="Y411" s="2">
        <f ca="1"/>
        <v>6.3605442176870905E-2</v>
      </c>
      <c r="Z411" s="2" t="str">
        <f ca="1"/>
        <v/>
      </c>
      <c r="AA411" s="2">
        <f ca="1"/>
        <v>4.9931129476583944E-2</v>
      </c>
      <c r="AB411" s="2" t="str">
        <f ca="1"/>
        <v/>
      </c>
      <c r="AC411" s="2">
        <f ca="1"/>
        <v>3.5988200589970556E-2</v>
      </c>
      <c r="AD411" s="2">
        <f ca="1"/>
        <v>-2.2988505747128171E-3</v>
      </c>
      <c r="AE411" s="2" t="str">
        <f ca="1"/>
        <v/>
      </c>
      <c r="AF411" s="2">
        <f ca="1"/>
        <v>-6.2117392870003124E-3</v>
      </c>
      <c r="AG411" s="26" t="str">
        <f ca="1"/>
        <v/>
      </c>
      <c r="AH411" s="26">
        <f ca="1"/>
        <v>-9.1000000000000004E-3</v>
      </c>
    </row>
    <row r="412" spans="1:34">
      <c r="A412" s="5">
        <f ca="1"/>
        <v>41333</v>
      </c>
      <c r="B412" s="2">
        <f ca="1"/>
        <v>-9.2347080001012743E-3</v>
      </c>
      <c r="C412" s="2">
        <f ca="1"/>
        <v>-1.2416851441241708E-2</v>
      </c>
      <c r="D412" s="2">
        <f ca="1"/>
        <v>2.9768465701105157E-4</v>
      </c>
      <c r="E412" s="2">
        <f ca="1"/>
        <v>5.0123123795380066E-3</v>
      </c>
      <c r="F412" s="2">
        <f ca="1"/>
        <v>4.7816073731310506E-3</v>
      </c>
      <c r="G412" s="2">
        <f ca="1"/>
        <v>-2.3269234531191989E-2</v>
      </c>
      <c r="H412" s="2">
        <f ca="1"/>
        <v>1.4947740547187161E-2</v>
      </c>
      <c r="I412" s="2" t="str">
        <f ca="1"/>
        <v/>
      </c>
      <c r="J412" s="2" t="str">
        <f ca="1"/>
        <v/>
      </c>
      <c r="K412" s="2">
        <f ca="1"/>
        <v>2.5761206653509977E-2</v>
      </c>
      <c r="L412" s="2">
        <f ca="1"/>
        <v>1.3690071337055684E-2</v>
      </c>
      <c r="M412" s="2">
        <f ca="1"/>
        <v>6.8774923022562355E-3</v>
      </c>
      <c r="N412" s="2">
        <f ca="1"/>
        <v>4.6083347743387125E-3</v>
      </c>
      <c r="O412" s="2" t="str">
        <f ca="1"/>
        <v/>
      </c>
      <c r="P412" s="2">
        <f ca="1"/>
        <v>-1.1027438760495117E-2</v>
      </c>
      <c r="Q412" s="2">
        <f ca="1"/>
        <v>1.5059802959246681E-2</v>
      </c>
      <c r="R412" s="2">
        <f ca="1"/>
        <v>2.0654277971351061E-2</v>
      </c>
      <c r="S412" s="2">
        <f ca="1"/>
        <v>2.7071382402844055E-2</v>
      </c>
      <c r="T412" s="2">
        <f ca="1"/>
        <v>1.3568537011817899E-2</v>
      </c>
      <c r="U412" s="2">
        <f ca="1"/>
        <v>1.3435209279587267E-2</v>
      </c>
      <c r="V412" s="2">
        <f ca="1"/>
        <v>1.2443746215654389E-2</v>
      </c>
      <c r="W412" s="2">
        <f ca="1"/>
        <v>1.4354256896370501E-2</v>
      </c>
      <c r="X412" s="2">
        <f ca="1"/>
        <v>8.3434261875927028E-3</v>
      </c>
      <c r="Y412" s="2">
        <f ca="1"/>
        <v>1.31116085705149E-2</v>
      </c>
      <c r="Z412" s="2" t="str">
        <f ca="1"/>
        <v/>
      </c>
      <c r="AA412" s="2">
        <f ca="1"/>
        <v>2.7550016398819419E-2</v>
      </c>
      <c r="AB412" s="2" t="str">
        <f ca="1"/>
        <v/>
      </c>
      <c r="AC412" s="2">
        <f ca="1"/>
        <v>-1.0060744115413836E-2</v>
      </c>
      <c r="AD412" s="2">
        <f ca="1"/>
        <v>-1.5360983102918479E-2</v>
      </c>
      <c r="AE412" s="2" t="str">
        <f ca="1"/>
        <v/>
      </c>
      <c r="AF412" s="2">
        <f ca="1"/>
        <v>5.9168744687313063E-3</v>
      </c>
      <c r="AG412" s="26" t="str">
        <f ca="1"/>
        <v/>
      </c>
      <c r="AH412" s="26">
        <f ca="1"/>
        <v>-4.9699999999999994E-2</v>
      </c>
    </row>
    <row r="413" spans="1:34">
      <c r="A413" s="5">
        <f ca="1"/>
        <v>41362</v>
      </c>
      <c r="B413" s="2">
        <f ca="1"/>
        <v>8.7558493953010207E-3</v>
      </c>
      <c r="C413" s="2">
        <f ca="1"/>
        <v>-1.7008431871476284E-2</v>
      </c>
      <c r="D413" s="2">
        <f ca="1"/>
        <v>1.8761421254471999E-2</v>
      </c>
      <c r="E413" s="2">
        <f ca="1"/>
        <v>7.9862224081450085E-4</v>
      </c>
      <c r="F413" s="2">
        <f ca="1"/>
        <v>1.5611726668873671E-2</v>
      </c>
      <c r="G413" s="2">
        <f ca="1"/>
        <v>1.7012877045524048E-3</v>
      </c>
      <c r="H413" s="2">
        <f ca="1"/>
        <v>3.8125165638132716E-2</v>
      </c>
      <c r="I413" s="2" t="str">
        <f ca="1"/>
        <v/>
      </c>
      <c r="J413" s="2" t="str">
        <f ca="1"/>
        <v/>
      </c>
      <c r="K413" s="2">
        <f ca="1"/>
        <v>4.5892740577867998E-2</v>
      </c>
      <c r="L413" s="2">
        <f ca="1"/>
        <v>4.752170894026049E-2</v>
      </c>
      <c r="M413" s="2">
        <f ca="1"/>
        <v>-4.3615034653899888E-3</v>
      </c>
      <c r="N413" s="2">
        <f ca="1"/>
        <v>1.8934014957871816E-2</v>
      </c>
      <c r="O413" s="2" t="str">
        <f ca="1"/>
        <v/>
      </c>
      <c r="P413" s="2">
        <f ca="1"/>
        <v>-1.8834897073239026E-2</v>
      </c>
      <c r="Q413" s="2">
        <f ca="1"/>
        <v>3.2332005193177353E-2</v>
      </c>
      <c r="R413" s="2">
        <f ca="1"/>
        <v>5.0211466611034247E-2</v>
      </c>
      <c r="S413" s="2">
        <f ca="1"/>
        <v>5.1235784909018416E-2</v>
      </c>
      <c r="T413" s="2">
        <f ca="1"/>
        <v>3.7504812083582806E-2</v>
      </c>
      <c r="U413" s="2">
        <f ca="1"/>
        <v>3.8605521265645842E-2</v>
      </c>
      <c r="V413" s="2">
        <f ca="1"/>
        <v>3.7512486382165679E-2</v>
      </c>
      <c r="W413" s="2">
        <f ca="1"/>
        <v>3.9616483255956347E-2</v>
      </c>
      <c r="X413" s="2">
        <f ca="1"/>
        <v>3.7486853650892812E-2</v>
      </c>
      <c r="Y413" s="2">
        <f ca="1"/>
        <v>4.0415765345168268E-2</v>
      </c>
      <c r="Z413" s="2" t="str">
        <f ca="1"/>
        <v/>
      </c>
      <c r="AA413" s="2">
        <f ca="1"/>
        <v>4.961640230629992E-2</v>
      </c>
      <c r="AB413" s="2" t="str">
        <f ca="1"/>
        <v/>
      </c>
      <c r="AC413" s="2">
        <f ca="1"/>
        <v>1.5723873441994142E-2</v>
      </c>
      <c r="AD413" s="2">
        <f ca="1"/>
        <v>-1.0140405616224771E-2</v>
      </c>
      <c r="AE413" s="2" t="str">
        <f ca="1"/>
        <v/>
      </c>
      <c r="AF413" s="2">
        <f ca="1"/>
        <v>9.8907800072319343E-4</v>
      </c>
      <c r="AG413" s="26" t="str">
        <f ca="1"/>
        <v/>
      </c>
      <c r="AH413" s="26">
        <f ca="1"/>
        <v>1.06E-2</v>
      </c>
    </row>
    <row r="414" spans="1:34">
      <c r="A414" s="5">
        <f ca="1"/>
        <v>41394</v>
      </c>
      <c r="B414" s="2">
        <f ca="1"/>
        <v>5.3304350409145086E-2</v>
      </c>
      <c r="C414" s="2">
        <f ca="1"/>
        <v>7.9280888839260242E-3</v>
      </c>
      <c r="D414" s="2">
        <f ca="1"/>
        <v>2.9239978462398276E-2</v>
      </c>
      <c r="E414" s="2">
        <f ca="1"/>
        <v>1.0118666333720494E-2</v>
      </c>
      <c r="F414" s="2">
        <f ca="1"/>
        <v>4.3371165949466502E-2</v>
      </c>
      <c r="G414" s="2">
        <f ca="1"/>
        <v>6.3681603092439878E-2</v>
      </c>
      <c r="H414" s="2">
        <f ca="1"/>
        <v>3.3935083880379309E-2</v>
      </c>
      <c r="I414" s="2" t="str">
        <f ca="1"/>
        <v/>
      </c>
      <c r="J414" s="2" t="str">
        <f ca="1"/>
        <v/>
      </c>
      <c r="K414" s="2">
        <f ca="1"/>
        <v>2.9419107309445892E-2</v>
      </c>
      <c r="L414" s="2">
        <f ca="1"/>
        <v>4.2453673359947562E-2</v>
      </c>
      <c r="M414" s="2">
        <f ca="1"/>
        <v>2.3476542339597912E-2</v>
      </c>
      <c r="N414" s="2">
        <f ca="1"/>
        <v>2.3050349260513681E-2</v>
      </c>
      <c r="O414" s="2" t="str">
        <f ca="1"/>
        <v/>
      </c>
      <c r="P414" s="2">
        <f ca="1"/>
        <v>8.1799043745094495E-3</v>
      </c>
      <c r="Q414" s="2">
        <f ca="1"/>
        <v>2.1379752983624642E-2</v>
      </c>
      <c r="R414" s="2">
        <f ca="1"/>
        <v>2.9110872332933042E-2</v>
      </c>
      <c r="S414" s="2">
        <f ca="1"/>
        <v>2.7350875059631279E-2</v>
      </c>
      <c r="T414" s="2">
        <f ca="1"/>
        <v>1.9264706703517494E-2</v>
      </c>
      <c r="U414" s="2">
        <f ca="1"/>
        <v>1.8058594411515635E-2</v>
      </c>
      <c r="V414" s="2">
        <f ca="1"/>
        <v>2.1226642903212741E-2</v>
      </c>
      <c r="W414" s="2">
        <f ca="1"/>
        <v>1.5120736741541681E-2</v>
      </c>
      <c r="X414" s="2">
        <f ca="1"/>
        <v>1.6126951361114587E-2</v>
      </c>
      <c r="Y414" s="2">
        <f ca="1"/>
        <v>2.2127269952693478E-2</v>
      </c>
      <c r="Z414" s="2" t="str">
        <f ca="1"/>
        <v/>
      </c>
      <c r="AA414" s="2">
        <f ca="1"/>
        <v>2.7777777777777974E-2</v>
      </c>
      <c r="AB414" s="2" t="str">
        <f ca="1"/>
        <v/>
      </c>
      <c r="AC414" s="2">
        <f ca="1"/>
        <v>4.7762884651689722E-2</v>
      </c>
      <c r="AD414" s="2">
        <f ca="1"/>
        <v>1.3987391646966114E-2</v>
      </c>
      <c r="AE414" s="2" t="str">
        <f ca="1"/>
        <v/>
      </c>
      <c r="AF414" s="2">
        <f ca="1"/>
        <v>9.6865402442707516E-3</v>
      </c>
      <c r="AG414" s="26" t="str">
        <f ca="1"/>
        <v/>
      </c>
      <c r="AH414" s="26">
        <f ca="1"/>
        <v>-7.690000000000001E-2</v>
      </c>
    </row>
    <row r="415" spans="1:34">
      <c r="A415" s="5">
        <f ca="1"/>
        <v>41425</v>
      </c>
      <c r="B415" s="2">
        <f ca="1"/>
        <v>-2.305603581705681E-2</v>
      </c>
      <c r="C415" s="2">
        <f ca="1"/>
        <v>-2.5183424563029057E-2</v>
      </c>
      <c r="D415" s="2">
        <f ca="1"/>
        <v>-1.9023394172396372E-3</v>
      </c>
      <c r="E415" s="2">
        <f ca="1"/>
        <v>-1.7841980244843583E-2</v>
      </c>
      <c r="F415" s="2">
        <f ca="1"/>
        <v>-2.0246382615949951E-2</v>
      </c>
      <c r="G415" s="2">
        <f ca="1"/>
        <v>-2.5958917699641801E-2</v>
      </c>
      <c r="H415" s="2">
        <f ca="1"/>
        <v>-1.9444101514964424E-2</v>
      </c>
      <c r="I415" s="2" t="str">
        <f ca="1"/>
        <v/>
      </c>
      <c r="J415" s="2" t="str">
        <f ca="1"/>
        <v/>
      </c>
      <c r="K415" s="2">
        <f ca="1"/>
        <v>-4.4673627243254278E-2</v>
      </c>
      <c r="L415" s="2">
        <f ca="1"/>
        <v>-6.0972821582692793E-2</v>
      </c>
      <c r="M415" s="2">
        <f ca="1"/>
        <v>-3.0083880648414538E-2</v>
      </c>
      <c r="N415" s="2">
        <f ca="1"/>
        <v>6.4975809514373033E-3</v>
      </c>
      <c r="O415" s="2" t="str">
        <f ca="1"/>
        <v/>
      </c>
      <c r="P415" s="2">
        <f ca="1"/>
        <v>-1.9562736128684161E-2</v>
      </c>
      <c r="Q415" s="2">
        <f ca="1"/>
        <v>2.8498399300277831E-2</v>
      </c>
      <c r="R415" s="2">
        <f ca="1"/>
        <v>-6.5805059092943069E-4</v>
      </c>
      <c r="S415" s="2">
        <f ca="1"/>
        <v>-2.4410230262858344E-2</v>
      </c>
      <c r="T415" s="2">
        <f ca="1"/>
        <v>2.3380196117463378E-2</v>
      </c>
      <c r="U415" s="2">
        <f ca="1"/>
        <v>2.224397263351726E-2</v>
      </c>
      <c r="V415" s="2">
        <f ca="1"/>
        <v>1.857798619999481E-2</v>
      </c>
      <c r="W415" s="2">
        <f ca="1"/>
        <v>2.566663903998738E-2</v>
      </c>
      <c r="X415" s="2">
        <f ca="1"/>
        <v>1.7394616556627641E-2</v>
      </c>
      <c r="Y415" s="2">
        <f ca="1"/>
        <v>2.5828605553896634E-2</v>
      </c>
      <c r="Z415" s="2">
        <f ca="1"/>
        <v>3.0864197530863537E-3</v>
      </c>
      <c r="AA415" s="2">
        <f ca="1"/>
        <v>-2.3379492129492158E-2</v>
      </c>
      <c r="AB415" s="2" t="str">
        <f ca="1"/>
        <v/>
      </c>
      <c r="AC415" s="2">
        <f ca="1"/>
        <v>-3.2252252252252214E-2</v>
      </c>
      <c r="AD415" s="2">
        <f ca="1"/>
        <v>-4.3714785311832038E-2</v>
      </c>
      <c r="AE415" s="2" t="str">
        <f ca="1"/>
        <v/>
      </c>
      <c r="AF415" s="2">
        <f ca="1"/>
        <v>-2.0015838581094885E-2</v>
      </c>
      <c r="AG415" s="26" t="str">
        <f ca="1"/>
        <v/>
      </c>
      <c r="AH415" s="26">
        <f ca="1"/>
        <v>-5.4000000000000006E-2</v>
      </c>
    </row>
    <row r="416" spans="1:34">
      <c r="A416" s="5">
        <f ca="1"/>
        <v>41453</v>
      </c>
      <c r="B416" s="2">
        <f ca="1"/>
        <v>-3.5293857939865586E-2</v>
      </c>
      <c r="C416" s="2">
        <f ca="1"/>
        <v>-6.3187693070636708E-2</v>
      </c>
      <c r="D416" s="2">
        <f ca="1"/>
        <v>-2.8821575526177187E-2</v>
      </c>
      <c r="E416" s="2">
        <f ca="1"/>
        <v>-1.5468543100712408E-2</v>
      </c>
      <c r="F416" s="2">
        <f ca="1"/>
        <v>-3.1408984065846558E-2</v>
      </c>
      <c r="G416" s="2">
        <f ca="1"/>
        <v>-3.9161302496322679E-2</v>
      </c>
      <c r="H416" s="2">
        <f ca="1"/>
        <v>-2.4101369641267873E-3</v>
      </c>
      <c r="I416" s="2" t="str">
        <f ca="1"/>
        <v/>
      </c>
      <c r="J416" s="2" t="str">
        <f ca="1"/>
        <v/>
      </c>
      <c r="K416" s="2">
        <f ca="1"/>
        <v>-3.8946637094835757E-3</v>
      </c>
      <c r="L416" s="2">
        <f ca="1"/>
        <v>-1.0218367191661009E-2</v>
      </c>
      <c r="M416" s="2">
        <f ca="1"/>
        <v>-3.3350240933299601E-2</v>
      </c>
      <c r="N416" s="2">
        <f ca="1"/>
        <v>-2.9439992125273668E-2</v>
      </c>
      <c r="O416" s="2" t="str">
        <f ca="1"/>
        <v/>
      </c>
      <c r="P416" s="2">
        <f ca="1"/>
        <v>-4.4878621063080971E-2</v>
      </c>
      <c r="Q416" s="2">
        <f ca="1"/>
        <v>-2.6495041984197221E-2</v>
      </c>
      <c r="R416" s="2">
        <f ca="1"/>
        <v>-9.6314246079826048E-3</v>
      </c>
      <c r="S416" s="2">
        <f ca="1"/>
        <v>-3.2571161922538582E-3</v>
      </c>
      <c r="T416" s="2">
        <f ca="1"/>
        <v>-1.3426208345518076E-2</v>
      </c>
      <c r="U416" s="2">
        <f ca="1"/>
        <v>-1.3628279683811263E-2</v>
      </c>
      <c r="V416" s="2">
        <f ca="1"/>
        <v>-1.8817256640481613E-2</v>
      </c>
      <c r="W416" s="2">
        <f ca="1"/>
        <v>-8.8142354687386643E-3</v>
      </c>
      <c r="X416" s="2">
        <f ca="1"/>
        <v>-2.1422781057202519E-2</v>
      </c>
      <c r="Y416" s="2">
        <f ca="1"/>
        <v>-1.0203665528421167E-2</v>
      </c>
      <c r="Z416" s="2">
        <f ca="1"/>
        <v>-8.3290384615385838E-3</v>
      </c>
      <c r="AA416" s="2">
        <f ca="1"/>
        <v>-4.2739480311078182E-3</v>
      </c>
      <c r="AB416" s="2" t="str">
        <f ca="1"/>
        <v/>
      </c>
      <c r="AC416" s="2">
        <f ca="1"/>
        <v>-2.7496702037504706E-2</v>
      </c>
      <c r="AD416" s="2">
        <f ca="1"/>
        <v>-5.5666299424394786E-2</v>
      </c>
      <c r="AE416" s="2" t="str">
        <f ca="1"/>
        <v/>
      </c>
      <c r="AF416" s="2">
        <f ca="1"/>
        <v>-1.5653340624171508E-2</v>
      </c>
      <c r="AG416" s="26" t="str">
        <f ca="1"/>
        <v/>
      </c>
      <c r="AH416" s="26">
        <f ca="1"/>
        <v>-0.12130000000000001</v>
      </c>
    </row>
    <row r="417" spans="1:34">
      <c r="A417" s="5">
        <f ca="1"/>
        <v>41486</v>
      </c>
      <c r="B417" s="2">
        <f ca="1"/>
        <v>5.2844851561482387E-2</v>
      </c>
      <c r="C417" s="2">
        <f ca="1"/>
        <v>1.098979873173425E-2</v>
      </c>
      <c r="D417" s="2">
        <f ca="1"/>
        <v>4.8192732947369497E-2</v>
      </c>
      <c r="E417" s="2">
        <f ca="1"/>
        <v>1.3671907564566622E-3</v>
      </c>
      <c r="F417" s="2">
        <f ca="1"/>
        <v>4.7118079062604706E-2</v>
      </c>
      <c r="G417" s="2">
        <f ca="1"/>
        <v>5.8595968556301434E-2</v>
      </c>
      <c r="H417" s="2">
        <f ca="1"/>
        <v>3.3598067232193551E-2</v>
      </c>
      <c r="I417" s="2" t="str">
        <f ca="1"/>
        <v/>
      </c>
      <c r="J417" s="2" t="str">
        <f ca="1"/>
        <v/>
      </c>
      <c r="K417" s="2">
        <f ca="1"/>
        <v>3.0165851826516189E-2</v>
      </c>
      <c r="L417" s="2">
        <f ca="1"/>
        <v>2.9487958058837648E-2</v>
      </c>
      <c r="M417" s="2">
        <f ca="1"/>
        <v>-1.7709563164107427E-4</v>
      </c>
      <c r="N417" s="2">
        <f ca="1"/>
        <v>4.2689317106152799E-2</v>
      </c>
      <c r="O417" s="2" t="str">
        <f ca="1"/>
        <v/>
      </c>
      <c r="P417" s="2">
        <f ca="1"/>
        <v>1.5457732173058692E-2</v>
      </c>
      <c r="Q417" s="2">
        <f ca="1"/>
        <v>4.3508498151101013E-2</v>
      </c>
      <c r="R417" s="2">
        <f ca="1"/>
        <v>6.2916108899743819E-2</v>
      </c>
      <c r="S417" s="2">
        <f ca="1"/>
        <v>3.6479059184839124E-2</v>
      </c>
      <c r="T417" s="2">
        <f ca="1"/>
        <v>5.0883826065216547E-2</v>
      </c>
      <c r="U417" s="2">
        <f ca="1"/>
        <v>5.3507914071645638E-2</v>
      </c>
      <c r="V417" s="2">
        <f ca="1"/>
        <v>5.3020739680150711E-2</v>
      </c>
      <c r="W417" s="2">
        <f ca="1"/>
        <v>5.3992881615559984E-2</v>
      </c>
      <c r="X417" s="2">
        <f ca="1"/>
        <v>5.5790147152911085E-2</v>
      </c>
      <c r="Y417" s="2">
        <f ca="1"/>
        <v>5.3838189616920551E-2</v>
      </c>
      <c r="Z417" s="2">
        <f ca="1"/>
        <v>5.9762507299980505E-2</v>
      </c>
      <c r="AA417" s="2">
        <f ca="1"/>
        <v>3.6843721215842749E-2</v>
      </c>
      <c r="AB417" s="2" t="str">
        <f ca="1"/>
        <v/>
      </c>
      <c r="AC417" s="2">
        <f ca="1"/>
        <v>5.5771472988728997E-2</v>
      </c>
      <c r="AD417" s="2">
        <f ca="1"/>
        <v>1.0421189752496694E-2</v>
      </c>
      <c r="AE417" s="2" t="str">
        <f ca="1"/>
        <v/>
      </c>
      <c r="AF417" s="2">
        <f ca="1"/>
        <v>2.6847693748101374E-3</v>
      </c>
      <c r="AG417" s="26" t="str">
        <f ca="1"/>
        <v/>
      </c>
      <c r="AH417" s="26">
        <f ca="1"/>
        <v>7.2499999999999995E-2</v>
      </c>
    </row>
    <row r="418" spans="1:34">
      <c r="A418" s="5">
        <f ca="1"/>
        <v>41516</v>
      </c>
      <c r="B418" s="2">
        <f ca="1"/>
        <v>-1.3119928096608205E-2</v>
      </c>
      <c r="C418" s="2">
        <f ca="1"/>
        <v>-1.6782751454923275E-2</v>
      </c>
      <c r="D418" s="2">
        <f ca="1"/>
        <v>-2.0414079675307392E-2</v>
      </c>
      <c r="E418" s="2">
        <f ca="1"/>
        <v>-5.1116402204499116E-3</v>
      </c>
      <c r="F418" s="2">
        <f ca="1"/>
        <v>-1.3132140195681053E-2</v>
      </c>
      <c r="G418" s="2">
        <f ca="1"/>
        <v>-1.3109255743797774E-2</v>
      </c>
      <c r="H418" s="2">
        <f ca="1"/>
        <v>-2.8799190622383463E-2</v>
      </c>
      <c r="I418" s="2" t="str">
        <f ca="1"/>
        <v/>
      </c>
      <c r="J418" s="2" t="str">
        <f ca="1"/>
        <v/>
      </c>
      <c r="K418" s="2">
        <f ca="1"/>
        <v>-2.7798212321053107E-2</v>
      </c>
      <c r="L418" s="2">
        <f ca="1"/>
        <v>-1.3395757263502202E-2</v>
      </c>
      <c r="M418" s="2">
        <f ca="1"/>
        <v>-3.3339237566668595E-2</v>
      </c>
      <c r="N418" s="2">
        <f ca="1"/>
        <v>-1.7783757933387954E-2</v>
      </c>
      <c r="O418" s="2" t="str">
        <f ca="1"/>
        <v/>
      </c>
      <c r="P418" s="2">
        <f ca="1"/>
        <v>-2.5122588929312479E-2</v>
      </c>
      <c r="Q418" s="2">
        <f ca="1"/>
        <v>-1.9270469285911699E-2</v>
      </c>
      <c r="R418" s="2">
        <f ca="1"/>
        <v>-3.4379222338988165E-2</v>
      </c>
      <c r="S418" s="2">
        <f ca="1"/>
        <v>-3.2241162813807109E-2</v>
      </c>
      <c r="T418" s="2">
        <f ca="1"/>
        <v>-2.8972349882020701E-2</v>
      </c>
      <c r="U418" s="2">
        <f ca="1"/>
        <v>-2.7582418408406362E-2</v>
      </c>
      <c r="V418" s="2">
        <f ca="1"/>
        <v>-1.7138359309768966E-2</v>
      </c>
      <c r="W418" s="2">
        <f ca="1"/>
        <v>-3.793630568062463E-2</v>
      </c>
      <c r="X418" s="2">
        <f ca="1"/>
        <v>-1.854320688401407E-2</v>
      </c>
      <c r="Y418" s="2">
        <f ca="1"/>
        <v>-3.6771929824561476E-2</v>
      </c>
      <c r="Z418" s="2">
        <f ca="1"/>
        <v>-3.5703297207935233E-2</v>
      </c>
      <c r="AA418" s="2">
        <f ca="1"/>
        <v>-3.2573289902280152E-2</v>
      </c>
      <c r="AB418" s="2" t="str">
        <f ca="1"/>
        <v/>
      </c>
      <c r="AC418" s="2">
        <f ca="1"/>
        <v>-1.6749493833977475E-2</v>
      </c>
      <c r="AD418" s="2">
        <f ca="1"/>
        <v>-2.4924795874516428E-2</v>
      </c>
      <c r="AE418" s="2" t="str">
        <f ca="1"/>
        <v/>
      </c>
      <c r="AF418" s="2">
        <f ca="1"/>
        <v>-8.2570907716418909E-3</v>
      </c>
      <c r="AG418" s="26" t="str">
        <f ca="1"/>
        <v/>
      </c>
      <c r="AH418" s="26">
        <f ca="1"/>
        <v>6.3500000000000001E-2</v>
      </c>
    </row>
    <row r="419" spans="1:34">
      <c r="A419" s="5">
        <f ca="1"/>
        <v>41547</v>
      </c>
      <c r="B419" s="2">
        <f ca="1"/>
        <v>7.4158496084286901E-2</v>
      </c>
      <c r="C419" s="2">
        <f ca="1"/>
        <v>6.5347874807229284E-2</v>
      </c>
      <c r="D419" s="2">
        <f ca="1"/>
        <v>5.2038633224819913E-2</v>
      </c>
      <c r="E419" s="2">
        <f ca="1"/>
        <v>9.4669076627839667E-3</v>
      </c>
      <c r="F419" s="2">
        <f ca="1"/>
        <v>6.9604426636552003E-2</v>
      </c>
      <c r="G419" s="2">
        <f ca="1"/>
        <v>7.8679286796072112E-2</v>
      </c>
      <c r="H419" s="2">
        <f ca="1"/>
        <v>6.1048547874346694E-2</v>
      </c>
      <c r="I419" s="2" t="str">
        <f ca="1"/>
        <v/>
      </c>
      <c r="J419" s="2" t="str">
        <f ca="1"/>
        <v/>
      </c>
      <c r="K419" s="2">
        <f ca="1"/>
        <v>3.3126418770967697E-2</v>
      </c>
      <c r="L419" s="2">
        <f ca="1"/>
        <v>5.2418469828727984E-2</v>
      </c>
      <c r="M419" s="2">
        <f ca="1"/>
        <v>5.617199747541584E-2</v>
      </c>
      <c r="N419" s="2">
        <f ca="1"/>
        <v>3.9165848304546273E-2</v>
      </c>
      <c r="O419" s="2" t="str">
        <f ca="1"/>
        <v/>
      </c>
      <c r="P419" s="2">
        <f ca="1"/>
        <v>6.053086195871081E-2</v>
      </c>
      <c r="Q419" s="2">
        <f ca="1"/>
        <v>3.7317576470783202E-2</v>
      </c>
      <c r="R419" s="2">
        <f ca="1"/>
        <v>3.1431384742951991E-2</v>
      </c>
      <c r="S419" s="2">
        <f ca="1"/>
        <v>2.5670226271376297E-2</v>
      </c>
      <c r="T419" s="2">
        <f ca="1"/>
        <v>3.1362245959590695E-2</v>
      </c>
      <c r="U419" s="2">
        <f ca="1"/>
        <v>3.4869332598152607E-2</v>
      </c>
      <c r="V419" s="2">
        <f ca="1"/>
        <v>4.4562727772837062E-2</v>
      </c>
      <c r="W419" s="2">
        <f ca="1"/>
        <v>2.5050434098210769E-2</v>
      </c>
      <c r="X419" s="2">
        <f ca="1"/>
        <v>4.8236257425729331E-2</v>
      </c>
      <c r="Y419" s="2">
        <f ca="1"/>
        <v>2.2896691172699494E-2</v>
      </c>
      <c r="Z419" s="2">
        <f ca="1"/>
        <v>3.0207373313061524E-2</v>
      </c>
      <c r="AA419" s="2">
        <f ca="1"/>
        <v>2.5458901738875755E-2</v>
      </c>
      <c r="AB419" s="2" t="str">
        <f ca="1"/>
        <v/>
      </c>
      <c r="AC419" s="2">
        <f ca="1"/>
        <v>7.8996630475477364E-2</v>
      </c>
      <c r="AD419" s="2">
        <f ca="1"/>
        <v>7.2058175407668415E-2</v>
      </c>
      <c r="AE419" s="2" t="str">
        <f ca="1"/>
        <v/>
      </c>
      <c r="AF419" s="2">
        <f ca="1"/>
        <v>1.1212457019558295E-2</v>
      </c>
      <c r="AG419" s="26" t="str">
        <f ca="1"/>
        <v/>
      </c>
      <c r="AH419" s="26">
        <f ca="1"/>
        <v>-4.9599999999999998E-2</v>
      </c>
    </row>
    <row r="420" spans="1:34">
      <c r="A420" s="5">
        <f ca="1"/>
        <v>41578</v>
      </c>
      <c r="B420" s="2">
        <f ca="1"/>
        <v>3.3641436115290066E-2</v>
      </c>
      <c r="C420" s="2">
        <f ca="1"/>
        <v>4.8733116024285802E-2</v>
      </c>
      <c r="D420" s="2">
        <f ca="1"/>
        <v>4.0415865113423807E-2</v>
      </c>
      <c r="E420" s="2">
        <f ca="1"/>
        <v>8.084972340884157E-3</v>
      </c>
      <c r="F420" s="2">
        <f ca="1"/>
        <v>2.5752961940764398E-2</v>
      </c>
      <c r="G420" s="2">
        <f ca="1"/>
        <v>4.1384308895111535E-2</v>
      </c>
      <c r="H420" s="2">
        <f ca="1"/>
        <v>3.2018078407475059E-2</v>
      </c>
      <c r="I420" s="2" t="str">
        <f ca="1"/>
        <v/>
      </c>
      <c r="J420" s="2" t="str">
        <f ca="1"/>
        <v/>
      </c>
      <c r="K420" s="2">
        <f ca="1"/>
        <v>3.5434652977625727E-2</v>
      </c>
      <c r="L420" s="2">
        <f ca="1"/>
        <v>2.0401999208946187E-2</v>
      </c>
      <c r="M420" s="2">
        <f ca="1"/>
        <v>3.7107718405428328E-2</v>
      </c>
      <c r="N420" s="2">
        <f ca="1"/>
        <v>4.5067223620784129E-2</v>
      </c>
      <c r="O420" s="2" t="str">
        <f ca="1"/>
        <v/>
      </c>
      <c r="P420" s="2">
        <f ca="1"/>
        <v>4.7887323943661804E-2</v>
      </c>
      <c r="Q420" s="2">
        <f ca="1"/>
        <v>4.7575297595270398E-2</v>
      </c>
      <c r="R420" s="2">
        <f ca="1"/>
        <v>5.2397102541556696E-2</v>
      </c>
      <c r="S420" s="2">
        <f ca="1"/>
        <v>4.7256957716740343E-2</v>
      </c>
      <c r="T420" s="2">
        <f ca="1"/>
        <v>4.5962921584472273E-2</v>
      </c>
      <c r="U420" s="2">
        <f ca="1"/>
        <v>4.4019844979768685E-2</v>
      </c>
      <c r="V420" s="2">
        <f ca="1"/>
        <v>4.4235917362279775E-2</v>
      </c>
      <c r="W420" s="2">
        <f ca="1"/>
        <v>4.3793789919843028E-2</v>
      </c>
      <c r="X420" s="2">
        <f ca="1"/>
        <v>4.2548162155773409E-2</v>
      </c>
      <c r="Y420" s="2">
        <f ca="1"/>
        <v>4.5851841237999534E-2</v>
      </c>
      <c r="Z420" s="2">
        <f ca="1"/>
        <v>5.5679287305122477E-2</v>
      </c>
      <c r="AA420" s="2">
        <f ca="1"/>
        <v>4.7183437650457266E-2</v>
      </c>
      <c r="AB420" s="2" t="str">
        <f ca="1"/>
        <v/>
      </c>
      <c r="AC420" s="2">
        <f ca="1"/>
        <v>3.3830673143650271E-2</v>
      </c>
      <c r="AD420" s="2">
        <f ca="1"/>
        <v>4.0801644398766705E-2</v>
      </c>
      <c r="AE420" s="2" t="str">
        <f ca="1"/>
        <v/>
      </c>
      <c r="AF420" s="2">
        <f ca="1"/>
        <v>8.3161444575611931E-3</v>
      </c>
      <c r="AG420" s="26" t="str">
        <f ca="1"/>
        <v/>
      </c>
      <c r="AH420" s="26">
        <f ca="1"/>
        <v>-2.0999999999999999E-3</v>
      </c>
    </row>
    <row r="421" spans="1:34">
      <c r="A421" s="5">
        <f ca="1"/>
        <v>41607</v>
      </c>
      <c r="B421" s="2">
        <f ca="1"/>
        <v>7.8278092524787582E-3</v>
      </c>
      <c r="C421" s="2">
        <f ca="1"/>
        <v>-1.4542836573074137E-2</v>
      </c>
      <c r="D421" s="2">
        <f ca="1"/>
        <v>1.4584982129629848E-2</v>
      </c>
      <c r="E421" s="2">
        <f ca="1"/>
        <v>-3.7441891062188373E-3</v>
      </c>
      <c r="F421" s="2">
        <f ca="1"/>
        <v>8.7577224731807974E-3</v>
      </c>
      <c r="G421" s="2">
        <f ca="1"/>
        <v>6.921836492530432E-3</v>
      </c>
      <c r="H421" s="2">
        <f ca="1"/>
        <v>1.8058801820642133E-2</v>
      </c>
      <c r="I421" s="2" t="str">
        <f ca="1"/>
        <v/>
      </c>
      <c r="J421" s="2" t="str">
        <f ca="1"/>
        <v/>
      </c>
      <c r="K421" s="2">
        <f ca="1"/>
        <v>-1.3708834373494091E-3</v>
      </c>
      <c r="L421" s="2">
        <f ca="1"/>
        <v>-4.5950441180616112E-3</v>
      </c>
      <c r="M421" s="2">
        <f ca="1"/>
        <v>-2.6505083548632912E-2</v>
      </c>
      <c r="N421" s="2">
        <f ca="1"/>
        <v>2.6626544476359794E-2</v>
      </c>
      <c r="O421" s="2" t="str">
        <f ca="1"/>
        <v/>
      </c>
      <c r="P421" s="2">
        <f ca="1"/>
        <v>-2.1728674980246627E-2</v>
      </c>
      <c r="Q421" s="2">
        <f ca="1"/>
        <v>4.0877025738798783E-2</v>
      </c>
      <c r="R421" s="2">
        <f ca="1"/>
        <v>3.077057737602654E-2</v>
      </c>
      <c r="S421" s="2">
        <f ca="1"/>
        <v>1.3396135412638309E-2</v>
      </c>
      <c r="T421" s="2">
        <f ca="1"/>
        <v>3.0467827267863148E-2</v>
      </c>
      <c r="U421" s="2">
        <f ca="1"/>
        <v>2.8057066850983314E-2</v>
      </c>
      <c r="V421" s="2">
        <f ca="1"/>
        <v>2.82093301855924E-2</v>
      </c>
      <c r="W421" s="2">
        <f ca="1"/>
        <v>2.7897742552955886E-2</v>
      </c>
      <c r="X421" s="2">
        <f ca="1"/>
        <v>2.3806824623058803E-2</v>
      </c>
      <c r="Y421" s="2">
        <f ca="1"/>
        <v>3.1785176051513979E-2</v>
      </c>
      <c r="Z421" s="2">
        <f ca="1"/>
        <v>3.1469760900140642E-2</v>
      </c>
      <c r="AA421" s="2">
        <f ca="1"/>
        <v>1.3218390804597597E-2</v>
      </c>
      <c r="AB421" s="2" t="str">
        <f ca="1"/>
        <v/>
      </c>
      <c r="AC421" s="2">
        <f ca="1"/>
        <v>5.5378419197852123E-3</v>
      </c>
      <c r="AD421" s="2">
        <f ca="1"/>
        <v>-5.6285178236395918E-3</v>
      </c>
      <c r="AE421" s="2" t="str">
        <f ca="1"/>
        <v/>
      </c>
      <c r="AF421" s="2">
        <f ca="1"/>
        <v>-2.4913548924048977E-3</v>
      </c>
      <c r="AG421" s="26" t="str">
        <f ca="1"/>
        <v/>
      </c>
      <c r="AH421" s="26">
        <f ca="1"/>
        <v>-5.5199999999999999E-2</v>
      </c>
    </row>
    <row r="422" spans="1:34">
      <c r="A422" s="5">
        <f ca="1"/>
        <v>41639</v>
      </c>
      <c r="B422" s="2">
        <f ca="1"/>
        <v>1.5119653414771748E-2</v>
      </c>
      <c r="C422" s="2">
        <f ca="1"/>
        <v>-1.4379572341240232E-2</v>
      </c>
      <c r="D422" s="2">
        <f ca="1"/>
        <v>1.7596822078890056E-2</v>
      </c>
      <c r="E422" s="2">
        <f ca="1"/>
        <v>-5.6511475626330847E-3</v>
      </c>
      <c r="F422" s="2">
        <f ca="1"/>
        <v>1.6439784130604537E-2</v>
      </c>
      <c r="G422" s="2">
        <f ca="1"/>
        <v>1.3798554140416178E-2</v>
      </c>
      <c r="H422" s="2">
        <f ca="1"/>
        <v>2.9282164060675013E-2</v>
      </c>
      <c r="I422" s="2" t="str">
        <f ca="1"/>
        <v/>
      </c>
      <c r="J422" s="2" t="str">
        <f ca="1"/>
        <v/>
      </c>
      <c r="K422" s="2">
        <f ca="1"/>
        <v>2.9837274026527538E-3</v>
      </c>
      <c r="L422" s="2">
        <f ca="1"/>
        <v>7.0376663834606536E-3</v>
      </c>
      <c r="M422" s="2">
        <f ca="1"/>
        <v>-7.0835322195704755E-3</v>
      </c>
      <c r="N422" s="2">
        <f ca="1"/>
        <v>1.9725836775177343E-2</v>
      </c>
      <c r="O422" s="2" t="str">
        <f ca="1"/>
        <v/>
      </c>
      <c r="P422" s="2">
        <f ca="1"/>
        <v>-4.4685969132441826E-3</v>
      </c>
      <c r="Q422" s="2">
        <f ca="1"/>
        <v>2.4259076088947597E-2</v>
      </c>
      <c r="R422" s="2">
        <f ca="1"/>
        <v>3.0060445116914462E-2</v>
      </c>
      <c r="S422" s="2">
        <f ca="1"/>
        <v>1.2575892704010046E-2</v>
      </c>
      <c r="T422" s="2">
        <f ca="1"/>
        <v>2.5247948722599358E-2</v>
      </c>
      <c r="U422" s="2">
        <f ca="1"/>
        <v>2.6977806748134055E-2</v>
      </c>
      <c r="V422" s="2">
        <f ca="1"/>
        <v>2.8565003728099853E-2</v>
      </c>
      <c r="W422" s="2">
        <f ca="1"/>
        <v>2.5327426069425008E-2</v>
      </c>
      <c r="X422" s="2">
        <f ca="1"/>
        <v>3.4216842821999903E-2</v>
      </c>
      <c r="Y422" s="2">
        <f ca="1"/>
        <v>2.0934140734613461E-2</v>
      </c>
      <c r="Z422" s="2">
        <f ca="1"/>
        <v>2.676662438823782E-2</v>
      </c>
      <c r="AA422" s="2">
        <f ca="1"/>
        <v>1.27038846953765E-2</v>
      </c>
      <c r="AB422" s="2" t="str">
        <f ca="1"/>
        <v/>
      </c>
      <c r="AC422" s="2">
        <f ca="1"/>
        <v>2.3538053470153857E-2</v>
      </c>
      <c r="AD422" s="2">
        <f ca="1"/>
        <v>-1.4542688749832184E-3</v>
      </c>
      <c r="AE422" s="2" t="str">
        <f ca="1"/>
        <v/>
      </c>
      <c r="AF422" s="2">
        <f ca="1"/>
        <v>-5.5608399753872871E-3</v>
      </c>
      <c r="AG422" s="26" t="str">
        <f ca="1"/>
        <v/>
      </c>
      <c r="AH422" s="26">
        <f ca="1"/>
        <v>-3.8599999999999995E-2</v>
      </c>
    </row>
    <row r="423" spans="1:34">
      <c r="A423" s="5">
        <f ca="1"/>
        <v>41670</v>
      </c>
      <c r="B423" s="2">
        <f ca="1"/>
        <v>-4.0180829167234075E-2</v>
      </c>
      <c r="C423" s="2">
        <f ca="1"/>
        <v>-6.4711535512365637E-2</v>
      </c>
      <c r="D423" s="2">
        <f ca="1"/>
        <v>-3.9777725946567491E-2</v>
      </c>
      <c r="E423" s="2">
        <f ca="1"/>
        <v>1.4775381005611351E-2</v>
      </c>
      <c r="F423" s="2">
        <f ca="1"/>
        <v>-4.4802069910703804E-2</v>
      </c>
      <c r="G423" s="2">
        <f ca="1"/>
        <v>-3.5549259200269738E-2</v>
      </c>
      <c r="H423" s="2">
        <f ca="1"/>
        <v>-2.8558682653476511E-2</v>
      </c>
      <c r="I423" s="2" t="str">
        <f ca="1"/>
        <v/>
      </c>
      <c r="J423" s="2" t="str">
        <f ca="1"/>
        <v/>
      </c>
      <c r="K423" s="2">
        <f ca="1"/>
        <v>-2.9698515074246281E-2</v>
      </c>
      <c r="L423" s="2">
        <f ca="1"/>
        <v>-2.5999409423907098E-2</v>
      </c>
      <c r="M423" s="2">
        <f ca="1"/>
        <v>-6.3392559546701449E-2</v>
      </c>
      <c r="N423" s="2">
        <f ca="1"/>
        <v>-4.43647607917717E-2</v>
      </c>
      <c r="O423" s="2" t="str">
        <f ca="1"/>
        <v/>
      </c>
      <c r="P423" s="2">
        <f ca="1"/>
        <v>-5.1368201980652048E-2</v>
      </c>
      <c r="Q423" s="2">
        <f ca="1"/>
        <v>-4.1317348135855102E-2</v>
      </c>
      <c r="R423" s="2">
        <f ca="1"/>
        <v>-2.2460710618812458E-2</v>
      </c>
      <c r="S423" s="2">
        <f ca="1"/>
        <v>-3.0001227996629513E-2</v>
      </c>
      <c r="T423" s="2">
        <f ca="1"/>
        <v>-3.4574249279190006E-2</v>
      </c>
      <c r="U423" s="2">
        <f ca="1"/>
        <v>-3.193859651929723E-2</v>
      </c>
      <c r="V423" s="2">
        <f ca="1"/>
        <v>-2.8508124265658182E-2</v>
      </c>
      <c r="W423" s="2">
        <f ca="1"/>
        <v>-3.5514632418816902E-2</v>
      </c>
      <c r="X423" s="2">
        <f ca="1"/>
        <v>-3.0521225147770097E-2</v>
      </c>
      <c r="Y423" s="2">
        <f ca="1"/>
        <v>-3.6915826678884843E-2</v>
      </c>
      <c r="Z423" s="2">
        <f ca="1"/>
        <v>-2.3155089122105631E-2</v>
      </c>
      <c r="AA423" s="2">
        <f ca="1"/>
        <v>-3.042253521126758E-2</v>
      </c>
      <c r="AB423" s="2" t="str">
        <f ca="1"/>
        <v/>
      </c>
      <c r="AC423" s="2">
        <f ca="1"/>
        <v>-4.8708244199440483E-2</v>
      </c>
      <c r="AD423" s="2">
        <f ca="1"/>
        <v>-7.9903633808472263E-2</v>
      </c>
      <c r="AE423" s="2" t="str">
        <f ca="1"/>
        <v/>
      </c>
      <c r="AF423" s="2">
        <f ca="1"/>
        <v>1.5409189138400722E-2</v>
      </c>
      <c r="AG423" s="26" t="str">
        <f ca="1"/>
        <v/>
      </c>
      <c r="AH423" s="26">
        <f ca="1"/>
        <v>3.1400000000000004E-2</v>
      </c>
    </row>
    <row r="424" spans="1:34">
      <c r="A424" s="5">
        <f ca="1"/>
        <v>41698</v>
      </c>
      <c r="B424" s="2">
        <f ca="1"/>
        <v>5.5854409530841802E-2</v>
      </c>
      <c r="C424" s="2">
        <f ca="1"/>
        <v>3.3334608636718777E-2</v>
      </c>
      <c r="D424" s="2">
        <f ca="1"/>
        <v>4.8807788791254393E-2</v>
      </c>
      <c r="E424" s="2">
        <f ca="1"/>
        <v>5.3169444202076609E-3</v>
      </c>
      <c r="F424" s="2">
        <f ca="1"/>
        <v>5.5114208582888742E-2</v>
      </c>
      <c r="G424" s="2">
        <f ca="1"/>
        <v>5.6555960095415511E-2</v>
      </c>
      <c r="H424" s="2">
        <f ca="1"/>
        <v>5.8965703374878185E-2</v>
      </c>
      <c r="I424" s="2" t="str">
        <f ca="1"/>
        <v/>
      </c>
      <c r="J424" s="2" t="str">
        <f ca="1"/>
        <v/>
      </c>
      <c r="K424" s="2">
        <f ca="1"/>
        <v>3.7228834956458984E-2</v>
      </c>
      <c r="L424" s="2">
        <f ca="1"/>
        <v>4.9156897846047348E-2</v>
      </c>
      <c r="M424" s="2">
        <f ca="1"/>
        <v>2.9447995510600712E-2</v>
      </c>
      <c r="N424" s="2">
        <f ca="1"/>
        <v>5.141468231362277E-2</v>
      </c>
      <c r="O424" s="2" t="str">
        <f ca="1"/>
        <v/>
      </c>
      <c r="P424" s="2">
        <f ca="1"/>
        <v>3.9248131484029329E-2</v>
      </c>
      <c r="Q424" s="2">
        <f ca="1"/>
        <v>4.8649455305178363E-2</v>
      </c>
      <c r="R424" s="2">
        <f ca="1"/>
        <v>6.6630378116470976E-2</v>
      </c>
      <c r="S424" s="2">
        <f ca="1"/>
        <v>4.3632569672417534E-2</v>
      </c>
      <c r="T424" s="2">
        <f ca="1"/>
        <v>4.5734935000829618E-2</v>
      </c>
      <c r="U424" s="2">
        <f ca="1"/>
        <v>4.7465829176213649E-2</v>
      </c>
      <c r="V424" s="2">
        <f ca="1"/>
        <v>5.1472301000835635E-2</v>
      </c>
      <c r="W424" s="2">
        <f ca="1"/>
        <v>4.3242959328780022E-2</v>
      </c>
      <c r="X424" s="2">
        <f ca="1"/>
        <v>5.6091342423234609E-2</v>
      </c>
      <c r="Y424" s="2">
        <f ca="1"/>
        <v>3.9690091069729552E-2</v>
      </c>
      <c r="Z424" s="2">
        <f ca="1"/>
        <v>6.7189631650750314E-2</v>
      </c>
      <c r="AA424" s="2">
        <f ca="1"/>
        <v>4.3869843114468399E-2</v>
      </c>
      <c r="AB424" s="2" t="str">
        <f ca="1"/>
        <v/>
      </c>
      <c r="AC424" s="2">
        <f ca="1"/>
        <v>6.0889119529493066E-2</v>
      </c>
      <c r="AD424" s="2">
        <f ca="1"/>
        <v>3.3820641501200177E-2</v>
      </c>
      <c r="AE424" s="2" t="str">
        <f ca="1"/>
        <v/>
      </c>
      <c r="AF424" s="2">
        <f ca="1"/>
        <v>3.7547147386454258E-3</v>
      </c>
      <c r="AG424" s="26" t="str">
        <f ca="1"/>
        <v/>
      </c>
      <c r="AH424" s="26">
        <f ca="1"/>
        <v>6.5700000000000008E-2</v>
      </c>
    </row>
    <row r="425" spans="1:34">
      <c r="A425" s="5">
        <f ca="1"/>
        <v>41729</v>
      </c>
      <c r="B425" s="2">
        <f ca="1"/>
        <v>-5.6571164349674746E-3</v>
      </c>
      <c r="C425" s="2">
        <f ca="1"/>
        <v>3.0921073510277074E-2</v>
      </c>
      <c r="D425" s="2">
        <f ca="1"/>
        <v>4.9786956250864019E-3</v>
      </c>
      <c r="E425" s="2">
        <f ca="1"/>
        <v>-1.7032725615809517E-3</v>
      </c>
      <c r="F425" s="2">
        <f ca="1"/>
        <v>-5.7975450861216084E-3</v>
      </c>
      <c r="G425" s="2">
        <f ca="1"/>
        <v>-5.5153779779750648E-3</v>
      </c>
      <c r="H425" s="2">
        <f ca="1"/>
        <v>-2.3592154714626976E-2</v>
      </c>
      <c r="I425" s="2" t="str">
        <f ca="1"/>
        <v/>
      </c>
      <c r="J425" s="2" t="str">
        <f ca="1"/>
        <v/>
      </c>
      <c r="K425" s="2">
        <f ca="1"/>
        <v>1.0519386969373344E-2</v>
      </c>
      <c r="L425" s="2">
        <f ca="1"/>
        <v>3.7015122535191077E-3</v>
      </c>
      <c r="M425" s="2">
        <f ca="1"/>
        <v>2.9875353166029621E-2</v>
      </c>
      <c r="N425" s="2">
        <f ca="1"/>
        <v>3.0124833843842638E-3</v>
      </c>
      <c r="O425" s="2" t="str">
        <f ca="1"/>
        <v/>
      </c>
      <c r="P425" s="2">
        <f ca="1"/>
        <v>2.4661430846020301E-2</v>
      </c>
      <c r="Q425" s="2">
        <f ca="1"/>
        <v>-4.866941795930088E-3</v>
      </c>
      <c r="R425" s="2">
        <f ca="1"/>
        <v>-3.3810834704981751E-2</v>
      </c>
      <c r="S425" s="2">
        <f ca="1"/>
        <v>8.3031116799892526E-3</v>
      </c>
      <c r="T425" s="2">
        <f ca="1"/>
        <v>8.4079725476965787E-3</v>
      </c>
      <c r="U425" s="2">
        <f ca="1"/>
        <v>6.369475227858995E-3</v>
      </c>
      <c r="V425" s="2">
        <f ca="1"/>
        <v>-1.0085396701031436E-2</v>
      </c>
      <c r="W425" s="2">
        <f ca="1"/>
        <v>2.387287936480708E-2</v>
      </c>
      <c r="X425" s="2">
        <f ca="1"/>
        <v>-1.5906181417473995E-2</v>
      </c>
      <c r="Y425" s="2">
        <f ca="1"/>
        <v>2.685025904157607E-2</v>
      </c>
      <c r="Z425" s="2">
        <f ca="1"/>
        <v>-3.4188527957725402E-2</v>
      </c>
      <c r="AA425" s="2">
        <f ca="1"/>
        <v>8.4471136719431565E-3</v>
      </c>
      <c r="AB425" s="2" t="str">
        <f ca="1"/>
        <v/>
      </c>
      <c r="AC425" s="2">
        <f ca="1"/>
        <v>-4.239360834827976E-3</v>
      </c>
      <c r="AD425" s="2">
        <f ca="1"/>
        <v>3.5880118193330465E-2</v>
      </c>
      <c r="AE425" s="2" t="str">
        <f ca="1"/>
        <v/>
      </c>
      <c r="AF425" s="2">
        <f ca="1"/>
        <v>-1.4850309083467522E-3</v>
      </c>
      <c r="AG425" s="26" t="str">
        <f ca="1"/>
        <v/>
      </c>
      <c r="AH425" s="26">
        <f ca="1"/>
        <v>-2.8900000000000002E-2</v>
      </c>
    </row>
    <row r="426" spans="1:34">
      <c r="A426" s="5">
        <f ca="1"/>
        <v>41759</v>
      </c>
      <c r="B426" s="2">
        <f ca="1"/>
        <v>1.5290413968795808E-2</v>
      </c>
      <c r="C426" s="2">
        <f ca="1"/>
        <v>3.7248342807888806E-3</v>
      </c>
      <c r="D426" s="2">
        <f ca="1"/>
        <v>1.0048219594567148E-2</v>
      </c>
      <c r="E426" s="2">
        <f ca="1"/>
        <v>8.4385205148965695E-3</v>
      </c>
      <c r="F426" s="2">
        <f ca="1"/>
        <v>8.0578745360159777E-3</v>
      </c>
      <c r="G426" s="2">
        <f ca="1"/>
        <v>2.258368122000233E-2</v>
      </c>
      <c r="H426" s="2">
        <f ca="1"/>
        <v>-1.1290234609361006E-2</v>
      </c>
      <c r="I426" s="2" t="str">
        <f ca="1"/>
        <v/>
      </c>
      <c r="J426" s="2" t="str">
        <f ca="1"/>
        <v/>
      </c>
      <c r="K426" s="2">
        <f ca="1"/>
        <v>1.502488785104163E-2</v>
      </c>
      <c r="L426" s="2">
        <f ca="1"/>
        <v>2.288804803816738E-2</v>
      </c>
      <c r="M426" s="2">
        <f ca="1"/>
        <v>1.6363389900528606E-2</v>
      </c>
      <c r="N426" s="2">
        <f ca="1"/>
        <v>1.5672603913829481E-2</v>
      </c>
      <c r="O426" s="2" t="str">
        <f ca="1"/>
        <v/>
      </c>
      <c r="P426" s="2">
        <f ca="1"/>
        <v>3.0554076350263994E-4</v>
      </c>
      <c r="Q426" s="2">
        <f ca="1"/>
        <v>9.3953781031919266E-3</v>
      </c>
      <c r="R426" s="2">
        <f ca="1"/>
        <v>-8.7708204697112581E-3</v>
      </c>
      <c r="S426" s="2">
        <f ca="1"/>
        <v>1.3951346597414711E-2</v>
      </c>
      <c r="T426" s="2">
        <f ca="1"/>
        <v>7.3893688328644774E-3</v>
      </c>
      <c r="U426" s="2">
        <f ca="1"/>
        <v>4.7065220819739306E-3</v>
      </c>
      <c r="V426" s="2">
        <f ca="1"/>
        <v>4.1723615186909735E-5</v>
      </c>
      <c r="W426" s="2">
        <f ca="1"/>
        <v>9.5031602834192083E-3</v>
      </c>
      <c r="X426" s="2">
        <f ca="1"/>
        <v>4.2789901583223394E-4</v>
      </c>
      <c r="Y426" s="2">
        <f ca="1"/>
        <v>8.5776469082063239E-3</v>
      </c>
      <c r="Z426" s="2">
        <f ca="1"/>
        <v>-9.9436526350679798E-3</v>
      </c>
      <c r="AA426" s="2">
        <f ca="1"/>
        <v>1.3314840499306563E-2</v>
      </c>
      <c r="AB426" s="2" t="str">
        <f ca="1"/>
        <v/>
      </c>
      <c r="AC426" s="2">
        <f ca="1"/>
        <v>1.1791796299328722E-2</v>
      </c>
      <c r="AD426" s="2">
        <f ca="1"/>
        <v>9.7799511002446236E-3</v>
      </c>
      <c r="AE426" s="2" t="str">
        <f ca="1"/>
        <v/>
      </c>
      <c r="AF426" s="2">
        <f ca="1"/>
        <v>8.2190788592570469E-3</v>
      </c>
      <c r="AG426" s="26" t="str">
        <f ca="1"/>
        <v/>
      </c>
      <c r="AH426" s="26">
        <f ca="1"/>
        <v>9.7000000000000003E-3</v>
      </c>
    </row>
    <row r="427" spans="1:34">
      <c r="A427" s="5">
        <f ca="1"/>
        <v>41789</v>
      </c>
      <c r="B427" s="2">
        <f ca="1"/>
        <v>1.756245963938937E-2</v>
      </c>
      <c r="C427" s="2">
        <f ca="1"/>
        <v>3.5131930032611926E-2</v>
      </c>
      <c r="D427" s="2">
        <f ca="1"/>
        <v>2.2136740504724636E-2</v>
      </c>
      <c r="E427" s="2">
        <f ca="1"/>
        <v>1.1385311708604927E-2</v>
      </c>
      <c r="F427" s="2">
        <f ca="1"/>
        <v>2.0657313964566115E-2</v>
      </c>
      <c r="G427" s="2">
        <f ca="1"/>
        <v>1.4470113763730591E-2</v>
      </c>
      <c r="H427" s="2">
        <f ca="1"/>
        <v>3.5873025880276126E-2</v>
      </c>
      <c r="I427" s="2" t="str">
        <f ca="1"/>
        <v/>
      </c>
      <c r="J427" s="2" t="str">
        <f ca="1"/>
        <v/>
      </c>
      <c r="K427" s="2">
        <f ca="1"/>
        <v>1.6110186166187316E-2</v>
      </c>
      <c r="L427" s="2">
        <f ca="1"/>
        <v>2.3675974883228409E-2</v>
      </c>
      <c r="M427" s="2">
        <f ca="1"/>
        <v>2.3835532917550507E-2</v>
      </c>
      <c r="N427" s="2">
        <f ca="1"/>
        <v>2.194770843231654E-2</v>
      </c>
      <c r="O427" s="2" t="str">
        <f ca="1"/>
        <v/>
      </c>
      <c r="P427" s="2">
        <f ca="1"/>
        <v>3.4890824358996757E-2</v>
      </c>
      <c r="Q427" s="2">
        <f ca="1"/>
        <v>2.1739746405043607E-2</v>
      </c>
      <c r="R427" s="2">
        <f ca="1"/>
        <v>3.9979286121701527E-2</v>
      </c>
      <c r="S427" s="2">
        <f ca="1"/>
        <v>1.1578667430394913E-2</v>
      </c>
      <c r="T427" s="2">
        <f ca="1"/>
        <v>2.34655867401172E-2</v>
      </c>
      <c r="U427" s="2">
        <f ca="1"/>
        <v>2.2979186987750377E-2</v>
      </c>
      <c r="V427" s="2">
        <f ca="1"/>
        <v>3.116371157794658E-2</v>
      </c>
      <c r="W427" s="2">
        <f ca="1"/>
        <v>1.4645538459873248E-2</v>
      </c>
      <c r="X427" s="2">
        <f ca="1"/>
        <v>3.5714285714285768E-2</v>
      </c>
      <c r="Y427" s="2">
        <f ca="1"/>
        <v>1.3835998984513908E-2</v>
      </c>
      <c r="Z427" s="2">
        <f ca="1"/>
        <v>4.0676263809842718E-2</v>
      </c>
      <c r="AA427" s="2">
        <f ca="1"/>
        <v>1.1497399397755284E-2</v>
      </c>
      <c r="AB427" s="2" t="str">
        <f ca="1"/>
        <v/>
      </c>
      <c r="AC427" s="2">
        <f ca="1"/>
        <v>1.6019954644856251E-2</v>
      </c>
      <c r="AD427" s="2">
        <f ca="1"/>
        <v>2.8046811945117017E-2</v>
      </c>
      <c r="AE427" s="2" t="str">
        <f ca="1"/>
        <v/>
      </c>
      <c r="AF427" s="2">
        <f ca="1"/>
        <v>1.1791137045014357E-2</v>
      </c>
      <c r="AG427" s="26" t="str">
        <f ca="1"/>
        <v/>
      </c>
      <c r="AH427" s="26">
        <f ca="1"/>
        <v>-3.8800000000000001E-2</v>
      </c>
    </row>
    <row r="428" spans="1:34">
      <c r="A428" s="5">
        <f ca="1"/>
        <v>41820</v>
      </c>
      <c r="B428" s="2">
        <f ca="1"/>
        <v>9.9497042407652118E-3</v>
      </c>
      <c r="C428" s="2">
        <f ca="1"/>
        <v>2.7021288153002133E-2</v>
      </c>
      <c r="D428" s="2">
        <f ca="1"/>
        <v>1.9261972485507293E-2</v>
      </c>
      <c r="E428" s="2">
        <f ca="1"/>
        <v>5.167738395230909E-4</v>
      </c>
      <c r="F428" s="2">
        <f ca="1"/>
        <v>7.5727599236674716E-3</v>
      </c>
      <c r="G428" s="2">
        <f ca="1"/>
        <v>1.2329577874095823E-2</v>
      </c>
      <c r="H428" s="2">
        <f ca="1"/>
        <v>2.1651806092328318E-2</v>
      </c>
      <c r="I428" s="2" t="str">
        <f ca="1"/>
        <v/>
      </c>
      <c r="J428" s="2" t="str">
        <f ca="1"/>
        <v/>
      </c>
      <c r="K428" s="2">
        <f ca="1"/>
        <v>1.7666054958411836E-2</v>
      </c>
      <c r="L428" s="2">
        <f ca="1"/>
        <v>1.561968105999118E-2</v>
      </c>
      <c r="M428" s="2">
        <f ca="1"/>
        <v>2.1518916672352974E-2</v>
      </c>
      <c r="N428" s="2">
        <f ca="1"/>
        <v>1.4315254801820883E-2</v>
      </c>
      <c r="O428" s="2" t="str">
        <f ca="1"/>
        <v/>
      </c>
      <c r="P428" s="2">
        <f ca="1"/>
        <v>3.5738379545301319E-2</v>
      </c>
      <c r="Q428" s="2">
        <f ca="1"/>
        <v>6.0247228558155744E-3</v>
      </c>
      <c r="R428" s="2">
        <f ca="1"/>
        <v>2.1050580568805936E-2</v>
      </c>
      <c r="S428" s="2">
        <f ca="1"/>
        <v>1.3124633460737436E-2</v>
      </c>
      <c r="T428" s="2">
        <f ca="1"/>
        <v>2.0658274819809322E-2</v>
      </c>
      <c r="U428" s="2">
        <f ca="1"/>
        <v>2.2745484418338124E-2</v>
      </c>
      <c r="V428" s="2">
        <f ca="1"/>
        <v>1.9488696065845901E-2</v>
      </c>
      <c r="W428" s="2">
        <f ca="1"/>
        <v>2.6120321861111698E-2</v>
      </c>
      <c r="X428" s="2">
        <f ca="1"/>
        <v>2.3933582831515209E-2</v>
      </c>
      <c r="Y428" s="2">
        <f ca="1"/>
        <v>1.9211129683163439E-2</v>
      </c>
      <c r="Z428" s="2">
        <f ca="1"/>
        <v>2.0700692500234916E-2</v>
      </c>
      <c r="AA428" s="2">
        <f ca="1"/>
        <v>1.2424048583525948E-2</v>
      </c>
      <c r="AB428" s="2" t="str">
        <f ca="1"/>
        <v/>
      </c>
      <c r="AC428" s="2">
        <f ca="1"/>
        <v>9.6079876242845998E-3</v>
      </c>
      <c r="AD428" s="2">
        <f ca="1"/>
        <v>2.3455386044681937E-2</v>
      </c>
      <c r="AE428" s="2" t="str">
        <f ca="1"/>
        <v/>
      </c>
      <c r="AF428" s="2">
        <f ca="1"/>
        <v>-5.6939686883021926E-4</v>
      </c>
      <c r="AG428" s="26" t="str">
        <f ca="1"/>
        <v/>
      </c>
      <c r="AH428" s="26">
        <f ca="1"/>
        <v>6.13E-2</v>
      </c>
    </row>
    <row r="429" spans="1:34">
      <c r="A429" s="5">
        <f ca="1"/>
        <v>41851</v>
      </c>
      <c r="B429" s="2">
        <f ca="1"/>
        <v>-1.9608613548751926E-2</v>
      </c>
      <c r="C429" s="2">
        <f ca="1"/>
        <v>2.0155881122613375E-2</v>
      </c>
      <c r="D429" s="2">
        <f ca="1"/>
        <v>-1.182595331860537E-2</v>
      </c>
      <c r="E429" s="2">
        <f ca="1"/>
        <v>-2.5079872204473038E-3</v>
      </c>
      <c r="F429" s="2">
        <f ca="1"/>
        <v>-2.2881370434276134E-2</v>
      </c>
      <c r="G429" s="2">
        <f ca="1"/>
        <v>-1.6343656133815963E-2</v>
      </c>
      <c r="H429" s="2">
        <f ca="1"/>
        <v>-1.8072827462953297E-2</v>
      </c>
      <c r="I429" s="2" t="str">
        <f ca="1"/>
        <v/>
      </c>
      <c r="J429" s="2" t="str">
        <f ca="1"/>
        <v/>
      </c>
      <c r="K429" s="2">
        <f ca="1"/>
        <v>-6.3582765908864114E-3</v>
      </c>
      <c r="L429" s="2">
        <f ca="1"/>
        <v>-4.3895270139615141E-3</v>
      </c>
      <c r="M429" s="2">
        <f ca="1"/>
        <v>1.4574072724622895E-2</v>
      </c>
      <c r="N429" s="2">
        <f ca="1"/>
        <v>-7.5457499572430123E-3</v>
      </c>
      <c r="O429" s="2" t="str">
        <f ca="1"/>
        <v/>
      </c>
      <c r="P429" s="2">
        <f ca="1"/>
        <v>1.8197065672273624E-2</v>
      </c>
      <c r="Q429" s="2">
        <f ca="1"/>
        <v>-8.0560685833998315E-3</v>
      </c>
      <c r="R429" s="2">
        <f ca="1"/>
        <v>-1.0714689584982529E-2</v>
      </c>
      <c r="S429" s="2">
        <f ca="1"/>
        <v>-1.5150305401413338E-2</v>
      </c>
      <c r="T429" s="2">
        <f ca="1"/>
        <v>-1.3792283216215713E-2</v>
      </c>
      <c r="U429" s="2">
        <f ca="1"/>
        <v>-1.6169971581910976E-2</v>
      </c>
      <c r="V429" s="2">
        <f ca="1"/>
        <v>-1.530734964449613E-2</v>
      </c>
      <c r="W429" s="2">
        <f ca="1"/>
        <v>-1.7041033985032126E-2</v>
      </c>
      <c r="X429" s="2">
        <f ca="1"/>
        <v>-1.5571284125379305E-2</v>
      </c>
      <c r="Y429" s="2">
        <f ca="1"/>
        <v>-1.198270537368739E-2</v>
      </c>
      <c r="Z429" s="2">
        <f ca="1"/>
        <v>-1.0431157129307526E-2</v>
      </c>
      <c r="AA429" s="2">
        <f ca="1"/>
        <v>-1.4239656098871579E-2</v>
      </c>
      <c r="AB429" s="2" t="str">
        <f ca="1"/>
        <v/>
      </c>
      <c r="AC429" s="2">
        <f ca="1"/>
        <v>-2.5719337727053444E-2</v>
      </c>
      <c r="AD429" s="2">
        <f ca="1"/>
        <v>1.0058027079303689E-2</v>
      </c>
      <c r="AE429" s="2" t="str">
        <f ca="1"/>
        <v/>
      </c>
      <c r="AF429" s="2">
        <f ca="1"/>
        <v>-2.510777259425564E-3</v>
      </c>
      <c r="AG429" s="26" t="str">
        <f ca="1"/>
        <v/>
      </c>
      <c r="AH429" s="26">
        <f ca="1"/>
        <v>-3.0800000000000001E-2</v>
      </c>
    </row>
    <row r="430" spans="1:34">
      <c r="A430" s="5">
        <f ca="1"/>
        <v>41880</v>
      </c>
      <c r="B430" s="2">
        <f ca="1"/>
        <v>-1.4518811011378573E-3</v>
      </c>
      <c r="C430" s="2">
        <f ca="1"/>
        <v>2.2934331270531717E-2</v>
      </c>
      <c r="D430" s="2">
        <f ca="1"/>
        <v>2.2500262444740789E-2</v>
      </c>
      <c r="E430" s="2">
        <f ca="1"/>
        <v>1.1039401267289136E-2</v>
      </c>
      <c r="F430" s="2">
        <f ca="1"/>
        <v>2.4019759606494174E-3</v>
      </c>
      <c r="G430" s="2">
        <f ca="1"/>
        <v>-5.2717744303369483E-3</v>
      </c>
      <c r="H430" s="2">
        <f ca="1"/>
        <v>2.984916162987335E-2</v>
      </c>
      <c r="I430" s="2" t="str">
        <f ca="1"/>
        <v/>
      </c>
      <c r="J430" s="2" t="str">
        <f ca="1"/>
        <v/>
      </c>
      <c r="K430" s="2">
        <f ca="1"/>
        <v>3.1641280971039576E-2</v>
      </c>
      <c r="L430" s="2">
        <f ca="1"/>
        <v>6.1245233424618755E-3</v>
      </c>
      <c r="M430" s="2">
        <f ca="1"/>
        <v>2.4054921113744677E-2</v>
      </c>
      <c r="N430" s="2">
        <f ca="1"/>
        <v>3.231498841954332E-2</v>
      </c>
      <c r="O430" s="2" t="str">
        <f ca="1"/>
        <v/>
      </c>
      <c r="P430" s="2">
        <f ca="1"/>
        <v>2.3653214134354863E-2</v>
      </c>
      <c r="Q430" s="2">
        <f ca="1"/>
        <v>4.522054481412259E-2</v>
      </c>
      <c r="R430" s="2">
        <f ca="1"/>
        <v>4.6616466150372932E-2</v>
      </c>
      <c r="S430" s="2">
        <f ca="1"/>
        <v>4.0677759987028675E-2</v>
      </c>
      <c r="T430" s="2">
        <f ca="1"/>
        <v>4.0001316681975756E-2</v>
      </c>
      <c r="U430" s="2">
        <f ca="1"/>
        <v>4.1319960012021303E-2</v>
      </c>
      <c r="V430" s="2">
        <f ca="1"/>
        <v>4.5817618666093456E-2</v>
      </c>
      <c r="W430" s="2">
        <f ca="1"/>
        <v>3.6754822417797282E-2</v>
      </c>
      <c r="X430" s="2">
        <f ca="1"/>
        <v>4.6014790468364868E-2</v>
      </c>
      <c r="Y430" s="2">
        <f ca="1"/>
        <v>3.4383595898974752E-2</v>
      </c>
      <c r="Z430" s="2">
        <f ca="1"/>
        <v>4.6004301109622434E-2</v>
      </c>
      <c r="AA430" s="2">
        <f ca="1"/>
        <v>3.9792859089670236E-2</v>
      </c>
      <c r="AB430" s="2" t="str">
        <f ca="1"/>
        <v/>
      </c>
      <c r="AC430" s="2">
        <f ca="1"/>
        <v>1.9798713083648907E-3</v>
      </c>
      <c r="AD430" s="2">
        <f ca="1"/>
        <v>3.332056683263112E-2</v>
      </c>
      <c r="AE430" s="2" t="str">
        <f ca="1"/>
        <v/>
      </c>
      <c r="AF430" s="2">
        <f ca="1"/>
        <v>1.1489547766022398E-2</v>
      </c>
      <c r="AG430" s="26" t="str">
        <f ca="1"/>
        <v/>
      </c>
      <c r="AH430" s="26">
        <f ca="1"/>
        <v>4.0999999999999995E-3</v>
      </c>
    </row>
    <row r="431" spans="1:34">
      <c r="A431" s="5">
        <f ca="1"/>
        <v>41912</v>
      </c>
      <c r="B431" s="2">
        <f ca="1"/>
        <v>-3.8072135396442101E-2</v>
      </c>
      <c r="C431" s="2">
        <f ca="1"/>
        <v>-7.391366449038636E-2</v>
      </c>
      <c r="D431" s="2">
        <f ca="1"/>
        <v>-3.2042507021973421E-2</v>
      </c>
      <c r="E431" s="2">
        <f ca="1"/>
        <v>-6.7899702740804382E-3</v>
      </c>
      <c r="F431" s="2">
        <f ca="1"/>
        <v>-3.5352540801928407E-2</v>
      </c>
      <c r="G431" s="2">
        <f ca="1"/>
        <v>-4.0785878164733835E-2</v>
      </c>
      <c r="H431" s="2">
        <f ca="1"/>
        <v>-2.1693826905941897E-2</v>
      </c>
      <c r="I431" s="2" t="str">
        <f ca="1"/>
        <v/>
      </c>
      <c r="J431" s="2" t="str">
        <f ca="1"/>
        <v/>
      </c>
      <c r="K431" s="2">
        <f ca="1"/>
        <v>-2.2788931090613054E-2</v>
      </c>
      <c r="L431" s="2">
        <f ca="1"/>
        <v>-3.9966024696442184E-2</v>
      </c>
      <c r="M431" s="2">
        <f ca="1"/>
        <v>-4.2724802010579002E-2</v>
      </c>
      <c r="N431" s="2">
        <f ca="1"/>
        <v>-2.3263888888888834E-2</v>
      </c>
      <c r="O431" s="2" t="str">
        <f ca="1"/>
        <v/>
      </c>
      <c r="P431" s="2">
        <f ca="1"/>
        <v>-5.3228137327656987E-2</v>
      </c>
      <c r="Q431" s="2">
        <f ca="1"/>
        <v>-1.034909071572898E-2</v>
      </c>
      <c r="R431" s="2">
        <f ca="1"/>
        <v>-6.0137750261097123E-3</v>
      </c>
      <c r="S431" s="2">
        <f ca="1"/>
        <v>-7.6111089471428981E-3</v>
      </c>
      <c r="T431" s="2">
        <f ca="1"/>
        <v>-1.4022338632822061E-2</v>
      </c>
      <c r="U431" s="2">
        <f ca="1"/>
        <v>-1.7530971491446279E-2</v>
      </c>
      <c r="V431" s="2">
        <f ca="1"/>
        <v>-1.4505735260112963E-2</v>
      </c>
      <c r="W431" s="2">
        <f ca="1"/>
        <v>-2.0628355487164577E-2</v>
      </c>
      <c r="X431" s="2">
        <f ca="1"/>
        <v>-1.8356323021484027E-2</v>
      </c>
      <c r="Y431" s="2">
        <f ca="1"/>
        <v>-1.2821965423254329E-2</v>
      </c>
      <c r="Z431" s="2">
        <f ca="1"/>
        <v>-6.6909013211933124E-3</v>
      </c>
      <c r="AA431" s="2">
        <f ca="1"/>
        <v>-7.8618260558746007E-3</v>
      </c>
      <c r="AB431" s="2" t="str">
        <f ca="1"/>
        <v/>
      </c>
      <c r="AC431" s="2">
        <f ca="1"/>
        <v>-4.1001152642845339E-2</v>
      </c>
      <c r="AD431" s="2">
        <f ca="1"/>
        <v>-7.2646404744255003E-2</v>
      </c>
      <c r="AE431" s="2" t="str">
        <f ca="1"/>
        <v/>
      </c>
      <c r="AF431" s="2">
        <f ca="1"/>
        <v>-6.1461417986126837E-3</v>
      </c>
      <c r="AG431" s="26" t="str">
        <f ca="1"/>
        <v/>
      </c>
      <c r="AH431" s="26">
        <f ca="1"/>
        <v>-5.91E-2</v>
      </c>
    </row>
    <row r="432" spans="1:34">
      <c r="A432" s="5">
        <f ca="1"/>
        <v>41943</v>
      </c>
      <c r="B432" s="2">
        <f ca="1"/>
        <v>-1.4487584286976643E-2</v>
      </c>
      <c r="C432" s="2">
        <f ca="1"/>
        <v>1.1905768800218942E-2</v>
      </c>
      <c r="D432" s="2">
        <f ca="1"/>
        <v>7.2688274547186892E-3</v>
      </c>
      <c r="E432" s="2">
        <f ca="1"/>
        <v>9.8293029115788071E-3</v>
      </c>
      <c r="F432" s="2">
        <f ca="1"/>
        <v>-8.8126227897839162E-3</v>
      </c>
      <c r="G432" s="2">
        <f ca="1"/>
        <v>-2.018580978695202E-2</v>
      </c>
      <c r="H432" s="2">
        <f ca="1"/>
        <v>7.7152943478882678E-3</v>
      </c>
      <c r="I432" s="2" t="str">
        <f ca="1"/>
        <v/>
      </c>
      <c r="J432" s="2">
        <f ca="1"/>
        <v>1.3730777800765058E-2</v>
      </c>
      <c r="K432" s="2">
        <f ca="1"/>
        <v>3.13159355913381E-2</v>
      </c>
      <c r="L432" s="2">
        <f ca="1"/>
        <v>1.0489557360787062E-2</v>
      </c>
      <c r="M432" s="2">
        <f ca="1"/>
        <v>1.1826479836370925E-2</v>
      </c>
      <c r="N432" s="2">
        <f ca="1"/>
        <v>2.100139462386176E-2</v>
      </c>
      <c r="O432" s="2" t="str">
        <f ca="1"/>
        <v/>
      </c>
      <c r="P432" s="2">
        <f ca="1"/>
        <v>2.2409056030890901E-2</v>
      </c>
      <c r="Q432" s="2">
        <f ca="1"/>
        <v>2.8826456938297038E-2</v>
      </c>
      <c r="R432" s="2">
        <f ca="1"/>
        <v>2.3287276123502811E-2</v>
      </c>
      <c r="S432" s="2">
        <f ca="1"/>
        <v>4.3029955725813911E-2</v>
      </c>
      <c r="T432" s="2">
        <f ca="1"/>
        <v>2.4420332047770749E-2</v>
      </c>
      <c r="U432" s="2">
        <f ca="1"/>
        <v>2.4439500620728537E-2</v>
      </c>
      <c r="V432" s="2">
        <f ca="1"/>
        <v>2.6351496277230452E-2</v>
      </c>
      <c r="W432" s="2">
        <f ca="1"/>
        <v>2.2465648304963459E-2</v>
      </c>
      <c r="X432" s="2">
        <f ca="1"/>
        <v>2.9998996689073847E-2</v>
      </c>
      <c r="Y432" s="2">
        <f ca="1"/>
        <v>1.7980295566502377E-2</v>
      </c>
      <c r="Z432" s="2">
        <f ca="1"/>
        <v>2.2953599506705582E-2</v>
      </c>
      <c r="AA432" s="2">
        <f ca="1"/>
        <v>4.2462845010615625E-2</v>
      </c>
      <c r="AB432" s="2" t="str">
        <f ca="1"/>
        <v/>
      </c>
      <c r="AC432" s="2">
        <f ca="1"/>
        <v>-2.9189560439560349E-3</v>
      </c>
      <c r="AD432" s="2">
        <f ca="1"/>
        <v>7.7937649880096375E-3</v>
      </c>
      <c r="AE432" s="2" t="str">
        <f ca="1"/>
        <v/>
      </c>
      <c r="AF432" s="2">
        <f ca="1"/>
        <v>1.0631070389548074E-2</v>
      </c>
      <c r="AG432" s="26" t="str">
        <f ca="1"/>
        <v/>
      </c>
      <c r="AH432" s="26">
        <f ca="1"/>
        <v>-3.2099999999999997E-2</v>
      </c>
    </row>
    <row r="433" spans="1:34">
      <c r="A433" s="5">
        <f ca="1"/>
        <v>41971</v>
      </c>
      <c r="B433" s="2">
        <f ca="1"/>
        <v>1.3722224192173796E-2</v>
      </c>
      <c r="C433" s="2">
        <f ca="1"/>
        <v>-1.0516844651601914E-2</v>
      </c>
      <c r="D433" s="2">
        <f ca="1"/>
        <v>1.7154973265230015E-2</v>
      </c>
      <c r="E433" s="2">
        <f ca="1"/>
        <v>7.0962307854285211E-3</v>
      </c>
      <c r="F433" s="2">
        <f ca="1"/>
        <v>2.1546400437054067E-2</v>
      </c>
      <c r="G433" s="2">
        <f ca="1"/>
        <v>5.8025772312847298E-3</v>
      </c>
      <c r="H433" s="2">
        <f ca="1"/>
        <v>2.9967582425790736E-2</v>
      </c>
      <c r="I433" s="2" t="str">
        <f ca="1"/>
        <v/>
      </c>
      <c r="J433" s="2">
        <f ca="1"/>
        <v>8.5405721056787431E-4</v>
      </c>
      <c r="K433" s="2">
        <f ca="1"/>
        <v>1.6928020492709174E-2</v>
      </c>
      <c r="L433" s="2">
        <f ca="1"/>
        <v>5.9299155617169265E-3</v>
      </c>
      <c r="M433" s="2">
        <f ca="1"/>
        <v>-1.3432133331724208E-2</v>
      </c>
      <c r="N433" s="2">
        <f ca="1"/>
        <v>2.2712055066020351E-2</v>
      </c>
      <c r="O433" s="2" t="str">
        <f ca="1"/>
        <v/>
      </c>
      <c r="P433" s="2">
        <f ca="1"/>
        <v>-4.519153949821361E-3</v>
      </c>
      <c r="Q433" s="2">
        <f ca="1"/>
        <v>2.3971328411116134E-2</v>
      </c>
      <c r="R433" s="2">
        <f ca="1"/>
        <v>3.785728187266376E-2</v>
      </c>
      <c r="S433" s="2">
        <f ca="1"/>
        <v>3.4451096752828973E-2</v>
      </c>
      <c r="T433" s="2">
        <f ca="1"/>
        <v>2.6882262290486705E-2</v>
      </c>
      <c r="U433" s="2">
        <f ca="1"/>
        <v>2.6180757382424719E-2</v>
      </c>
      <c r="V433" s="2">
        <f ca="1"/>
        <v>3.168809996097445E-2</v>
      </c>
      <c r="W433" s="2">
        <f ca="1"/>
        <v>2.0476100320835765E-2</v>
      </c>
      <c r="X433" s="2">
        <f ca="1"/>
        <v>3.0586401714397062E-2</v>
      </c>
      <c r="Y433" s="2">
        <f ca="1"/>
        <v>2.4679409629808902E-2</v>
      </c>
      <c r="Z433" s="2">
        <f ca="1"/>
        <v>3.7538238972859857E-2</v>
      </c>
      <c r="AA433" s="2">
        <f ca="1"/>
        <v>3.5641547861507118E-2</v>
      </c>
      <c r="AB433" s="2" t="str">
        <f ca="1"/>
        <v/>
      </c>
      <c r="AC433" s="2">
        <f ca="1"/>
        <v>-1.7220595832612319E-4</v>
      </c>
      <c r="AD433" s="2">
        <f ca="1"/>
        <v>-1.2889153281776701E-2</v>
      </c>
      <c r="AE433" s="2" t="str">
        <f ca="1"/>
        <v/>
      </c>
      <c r="AF433" s="2">
        <f ca="1"/>
        <v>6.5732983108963139E-3</v>
      </c>
      <c r="AG433" s="26" t="str">
        <f ca="1"/>
        <v/>
      </c>
      <c r="AH433" s="26">
        <f ca="1"/>
        <v>3.0999999999999999E-3</v>
      </c>
    </row>
    <row r="434" spans="1:34">
      <c r="A434" s="5">
        <f ca="1"/>
        <v>42004</v>
      </c>
      <c r="B434" s="2">
        <f ca="1"/>
        <v>-3.4378460691817915E-2</v>
      </c>
      <c r="C434" s="2">
        <f ca="1"/>
        <v>-4.5615133491346528E-2</v>
      </c>
      <c r="D434" s="2">
        <f ca="1"/>
        <v>-1.8879909613646825E-2</v>
      </c>
      <c r="E434" s="2">
        <f ca="1"/>
        <v>9.3566395550628498E-4</v>
      </c>
      <c r="F434" s="2">
        <f ca="1"/>
        <v>-3.4609756119744289E-2</v>
      </c>
      <c r="G434" s="2">
        <f ca="1"/>
        <v>-3.4133929830238871E-2</v>
      </c>
      <c r="H434" s="2">
        <f ca="1"/>
        <v>-1.4243237363115599E-2</v>
      </c>
      <c r="I434" s="2" t="str">
        <f ca="1"/>
        <v/>
      </c>
      <c r="J434" s="2">
        <f ca="1"/>
        <v>-5.3723829680359131E-2</v>
      </c>
      <c r="K434" s="2">
        <f ca="1"/>
        <v>-4.7369594293357109E-3</v>
      </c>
      <c r="L434" s="2">
        <f ca="1"/>
        <v>-1.4908839141472355E-2</v>
      </c>
      <c r="M434" s="2">
        <f ca="1"/>
        <v>-3.1052747467827949E-2</v>
      </c>
      <c r="N434" s="2">
        <f ca="1"/>
        <v>-1.8960324734843548E-2</v>
      </c>
      <c r="O434" s="2" t="str">
        <f ca="1"/>
        <v/>
      </c>
      <c r="P434" s="2">
        <f ca="1"/>
        <v>-4.4391481634605247E-2</v>
      </c>
      <c r="Q434" s="2">
        <f ca="1"/>
        <v>-3.4809218705173801E-3</v>
      </c>
      <c r="R434" s="2">
        <f ca="1"/>
        <v>-1.0462469608401056E-2</v>
      </c>
      <c r="S434" s="2">
        <f ca="1"/>
        <v>1.1640850655160965E-3</v>
      </c>
      <c r="T434" s="2">
        <f ca="1"/>
        <v>-2.5732441534061477E-3</v>
      </c>
      <c r="U434" s="2">
        <f ca="1"/>
        <v>-2.329673704720273E-3</v>
      </c>
      <c r="V434" s="2">
        <f ca="1"/>
        <v>-1.0418077249779775E-2</v>
      </c>
      <c r="W434" s="2">
        <f ca="1"/>
        <v>6.1340505948939599E-3</v>
      </c>
      <c r="X434" s="2">
        <f ca="1"/>
        <v>-9.5234884126654748E-3</v>
      </c>
      <c r="Y434" s="2">
        <f ca="1"/>
        <v>3.5261546340058254E-3</v>
      </c>
      <c r="Z434" s="2">
        <f ca="1"/>
        <v>-8.0611880959671565E-3</v>
      </c>
      <c r="AA434" s="2">
        <f ca="1"/>
        <v>3.8204113865215948E-4</v>
      </c>
      <c r="AB434" s="2" t="str">
        <f ca="1"/>
        <v/>
      </c>
      <c r="AC434" s="2">
        <f ca="1"/>
        <v>-3.7726261585194029E-2</v>
      </c>
      <c r="AD434" s="2">
        <f ca="1"/>
        <v>-4.2081275226515356E-2</v>
      </c>
      <c r="AE434" s="2" t="str">
        <f ca="1"/>
        <v/>
      </c>
      <c r="AF434" s="2">
        <f ca="1"/>
        <v>1.4814783738477616E-3</v>
      </c>
      <c r="AG434" s="26" t="str">
        <f ca="1"/>
        <v/>
      </c>
      <c r="AH434" s="26">
        <f ca="1"/>
        <v>7.6E-3</v>
      </c>
    </row>
    <row r="435" spans="1:34">
      <c r="A435" s="5">
        <f ca="1"/>
        <v>42034</v>
      </c>
      <c r="B435" s="2">
        <f ca="1"/>
        <v>4.9769623245123082E-3</v>
      </c>
      <c r="C435" s="2">
        <f ca="1"/>
        <v>6.0759414585382573E-3</v>
      </c>
      <c r="D435" s="2">
        <f ca="1"/>
        <v>-1.5410729150247498E-2</v>
      </c>
      <c r="E435" s="2">
        <f ca="1"/>
        <v>2.09674808211524E-2</v>
      </c>
      <c r="F435" s="2">
        <f ca="1"/>
        <v>1.2394231204055925E-2</v>
      </c>
      <c r="G435" s="2">
        <f ca="1"/>
        <v>-2.6343039471453627E-3</v>
      </c>
      <c r="H435" s="2">
        <f ca="1"/>
        <v>3.487191560113598E-3</v>
      </c>
      <c r="I435" s="2" t="str">
        <f ca="1"/>
        <v/>
      </c>
      <c r="J435" s="2">
        <f ca="1"/>
        <v>4.2435025503503872E-2</v>
      </c>
      <c r="K435" s="2">
        <f ca="1"/>
        <v>1.4849655635813865E-2</v>
      </c>
      <c r="L435" s="2">
        <f ca="1"/>
        <v>3.77525201815333E-2</v>
      </c>
      <c r="M435" s="2">
        <f ca="1"/>
        <v>1.1015092886585602E-2</v>
      </c>
      <c r="N435" s="2">
        <f ca="1"/>
        <v>-7.3876831905182487E-3</v>
      </c>
      <c r="O435" s="2" t="str">
        <f ca="1"/>
        <v/>
      </c>
      <c r="P435" s="2">
        <f ca="1"/>
        <v>2.6984840644378609E-2</v>
      </c>
      <c r="Q435" s="2">
        <f ca="1"/>
        <v>-1.7081550006717346E-2</v>
      </c>
      <c r="R435" s="2">
        <f ca="1"/>
        <v>-5.7962491014832982E-3</v>
      </c>
      <c r="S435" s="2">
        <f ca="1"/>
        <v>-4.8471371369187945E-3</v>
      </c>
      <c r="T435" s="2">
        <f ca="1"/>
        <v>-3.0018311015140325E-2</v>
      </c>
      <c r="U435" s="2">
        <f ca="1"/>
        <v>-2.74673407379444E-2</v>
      </c>
      <c r="V435" s="2">
        <f ca="1"/>
        <v>-1.531268872266852E-2</v>
      </c>
      <c r="W435" s="2">
        <f ca="1"/>
        <v>-3.9973473397323607E-2</v>
      </c>
      <c r="X435" s="2">
        <f ca="1"/>
        <v>-1.5231343998467298E-2</v>
      </c>
      <c r="Y435" s="2">
        <f ca="1"/>
        <v>-4.0951591904367382E-2</v>
      </c>
      <c r="Z435" s="2">
        <f ca="1"/>
        <v>-6.9056714663530859E-3</v>
      </c>
      <c r="AA435" s="2">
        <f ca="1"/>
        <v>-4.9407114624504854E-3</v>
      </c>
      <c r="AB435" s="2" t="str">
        <f ca="1"/>
        <v/>
      </c>
      <c r="AC435" s="2">
        <f ca="1"/>
        <v>8.4960231381055237E-3</v>
      </c>
      <c r="AD435" s="2">
        <f ca="1"/>
        <v>-2.1263023601958552E-4</v>
      </c>
      <c r="AE435" s="2" t="str">
        <f ca="1"/>
        <v/>
      </c>
      <c r="AF435" s="2">
        <f ca="1"/>
        <v>2.052306574645836E-2</v>
      </c>
      <c r="AG435" s="26" t="str">
        <f ca="1"/>
        <v/>
      </c>
      <c r="AH435" s="26">
        <f ca="1"/>
        <v>7.9699999999999993E-2</v>
      </c>
    </row>
    <row r="436" spans="1:34">
      <c r="A436" s="5">
        <f ca="1"/>
        <v>42062</v>
      </c>
      <c r="B436" s="2">
        <f ca="1"/>
        <v>5.9892790734673441E-2</v>
      </c>
      <c r="C436" s="2">
        <f ca="1"/>
        <v>3.1086340019458158E-2</v>
      </c>
      <c r="D436" s="2">
        <f ca="1"/>
        <v>5.6128666065992164E-2</v>
      </c>
      <c r="E436" s="2">
        <f ca="1"/>
        <v>-9.401438348456732E-3</v>
      </c>
      <c r="F436" s="2">
        <f ca="1"/>
        <v>5.7142706476359426E-2</v>
      </c>
      <c r="G436" s="2">
        <f ca="1"/>
        <v>6.2756734775664624E-2</v>
      </c>
      <c r="H436" s="2">
        <f ca="1"/>
        <v>5.0263929618768285E-2</v>
      </c>
      <c r="I436" s="2" t="str">
        <f ca="1"/>
        <v/>
      </c>
      <c r="J436" s="2">
        <f ca="1"/>
        <v>2.1430952066313905E-2</v>
      </c>
      <c r="K436" s="2">
        <f ca="1"/>
        <v>2.7421900001103394E-2</v>
      </c>
      <c r="L436" s="2">
        <f ca="1"/>
        <v>3.0973850897222533E-2</v>
      </c>
      <c r="M436" s="2">
        <f ca="1"/>
        <v>1.7163657251317403E-2</v>
      </c>
      <c r="N436" s="2">
        <f ca="1"/>
        <v>5.0713675817046243E-2</v>
      </c>
      <c r="O436" s="2" t="str">
        <f ca="1"/>
        <v/>
      </c>
      <c r="P436" s="2">
        <f ca="1"/>
        <v>2.7944359088731524E-2</v>
      </c>
      <c r="Q436" s="2">
        <f ca="1"/>
        <v>6.0446891739727476E-2</v>
      </c>
      <c r="R436" s="2">
        <f ca="1"/>
        <v>5.4580230441098151E-2</v>
      </c>
      <c r="S436" s="2">
        <f ca="1"/>
        <v>3.6640134365415473E-2</v>
      </c>
      <c r="T436" s="2">
        <f ca="1"/>
        <v>5.7470096312590181E-2</v>
      </c>
      <c r="U436" s="2">
        <f ca="1"/>
        <v>5.7780574006219262E-2</v>
      </c>
      <c r="V436" s="2">
        <f ca="1"/>
        <v>6.665487530636488E-2</v>
      </c>
      <c r="W436" s="2">
        <f ca="1"/>
        <v>4.8388902765695442E-2</v>
      </c>
      <c r="X436" s="2">
        <f ca="1"/>
        <v>6.2451361867704336E-2</v>
      </c>
      <c r="Y436" s="2">
        <f ca="1"/>
        <v>5.3066765395532491E-2</v>
      </c>
      <c r="Z436" s="2">
        <f ca="1"/>
        <v>5.4297973072939654E-2</v>
      </c>
      <c r="AA436" s="2">
        <f ca="1"/>
        <v>3.6494538232373301E-2</v>
      </c>
      <c r="AB436" s="2" t="str">
        <f ca="1"/>
        <v/>
      </c>
      <c r="AC436" s="2">
        <f ca="1"/>
        <v>6.2914500806596191E-2</v>
      </c>
      <c r="AD436" s="2">
        <f ca="1"/>
        <v>4.2109740535942179E-2</v>
      </c>
      <c r="AE436" s="2" t="str">
        <f ca="1"/>
        <v/>
      </c>
      <c r="AF436" s="2">
        <f ca="1"/>
        <v>-8.9467681430998071E-3</v>
      </c>
      <c r="AG436" s="26" t="str">
        <f ca="1"/>
        <v/>
      </c>
      <c r="AH436" s="26">
        <f ca="1"/>
        <v>-5.1200000000000002E-2</v>
      </c>
    </row>
    <row r="437" spans="1:34">
      <c r="A437" s="5">
        <f ca="1"/>
        <v>42094</v>
      </c>
      <c r="B437" s="2">
        <f ca="1"/>
        <v>-1.4281406715483199E-2</v>
      </c>
      <c r="C437" s="2">
        <f ca="1"/>
        <v>-1.4023077347761304E-2</v>
      </c>
      <c r="D437" s="2">
        <f ca="1"/>
        <v>-1.4897775105231577E-2</v>
      </c>
      <c r="E437" s="2">
        <f ca="1"/>
        <v>4.6420604758757476E-3</v>
      </c>
      <c r="F437" s="2">
        <f ca="1"/>
        <v>-9.8627165721925144E-3</v>
      </c>
      <c r="G437" s="2">
        <f ca="1"/>
        <v>-1.8858280997998925E-2</v>
      </c>
      <c r="H437" s="2">
        <f ca="1"/>
        <v>-6.9456078628469635E-3</v>
      </c>
      <c r="I437" s="2" t="str">
        <f ca="1"/>
        <v/>
      </c>
      <c r="J437" s="2">
        <f ca="1"/>
        <v>-4.2488680618000922E-4</v>
      </c>
      <c r="K437" s="2">
        <f ca="1"/>
        <v>-1.3962580284836153E-3</v>
      </c>
      <c r="L437" s="2">
        <f ca="1"/>
        <v>-5.3492329637878549E-3</v>
      </c>
      <c r="M437" s="2">
        <f ca="1"/>
        <v>7.893783798714589E-3</v>
      </c>
      <c r="N437" s="2">
        <f ca="1"/>
        <v>-1.7180701305349315E-2</v>
      </c>
      <c r="O437" s="2">
        <f ca="1"/>
        <v>-2.4140849277334429E-2</v>
      </c>
      <c r="P437" s="2">
        <f ca="1"/>
        <v>-9.7954919844108271E-3</v>
      </c>
      <c r="Q437" s="2">
        <f ca="1"/>
        <v>-1.5663552778562035E-2</v>
      </c>
      <c r="R437" s="2">
        <f ca="1"/>
        <v>-1.1524054672259381E-2</v>
      </c>
      <c r="S437" s="2">
        <f ca="1"/>
        <v>-7.2451261821320336E-3</v>
      </c>
      <c r="T437" s="2">
        <f ca="1"/>
        <v>-1.5811647473298326E-2</v>
      </c>
      <c r="U437" s="2">
        <f ca="1"/>
        <v>-1.2452500865677094E-2</v>
      </c>
      <c r="V437" s="2">
        <f ca="1"/>
        <v>-1.1372519462061107E-2</v>
      </c>
      <c r="W437" s="2">
        <f ca="1"/>
        <v>-1.3612500924259942E-2</v>
      </c>
      <c r="X437" s="2">
        <f ca="1"/>
        <v>-3.9241538304199276E-2</v>
      </c>
      <c r="Y437" s="2">
        <f ca="1"/>
        <v>-1.3202527068895747E-2</v>
      </c>
      <c r="Z437" s="2">
        <f ca="1"/>
        <v>-1.0463174518924126E-2</v>
      </c>
      <c r="AA437" s="2">
        <f ca="1"/>
        <v>-7.4266870692233922E-3</v>
      </c>
      <c r="AB437" s="2" t="str">
        <f ca="1"/>
        <v/>
      </c>
      <c r="AC437" s="2">
        <f ca="1"/>
        <v>-1.3659359190556471E-2</v>
      </c>
      <c r="AD437" s="2">
        <f ca="1"/>
        <v>-1.3673469387755224E-2</v>
      </c>
      <c r="AE437" s="2" t="str">
        <f ca="1"/>
        <v/>
      </c>
      <c r="AF437" s="2">
        <f ca="1"/>
        <v>3.7528544199498123E-3</v>
      </c>
      <c r="AG437" s="26" t="str">
        <f ca="1"/>
        <v/>
      </c>
      <c r="AH437" s="26">
        <f ca="1"/>
        <v>-2.4700000000000003E-2</v>
      </c>
    </row>
    <row r="438" spans="1:34">
      <c r="A438" s="5">
        <f ca="1"/>
        <v>42124</v>
      </c>
      <c r="B438" s="2">
        <f ca="1"/>
        <v>4.16337333709473E-2</v>
      </c>
      <c r="C438" s="2">
        <f ca="1"/>
        <v>7.7170156121945208E-2</v>
      </c>
      <c r="D438" s="2">
        <f ca="1"/>
        <v>2.950602023531566E-2</v>
      </c>
      <c r="E438" s="2">
        <f ca="1"/>
        <v>-3.5875269193012121E-3</v>
      </c>
      <c r="F438" s="2">
        <f ca="1"/>
        <v>3.8344297342262711E-2</v>
      </c>
      <c r="G438" s="2">
        <f ca="1"/>
        <v>4.5087376043392621E-2</v>
      </c>
      <c r="H438" s="2">
        <f ca="1"/>
        <v>7.9431467513936937E-3</v>
      </c>
      <c r="I438" s="2" t="str">
        <f ca="1"/>
        <v/>
      </c>
      <c r="J438" s="2">
        <f ca="1"/>
        <v>5.3542639940222909E-2</v>
      </c>
      <c r="K438" s="2">
        <f ca="1"/>
        <v>1.7988513164687685E-2</v>
      </c>
      <c r="L438" s="2">
        <f ca="1"/>
        <v>3.7136513168240209E-2</v>
      </c>
      <c r="M438" s="2">
        <f ca="1"/>
        <v>5.7211067058873716E-2</v>
      </c>
      <c r="N438" s="2">
        <f ca="1"/>
        <v>1.8477163970181242E-2</v>
      </c>
      <c r="O438" s="2">
        <f ca="1"/>
        <v>4.4980121819746303E-2</v>
      </c>
      <c r="P438" s="2">
        <f ca="1"/>
        <v>3.2622985408923479E-2</v>
      </c>
      <c r="Q438" s="2">
        <f ca="1"/>
        <v>3.1114769226932106E-3</v>
      </c>
      <c r="R438" s="2">
        <f ca="1"/>
        <v>-8.7264656553045546E-3</v>
      </c>
      <c r="S438" s="2">
        <f ca="1"/>
        <v>-5.5595370718589058E-3</v>
      </c>
      <c r="T438" s="2">
        <f ca="1"/>
        <v>9.5900961155105952E-3</v>
      </c>
      <c r="U438" s="2">
        <f ca="1"/>
        <v>7.0986435757725954E-3</v>
      </c>
      <c r="V438" s="2">
        <f ca="1"/>
        <v>5.0077981371600367E-3</v>
      </c>
      <c r="W438" s="2">
        <f ca="1"/>
        <v>9.3493283892251665E-3</v>
      </c>
      <c r="X438" s="2">
        <f ca="1"/>
        <v>2.8104387725838953E-2</v>
      </c>
      <c r="Y438" s="2">
        <f ca="1"/>
        <v>1.2783751493428797E-2</v>
      </c>
      <c r="Z438" s="2">
        <f ca="1"/>
        <v>-1.0453432527440588E-2</v>
      </c>
      <c r="AA438" s="2">
        <f ca="1"/>
        <v>-5.8167716917109707E-3</v>
      </c>
      <c r="AB438" s="2" t="str">
        <f ca="1"/>
        <v/>
      </c>
      <c r="AC438" s="2">
        <f ca="1"/>
        <v>3.7185843733971567E-2</v>
      </c>
      <c r="AD438" s="2">
        <f ca="1"/>
        <v>7.2625698324022506E-2</v>
      </c>
      <c r="AE438" s="2" t="str">
        <f ca="1"/>
        <v/>
      </c>
      <c r="AF438" s="2">
        <f ca="1"/>
        <v>-3.2363440535628841E-3</v>
      </c>
      <c r="AG438" s="26" t="str">
        <f ca="1"/>
        <v/>
      </c>
      <c r="AH438" s="26">
        <f ca="1"/>
        <v>-5.9999999999999995E-4</v>
      </c>
    </row>
    <row r="439" spans="1:34">
      <c r="A439" s="5">
        <f ca="1"/>
        <v>42153</v>
      </c>
      <c r="B439" s="2">
        <f ca="1"/>
        <v>-3.9704957516080493E-3</v>
      </c>
      <c r="C439" s="2">
        <f ca="1"/>
        <v>-3.985652784144348E-2</v>
      </c>
      <c r="D439" s="2">
        <f ca="1"/>
        <v>-5.2745352356235839E-4</v>
      </c>
      <c r="E439" s="2">
        <f ca="1"/>
        <v>-2.4088927862172503E-3</v>
      </c>
      <c r="F439" s="2">
        <f ca="1"/>
        <v>9.0759589264269733E-5</v>
      </c>
      <c r="G439" s="2">
        <f ca="1"/>
        <v>-8.2159751366474524E-3</v>
      </c>
      <c r="H439" s="2">
        <f ca="1"/>
        <v>1.6193484946753999E-2</v>
      </c>
      <c r="I439" s="2" t="str">
        <f ca="1"/>
        <v/>
      </c>
      <c r="J439" s="2">
        <f ca="1"/>
        <v>-2.4075170026324533E-2</v>
      </c>
      <c r="K439" s="2">
        <f ca="1"/>
        <v>-1.0084681743503552E-2</v>
      </c>
      <c r="L439" s="2">
        <f ca="1"/>
        <v>-8.9456287715680635E-3</v>
      </c>
      <c r="M439" s="2">
        <f ca="1"/>
        <v>-3.5877022691007107E-2</v>
      </c>
      <c r="N439" s="2">
        <f ca="1"/>
        <v>2.0647817276405992E-3</v>
      </c>
      <c r="O439" s="2">
        <f ca="1"/>
        <v>-4.9305652738498087E-3</v>
      </c>
      <c r="P439" s="2">
        <f ca="1"/>
        <v>-4.0009116200116372E-2</v>
      </c>
      <c r="Q439" s="2">
        <f ca="1"/>
        <v>1.4533203209985444E-2</v>
      </c>
      <c r="R439" s="2">
        <f ca="1"/>
        <v>3.2897833526276156E-2</v>
      </c>
      <c r="S439" s="2">
        <f ca="1"/>
        <v>1.0699594350157601E-2</v>
      </c>
      <c r="T439" s="2">
        <f ca="1"/>
        <v>1.2861234402655367E-2</v>
      </c>
      <c r="U439" s="2">
        <f ca="1"/>
        <v>1.308277536930252E-2</v>
      </c>
      <c r="V439" s="2">
        <f ca="1"/>
        <v>1.4076157985881613E-2</v>
      </c>
      <c r="W439" s="2">
        <f ca="1"/>
        <v>1.2018028693414904E-2</v>
      </c>
      <c r="X439" s="2">
        <f ca="1"/>
        <v>1.4783821478382178E-2</v>
      </c>
      <c r="Y439" s="2">
        <f ca="1"/>
        <v>1.1737643034092327E-2</v>
      </c>
      <c r="Z439" s="2">
        <f ca="1"/>
        <v>3.3709480342126057E-2</v>
      </c>
      <c r="AA439" s="2">
        <f ca="1"/>
        <v>1.0238907849829282E-2</v>
      </c>
      <c r="AB439" s="2" t="str">
        <f ca="1"/>
        <v/>
      </c>
      <c r="AC439" s="2">
        <f ca="1"/>
        <v>3.2143740212642853E-3</v>
      </c>
      <c r="AD439" s="2">
        <f ca="1"/>
        <v>-3.6458333333333294E-2</v>
      </c>
      <c r="AE439" s="2" t="str">
        <f ca="1"/>
        <v/>
      </c>
      <c r="AF439" s="2">
        <f ca="1"/>
        <v>-4.3681713707235592E-3</v>
      </c>
      <c r="AG439" s="26" t="str">
        <f ca="1"/>
        <v/>
      </c>
      <c r="AH439" s="26">
        <f ca="1"/>
        <v>5.8999999999999999E-3</v>
      </c>
    </row>
    <row r="440" spans="1:34">
      <c r="A440" s="5">
        <f ca="1"/>
        <v>42185</v>
      </c>
      <c r="B440" s="2">
        <f ca="1"/>
        <v>-2.8048316917514696E-2</v>
      </c>
      <c r="C440" s="2">
        <f ca="1"/>
        <v>-2.5204872646733129E-2</v>
      </c>
      <c r="D440" s="2">
        <f ca="1"/>
        <v>-2.3099083822855186E-2</v>
      </c>
      <c r="E440" s="2">
        <f ca="1"/>
        <v>-1.0904973164148502E-2</v>
      </c>
      <c r="F440" s="2">
        <f ca="1"/>
        <v>-2.5564770210725819E-2</v>
      </c>
      <c r="G440" s="2">
        <f ca="1"/>
        <v>-3.0545055979729344E-2</v>
      </c>
      <c r="H440" s="2">
        <f ca="1"/>
        <v>-1.7980550808781675E-2</v>
      </c>
      <c r="I440" s="2" t="str">
        <f ca="1"/>
        <v/>
      </c>
      <c r="J440" s="2">
        <f ca="1"/>
        <v>-3.0063485122135844E-2</v>
      </c>
      <c r="K440" s="2">
        <f ca="1"/>
        <v>-2.2797617777018823E-2</v>
      </c>
      <c r="L440" s="2">
        <f ca="1"/>
        <v>-2.0243559145707073E-2</v>
      </c>
      <c r="M440" s="2">
        <f ca="1"/>
        <v>-2.4820004182475541E-2</v>
      </c>
      <c r="N440" s="2">
        <f ca="1"/>
        <v>-2.333562989614428E-2</v>
      </c>
      <c r="O440" s="2">
        <f ca="1"/>
        <v>-3.5581124571548169E-2</v>
      </c>
      <c r="P440" s="2">
        <f ca="1"/>
        <v>-1.2279480987270271E-2</v>
      </c>
      <c r="Q440" s="2">
        <f ca="1"/>
        <v>-1.9692300151337761E-2</v>
      </c>
      <c r="R440" s="2">
        <f ca="1"/>
        <v>-2.5186900348551709E-3</v>
      </c>
      <c r="S440" s="2">
        <f ca="1"/>
        <v>-2.2199865861837646E-2</v>
      </c>
      <c r="T440" s="2">
        <f ca="1"/>
        <v>-1.9358191123680479E-2</v>
      </c>
      <c r="U440" s="2">
        <f ca="1"/>
        <v>-1.8759736367161595E-2</v>
      </c>
      <c r="V440" s="2">
        <f ca="1"/>
        <v>-1.7616790719793125E-2</v>
      </c>
      <c r="W440" s="2">
        <f ca="1"/>
        <v>-1.9967221402304332E-2</v>
      </c>
      <c r="X440" s="2">
        <f ca="1"/>
        <v>-1.6512734271091806E-2</v>
      </c>
      <c r="Y440" s="2">
        <f ca="1"/>
        <v>-2.2264367708313297E-2</v>
      </c>
      <c r="Z440" s="2">
        <f ca="1"/>
        <v>-3.4179388293069431E-3</v>
      </c>
      <c r="AA440" s="2">
        <f ca="1"/>
        <v>-2.2281843297310526E-2</v>
      </c>
      <c r="AB440" s="2" t="str">
        <f ca="1"/>
        <v/>
      </c>
      <c r="AC440" s="2">
        <f ca="1"/>
        <v>-2.6159974026820548E-2</v>
      </c>
      <c r="AD440" s="2">
        <f ca="1"/>
        <v>-2.941776181089065E-2</v>
      </c>
      <c r="AE440" s="2" t="str">
        <f ca="1"/>
        <v/>
      </c>
      <c r="AF440" s="2">
        <f ca="1"/>
        <v>-1.0758962022961623E-2</v>
      </c>
      <c r="AG440" s="26" t="str">
        <f ca="1"/>
        <v/>
      </c>
      <c r="AH440" s="26">
        <f ca="1"/>
        <v>-1.4800000000000001E-2</v>
      </c>
    </row>
    <row r="441" spans="1:34">
      <c r="A441" s="5">
        <f ca="1"/>
        <v>42216</v>
      </c>
      <c r="B441" s="2">
        <f ca="1"/>
        <v>2.0807052492271754E-2</v>
      </c>
      <c r="C441" s="2">
        <f ca="1"/>
        <v>-6.8708534036171914E-2</v>
      </c>
      <c r="D441" s="2">
        <f ca="1"/>
        <v>9.0482052242252583E-3</v>
      </c>
      <c r="E441" s="2">
        <f ca="1"/>
        <v>6.9528305339041745E-3</v>
      </c>
      <c r="F441" s="2">
        <f ca="1"/>
        <v>2.412623345328271E-2</v>
      </c>
      <c r="G441" s="2">
        <f ca="1"/>
        <v>1.7455704509234154E-2</v>
      </c>
      <c r="H441" s="2">
        <f ca="1"/>
        <v>1.3976924098313684E-2</v>
      </c>
      <c r="I441" s="2" t="str">
        <f ca="1"/>
        <v/>
      </c>
      <c r="J441" s="2">
        <f ca="1"/>
        <v>-8.4679039251520566E-2</v>
      </c>
      <c r="K441" s="2">
        <f ca="1"/>
        <v>2.2095283863780232E-2</v>
      </c>
      <c r="L441" s="2">
        <f ca="1"/>
        <v>3.4977701715156587E-2</v>
      </c>
      <c r="M441" s="2">
        <f ca="1"/>
        <v>-3.6762228036100512E-2</v>
      </c>
      <c r="N441" s="2">
        <f ca="1"/>
        <v>1.9190322538504671E-2</v>
      </c>
      <c r="O441" s="2">
        <f ca="1"/>
        <v>3.7934975396187551E-2</v>
      </c>
      <c r="P441" s="2">
        <f ca="1"/>
        <v>-4.4200406116613425E-2</v>
      </c>
      <c r="Q441" s="2">
        <f ca="1"/>
        <v>2.9369300674387651E-2</v>
      </c>
      <c r="R441" s="2">
        <f ca="1"/>
        <v>3.8820326342628962E-2</v>
      </c>
      <c r="S441" s="2">
        <f ca="1"/>
        <v>3.9822960927938862E-2</v>
      </c>
      <c r="T441" s="2">
        <f ca="1"/>
        <v>2.0954383175886281E-2</v>
      </c>
      <c r="U441" s="2">
        <f ca="1"/>
        <v>1.927496252040696E-2</v>
      </c>
      <c r="V441" s="2">
        <f ca="1"/>
        <v>3.3910602978450298E-2</v>
      </c>
      <c r="W441" s="2">
        <f ca="1"/>
        <v>4.3846439286409451E-3</v>
      </c>
      <c r="X441" s="2">
        <f ca="1"/>
        <v>3.2695002335357395E-2</v>
      </c>
      <c r="Y441" s="2">
        <f ca="1"/>
        <v>1.0076775431861808E-2</v>
      </c>
      <c r="Z441" s="2">
        <f ca="1"/>
        <v>3.7939179731242965E-2</v>
      </c>
      <c r="AA441" s="2">
        <f ca="1"/>
        <v>4.0178571428571425E-2</v>
      </c>
      <c r="AB441" s="2" t="str">
        <f ca="1"/>
        <v/>
      </c>
      <c r="AC441" s="2">
        <f ca="1"/>
        <v>1.6295025728988055E-2</v>
      </c>
      <c r="AD441" s="2">
        <f ca="1"/>
        <v>-6.5570358034970938E-2</v>
      </c>
      <c r="AE441" s="2" t="str">
        <f ca="1"/>
        <v/>
      </c>
      <c r="AF441" s="2">
        <f ca="1"/>
        <v>8.6306792647902145E-3</v>
      </c>
      <c r="AG441" s="26" t="str">
        <f ca="1"/>
        <v/>
      </c>
      <c r="AH441" s="26">
        <f ca="1"/>
        <v>-6.5599999999999992E-2</v>
      </c>
    </row>
    <row r="442" spans="1:34">
      <c r="A442" s="5">
        <f ca="1"/>
        <v>42247</v>
      </c>
      <c r="B442" s="2">
        <f ca="1"/>
        <v>-7.3457244301621469E-2</v>
      </c>
      <c r="C442" s="2">
        <f ca="1"/>
        <v>-9.009683050865841E-2</v>
      </c>
      <c r="D442" s="2">
        <f ca="1"/>
        <v>-6.8145714876784405E-2</v>
      </c>
      <c r="E442" s="2">
        <f ca="1"/>
        <v>-1.4380720489671225E-3</v>
      </c>
      <c r="F442" s="2">
        <f ca="1"/>
        <v>-7.1935595122277693E-2</v>
      </c>
      <c r="G442" s="2">
        <f ca="1"/>
        <v>-7.5017506357571984E-2</v>
      </c>
      <c r="H442" s="2">
        <f ca="1"/>
        <v>-6.9817289600463114E-2</v>
      </c>
      <c r="I442" s="2" t="str">
        <f ca="1"/>
        <v/>
      </c>
      <c r="J442" s="2">
        <f ca="1"/>
        <v>-9.8617827995898327E-2</v>
      </c>
      <c r="K442" s="2">
        <f ca="1"/>
        <v>-5.079556747630392E-2</v>
      </c>
      <c r="L442" s="2">
        <f ca="1"/>
        <v>-5.4507489348348204E-2</v>
      </c>
      <c r="M442" s="2">
        <f ca="1"/>
        <v>-8.5388427018465635E-2</v>
      </c>
      <c r="N442" s="2">
        <f ca="1"/>
        <v>-6.4952959573431723E-2</v>
      </c>
      <c r="O442" s="2">
        <f ca="1"/>
        <v>-7.2505627999830194E-2</v>
      </c>
      <c r="P442" s="2">
        <f ca="1"/>
        <v>-8.0773833266852904E-2</v>
      </c>
      <c r="Q442" s="2">
        <f ca="1"/>
        <v>-5.3747510564919596E-2</v>
      </c>
      <c r="R442" s="2">
        <f ca="1"/>
        <v>-5.9596469854099311E-2</v>
      </c>
      <c r="S442" s="2">
        <f ca="1"/>
        <v>-4.5057493611820973E-2</v>
      </c>
      <c r="T442" s="2">
        <f ca="1"/>
        <v>-6.0338139265361648E-2</v>
      </c>
      <c r="U442" s="2">
        <f ca="1"/>
        <v>-6.0152967963313438E-2</v>
      </c>
      <c r="V442" s="2">
        <f ca="1"/>
        <v>-6.0728523435913506E-2</v>
      </c>
      <c r="W442" s="2">
        <f ca="1"/>
        <v>-5.9556392023803965E-2</v>
      </c>
      <c r="X442" s="2">
        <f ca="1"/>
        <v>-6.2957937584803211E-2</v>
      </c>
      <c r="Y442" s="2">
        <f ca="1"/>
        <v>-5.8432304038004736E-2</v>
      </c>
      <c r="Z442" s="2">
        <f ca="1"/>
        <v>-6.0018239961699367E-2</v>
      </c>
      <c r="AA442" s="2">
        <f ca="1"/>
        <v>-4.530281354315694E-2</v>
      </c>
      <c r="AB442" s="2" t="str">
        <f ca="1"/>
        <v/>
      </c>
      <c r="AC442" s="2">
        <f ca="1"/>
        <v>-6.9029535864978939E-2</v>
      </c>
      <c r="AD442" s="2">
        <f ca="1"/>
        <v>-9.3562040543550967E-2</v>
      </c>
      <c r="AE442" s="2" t="str">
        <f ca="1"/>
        <v/>
      </c>
      <c r="AF442" s="2">
        <f ca="1"/>
        <v>-3.3614603791540533E-3</v>
      </c>
      <c r="AG442" s="26" t="str">
        <f ca="1"/>
        <v/>
      </c>
      <c r="AH442" s="26">
        <f ca="1"/>
        <v>3.39E-2</v>
      </c>
    </row>
    <row r="443" spans="1:34">
      <c r="A443" s="5">
        <f ca="1"/>
        <v>42277</v>
      </c>
      <c r="B443" s="2">
        <f ca="1"/>
        <v>-5.0415831129792428E-2</v>
      </c>
      <c r="C443" s="2">
        <f ca="1"/>
        <v>-2.9726863217103154E-2</v>
      </c>
      <c r="D443" s="2">
        <f ca="1"/>
        <v>-3.5785547735366949E-2</v>
      </c>
      <c r="E443" s="2">
        <f ca="1"/>
        <v>6.7639933035946341E-3</v>
      </c>
      <c r="F443" s="2">
        <f ca="1"/>
        <v>-3.9338088476727151E-2</v>
      </c>
      <c r="G443" s="2">
        <f ca="1"/>
        <v>-6.183870537163997E-2</v>
      </c>
      <c r="H443" s="2">
        <f ca="1"/>
        <v>-3.4653942191563765E-2</v>
      </c>
      <c r="I443" s="2" t="str">
        <f ca="1"/>
        <v/>
      </c>
      <c r="J443" s="2">
        <f ca="1"/>
        <v>-3.376244738733189E-2</v>
      </c>
      <c r="K443" s="2">
        <f ca="1"/>
        <v>-1.251864568967944E-2</v>
      </c>
      <c r="L443" s="2">
        <f ca="1"/>
        <v>-2.6131358907257325E-2</v>
      </c>
      <c r="M443" s="2">
        <f ca="1"/>
        <v>-2.7199955489717362E-2</v>
      </c>
      <c r="N443" s="2">
        <f ca="1"/>
        <v>-1.5962878938458245E-2</v>
      </c>
      <c r="O443" s="2">
        <f ca="1"/>
        <v>-2.5716177941860301E-2</v>
      </c>
      <c r="P443" s="2">
        <f ca="1"/>
        <v>-2.4394615449923024E-2</v>
      </c>
      <c r="Q443" s="2">
        <f ca="1"/>
        <v>-7.7449244115911833E-3</v>
      </c>
      <c r="R443" s="2">
        <f ca="1"/>
        <v>-1.9268565506170985E-2</v>
      </c>
      <c r="S443" s="2">
        <f ca="1"/>
        <v>-5.6497996757000311E-3</v>
      </c>
      <c r="T443" s="2">
        <f ca="1"/>
        <v>-2.473941984416643E-2</v>
      </c>
      <c r="U443" s="2">
        <f ca="1"/>
        <v>-2.7407723344906029E-2</v>
      </c>
      <c r="V443" s="2">
        <f ca="1"/>
        <v>-2.4737768896097856E-2</v>
      </c>
      <c r="W443" s="2">
        <f ca="1"/>
        <v>-3.0190364451209279E-2</v>
      </c>
      <c r="X443" s="2">
        <f ca="1"/>
        <v>-2.8622999291740246E-2</v>
      </c>
      <c r="Y443" s="2">
        <f ca="1"/>
        <v>-2.540624355760988E-2</v>
      </c>
      <c r="Z443" s="2">
        <f ca="1"/>
        <v>-1.8877579379906837E-2</v>
      </c>
      <c r="AA443" s="2">
        <f ca="1"/>
        <v>-6.2285823982647119E-3</v>
      </c>
      <c r="AB443" s="2" t="str">
        <f ca="1"/>
        <v/>
      </c>
      <c r="AC443" s="2">
        <f ca="1"/>
        <v>-4.2603335750543814E-2</v>
      </c>
      <c r="AD443" s="2">
        <f ca="1"/>
        <v>-1.9660850331776794E-2</v>
      </c>
      <c r="AE443" s="2" t="str">
        <f ca="1"/>
        <v/>
      </c>
      <c r="AF443" s="2">
        <f ca="1"/>
        <v>8.1117549074911036E-3</v>
      </c>
      <c r="AG443" s="26" t="str">
        <f ca="1"/>
        <v/>
      </c>
      <c r="AH443" s="26">
        <f ca="1"/>
        <v>-1.46E-2</v>
      </c>
    </row>
    <row r="444" spans="1:34">
      <c r="A444" s="5">
        <f ca="1"/>
        <v>42307</v>
      </c>
      <c r="B444" s="2">
        <f ca="1"/>
        <v>7.8230966912892969E-2</v>
      </c>
      <c r="C444" s="2">
        <f ca="1"/>
        <v>7.1401814061741953E-2</v>
      </c>
      <c r="D444" s="2">
        <f ca="1"/>
        <v>7.874988139027353E-2</v>
      </c>
      <c r="E444" s="2">
        <f ca="1"/>
        <v>1.7041669463906635E-4</v>
      </c>
      <c r="F444" s="2">
        <f ca="1"/>
        <v>8.2545483588187737E-2</v>
      </c>
      <c r="G444" s="2">
        <f ca="1"/>
        <v>7.3667848064708788E-2</v>
      </c>
      <c r="H444" s="2">
        <f ca="1"/>
        <v>6.7743272492823484E-2</v>
      </c>
      <c r="I444" s="2" t="str">
        <f ca="1"/>
        <v/>
      </c>
      <c r="J444" s="2">
        <f ca="1"/>
        <v>5.2641618548130625E-2</v>
      </c>
      <c r="K444" s="2">
        <f ca="1"/>
        <v>5.914006076463111E-2</v>
      </c>
      <c r="L444" s="2">
        <f ca="1"/>
        <v>6.5265834731543571E-2</v>
      </c>
      <c r="M444" s="2">
        <f ca="1"/>
        <v>5.7858388858703473E-2</v>
      </c>
      <c r="N444" s="2">
        <f ca="1"/>
        <v>8.3498175131641178E-2</v>
      </c>
      <c r="O444" s="2">
        <f ca="1"/>
        <v>6.9877932371062532E-2</v>
      </c>
      <c r="P444" s="2">
        <f ca="1"/>
        <v>5.9040233608261321E-2</v>
      </c>
      <c r="Q444" s="2">
        <f ca="1"/>
        <v>9.2662170114526404E-2</v>
      </c>
      <c r="R444" s="2">
        <f ca="1"/>
        <v>7.287934634121189E-2</v>
      </c>
      <c r="S444" s="2">
        <f ca="1"/>
        <v>6.0117001828153591E-2</v>
      </c>
      <c r="T444" s="2">
        <f ca="1"/>
        <v>8.4352208006305468E-2</v>
      </c>
      <c r="U444" s="2">
        <f ca="1"/>
        <v>8.090845479433495E-2</v>
      </c>
      <c r="V444" s="2">
        <f ca="1"/>
        <v>8.610562344941651E-2</v>
      </c>
      <c r="W444" s="2">
        <f ca="1"/>
        <v>7.545269345452997E-2</v>
      </c>
      <c r="X444" s="2">
        <f ca="1"/>
        <v>8.9739754711337133E-2</v>
      </c>
      <c r="Y444" s="2">
        <f ca="1"/>
        <v>7.6482084690553703E-2</v>
      </c>
      <c r="Z444" s="2">
        <f ca="1"/>
        <v>7.3156428676147259E-2</v>
      </c>
      <c r="AA444" s="2">
        <f ca="1"/>
        <v>5.9863601919676671E-2</v>
      </c>
      <c r="AB444" s="2" t="str">
        <f ca="1"/>
        <v/>
      </c>
      <c r="AC444" s="2">
        <f ca="1"/>
        <v>6.3813671653095927E-2</v>
      </c>
      <c r="AD444" s="2">
        <f ca="1"/>
        <v>6.1418901980446396E-2</v>
      </c>
      <c r="AE444" s="2" t="str">
        <f ca="1"/>
        <v/>
      </c>
      <c r="AF444" s="2">
        <f ca="1"/>
        <v>6.8486280039995742E-4</v>
      </c>
      <c r="AG444" s="26" t="str">
        <f ca="1"/>
        <v/>
      </c>
      <c r="AH444" s="26">
        <f ca="1"/>
        <v>2.3199999999999998E-2</v>
      </c>
    </row>
    <row r="445" spans="1:34">
      <c r="A445" s="5">
        <f ca="1"/>
        <v>42338</v>
      </c>
      <c r="B445" s="2">
        <f ca="1"/>
        <v>-1.5438643726265463E-2</v>
      </c>
      <c r="C445" s="2">
        <f ca="1"/>
        <v>-3.894168491281972E-2</v>
      </c>
      <c r="D445" s="2">
        <f ca="1"/>
        <v>-7.812995184142307E-3</v>
      </c>
      <c r="E445" s="2">
        <f ca="1"/>
        <v>-2.6435903261115947E-3</v>
      </c>
      <c r="F445" s="2">
        <f ca="1"/>
        <v>-6.7667907551144093E-3</v>
      </c>
      <c r="G445" s="2">
        <f ca="1"/>
        <v>-2.4676524222609943E-2</v>
      </c>
      <c r="H445" s="2">
        <f ca="1"/>
        <v>1.1285870377826239E-3</v>
      </c>
      <c r="I445" s="2" t="str">
        <f ca="1"/>
        <v/>
      </c>
      <c r="J445" s="2">
        <f ca="1"/>
        <v>-2.4921532568739517E-2</v>
      </c>
      <c r="K445" s="2">
        <f ca="1"/>
        <v>-1.3637880369848077E-2</v>
      </c>
      <c r="L445" s="2">
        <f ca="1"/>
        <v>-1.7393283866760176E-2</v>
      </c>
      <c r="M445" s="2">
        <f ca="1"/>
        <v>-4.9598226655583333E-2</v>
      </c>
      <c r="N445" s="2">
        <f ca="1"/>
        <v>-3.7927487786062379E-3</v>
      </c>
      <c r="O445" s="2">
        <f ca="1"/>
        <v>-1.2953963243593965E-2</v>
      </c>
      <c r="P445" s="2">
        <f ca="1"/>
        <v>-3.8218886667214388E-2</v>
      </c>
      <c r="Q445" s="2">
        <f ca="1"/>
        <v>2.6691760472521042E-3</v>
      </c>
      <c r="R445" s="2">
        <f ca="1"/>
        <v>5.1111725065766502E-3</v>
      </c>
      <c r="S445" s="2">
        <f ca="1"/>
        <v>-2.3521945768464601E-3</v>
      </c>
      <c r="T445" s="2">
        <f ca="1"/>
        <v>2.975298839076069E-3</v>
      </c>
      <c r="U445" s="2">
        <f ca="1"/>
        <v>3.3034493100016437E-3</v>
      </c>
      <c r="V445" s="2">
        <f ca="1"/>
        <v>2.8066628102372303E-3</v>
      </c>
      <c r="W445" s="2">
        <f ca="1"/>
        <v>3.8273923735912675E-3</v>
      </c>
      <c r="X445" s="2">
        <f ca="1"/>
        <v>1.4639948760178706E-3</v>
      </c>
      <c r="Y445" s="2">
        <f ca="1"/>
        <v>5.4466230936818048E-3</v>
      </c>
      <c r="Z445" s="2">
        <f ca="1"/>
        <v>5.3278688524590993E-3</v>
      </c>
      <c r="AA445" s="2">
        <f ca="1"/>
        <v>-2.1448999046710967E-3</v>
      </c>
      <c r="AB445" s="2" t="str">
        <f ca="1"/>
        <v/>
      </c>
      <c r="AC445" s="2">
        <f ca="1"/>
        <v>-6.0519757920967114E-3</v>
      </c>
      <c r="AD445" s="2">
        <f ca="1"/>
        <v>-2.2909777987718691E-2</v>
      </c>
      <c r="AE445" s="2" t="str">
        <f ca="1"/>
        <v/>
      </c>
      <c r="AF445" s="2">
        <f ca="1"/>
        <v>-3.8903918954355122E-3</v>
      </c>
      <c r="AG445" s="26" t="str">
        <f ca="1"/>
        <v/>
      </c>
      <c r="AH445" s="26">
        <f ca="1"/>
        <v>-6.6199999999999995E-2</v>
      </c>
    </row>
    <row r="446" spans="1:34">
      <c r="A446" s="5">
        <f ca="1"/>
        <v>42369</v>
      </c>
      <c r="B446" s="2">
        <f ca="1"/>
        <v>-1.3290109491359893E-2</v>
      </c>
      <c r="C446" s="2">
        <f ca="1"/>
        <v>-2.1720979054344239E-2</v>
      </c>
      <c r="D446" s="2">
        <f ca="1"/>
        <v>-1.7613368951189708E-2</v>
      </c>
      <c r="E446" s="2">
        <f ca="1"/>
        <v>-3.2304156053923135E-3</v>
      </c>
      <c r="F446" s="2">
        <f ca="1"/>
        <v>-7.6383266501082641E-3</v>
      </c>
      <c r="G446" s="2">
        <f ca="1"/>
        <v>-1.9065126423192538E-2</v>
      </c>
      <c r="H446" s="2">
        <f ca="1"/>
        <v>-6.2469034745716429E-4</v>
      </c>
      <c r="I446" s="2" t="str">
        <f ca="1"/>
        <v/>
      </c>
      <c r="J446" s="2">
        <f ca="1"/>
        <v>-2.9369657166881013E-2</v>
      </c>
      <c r="K446" s="2">
        <f ca="1"/>
        <v>7.4697717054433054E-3</v>
      </c>
      <c r="L446" s="2">
        <f ca="1"/>
        <v>1.3512244297369656E-2</v>
      </c>
      <c r="M446" s="2">
        <f ca="1"/>
        <v>-4.9207139301712622E-3</v>
      </c>
      <c r="N446" s="2">
        <f ca="1"/>
        <v>-1.3912370136155349E-2</v>
      </c>
      <c r="O446" s="2">
        <f ca="1"/>
        <v>-9.0220878515104401E-3</v>
      </c>
      <c r="P446" s="2">
        <f ca="1"/>
        <v>-1.8198042547536163E-2</v>
      </c>
      <c r="Q446" s="2">
        <f ca="1"/>
        <v>-1.244267104245746E-2</v>
      </c>
      <c r="R446" s="2">
        <f ca="1"/>
        <v>-5.3779825394838991E-4</v>
      </c>
      <c r="S446" s="2">
        <f ca="1"/>
        <v>5.1476180598768843E-3</v>
      </c>
      <c r="T446" s="2">
        <f ca="1"/>
        <v>-1.5862378899134399E-2</v>
      </c>
      <c r="U446" s="2">
        <f ca="1"/>
        <v>-1.7990424430641701E-2</v>
      </c>
      <c r="V446" s="2">
        <f ca="1"/>
        <v>-1.4674229985204458E-2</v>
      </c>
      <c r="W446" s="2">
        <f ca="1"/>
        <v>-2.1505466807108617E-2</v>
      </c>
      <c r="X446" s="2">
        <f ca="1"/>
        <v>-2.418420444872493E-2</v>
      </c>
      <c r="Y446" s="2">
        <f ca="1"/>
        <v>-1.1490015493312163E-2</v>
      </c>
      <c r="Z446" s="2">
        <f ca="1"/>
        <v>-1.3356753584125745E-3</v>
      </c>
      <c r="AA446" s="2">
        <f ca="1"/>
        <v>5.0582998106866953E-3</v>
      </c>
      <c r="AB446" s="2" t="str">
        <f ca="1"/>
        <v/>
      </c>
      <c r="AC446" s="2">
        <f ca="1"/>
        <v>-1.8350085725459132E-2</v>
      </c>
      <c r="AD446" s="2">
        <f ca="1"/>
        <v>-3.4702748850846371E-2</v>
      </c>
      <c r="AE446" s="2" t="str">
        <f ca="1"/>
        <v/>
      </c>
      <c r="AF446" s="2">
        <f ca="1"/>
        <v>-1.9279610253384405E-3</v>
      </c>
      <c r="AG446" s="26" t="str">
        <f ca="1"/>
        <v/>
      </c>
      <c r="AH446" s="26">
        <f ca="1"/>
        <v>-5.3E-3</v>
      </c>
    </row>
    <row r="447" spans="1:34">
      <c r="A447" s="5">
        <f ca="1"/>
        <v>42398</v>
      </c>
      <c r="B447" s="2">
        <f ca="1"/>
        <v>-7.2220223581297996E-2</v>
      </c>
      <c r="C447" s="2">
        <f ca="1"/>
        <v>-6.4817411449125117E-2</v>
      </c>
      <c r="D447" s="2">
        <f ca="1"/>
        <v>-6.0075299825751265E-2</v>
      </c>
      <c r="E447" s="2">
        <f ca="1"/>
        <v>1.3758180118416957E-2</v>
      </c>
      <c r="F447" s="2">
        <f ca="1"/>
        <v>-6.3568800166177192E-2</v>
      </c>
      <c r="G447" s="2">
        <f ca="1"/>
        <v>-8.118162423200001E-2</v>
      </c>
      <c r="H447" s="2">
        <f ca="1"/>
        <v>-4.310902271845498E-2</v>
      </c>
      <c r="I447" s="2" t="str">
        <f ca="1"/>
        <v/>
      </c>
      <c r="J447" s="2">
        <f ca="1"/>
        <v>-4.4816624733491281E-2</v>
      </c>
      <c r="K447" s="2">
        <f ca="1"/>
        <v>-1.8484518606376756E-2</v>
      </c>
      <c r="L447" s="2">
        <f ca="1"/>
        <v>-3.6079448923485677E-2</v>
      </c>
      <c r="M447" s="2">
        <f ca="1"/>
        <v>-4.4098100587403016E-2</v>
      </c>
      <c r="N447" s="2">
        <f ca="1"/>
        <v>-4.1331291635583176E-2</v>
      </c>
      <c r="O447" s="2">
        <f ca="1"/>
        <v>-5.4656457954710372E-2</v>
      </c>
      <c r="P447" s="2">
        <f ca="1"/>
        <v>-4.5327970297029702E-2</v>
      </c>
      <c r="Q447" s="2">
        <f ca="1"/>
        <v>-4.6506762935645991E-2</v>
      </c>
      <c r="R447" s="2">
        <f ca="1"/>
        <v>-3.6864981854489061E-2</v>
      </c>
      <c r="S447" s="2">
        <f ca="1"/>
        <v>-1.3922661814829825E-2</v>
      </c>
      <c r="T447" s="2">
        <f ca="1"/>
        <v>-4.9625537647979043E-2</v>
      </c>
      <c r="U447" s="2">
        <f ca="1"/>
        <v>-5.3824168497174307E-2</v>
      </c>
      <c r="V447" s="2">
        <f ca="1"/>
        <v>-5.5827284539132223E-2</v>
      </c>
      <c r="W447" s="2">
        <f ca="1"/>
        <v>-5.1672905922793659E-2</v>
      </c>
      <c r="X447" s="2">
        <f ca="1"/>
        <v>-6.0062035905630071E-2</v>
      </c>
      <c r="Y447" s="2">
        <f ca="1"/>
        <v>-4.7595682041216898E-2</v>
      </c>
      <c r="Z447" s="2">
        <f ca="1"/>
        <v>-3.8067949242734447E-2</v>
      </c>
      <c r="AA447" s="2">
        <f ca="1"/>
        <v>-1.3868962219033918E-2</v>
      </c>
      <c r="AB447" s="2" t="str">
        <f ca="1"/>
        <v/>
      </c>
      <c r="AC447" s="2">
        <f ca="1"/>
        <v>-5.7006252298639259E-2</v>
      </c>
      <c r="AD447" s="2">
        <f ca="1"/>
        <v>-5.2043665905052015E-2</v>
      </c>
      <c r="AE447" s="2" t="str">
        <f ca="1"/>
        <v/>
      </c>
      <c r="AF447" s="2">
        <f ca="1"/>
        <v>1.2406258679751779E-2</v>
      </c>
      <c r="AG447" s="26" t="str">
        <f ca="1"/>
        <v/>
      </c>
      <c r="AH447" s="26">
        <f ca="1"/>
        <v>5.2999999999999999E-2</v>
      </c>
    </row>
    <row r="448" spans="1:34">
      <c r="A448" s="5">
        <f ca="1"/>
        <v>42429</v>
      </c>
      <c r="B448" s="2">
        <f ca="1"/>
        <v>-1.7972607794589968E-2</v>
      </c>
      <c r="C448" s="2">
        <f ca="1"/>
        <v>-1.5319626070743485E-3</v>
      </c>
      <c r="D448" s="2">
        <f ca="1"/>
        <v>-6.3225994100978965E-3</v>
      </c>
      <c r="E448" s="2">
        <f ca="1"/>
        <v>7.0956867446423256E-3</v>
      </c>
      <c r="F448" s="2">
        <f ca="1"/>
        <v>-1.7014525683420403E-2</v>
      </c>
      <c r="G448" s="2">
        <f ca="1"/>
        <v>-1.8985070462780803E-2</v>
      </c>
      <c r="H448" s="2">
        <f ca="1"/>
        <v>-1.4288717694583333E-2</v>
      </c>
      <c r="I448" s="2" t="str">
        <f ca="1"/>
        <v/>
      </c>
      <c r="J448" s="2">
        <f ca="1"/>
        <v>-2.4543543408915767E-2</v>
      </c>
      <c r="K448" s="2">
        <f ca="1"/>
        <v>1.9555477078597158E-2</v>
      </c>
      <c r="L448" s="2">
        <f ca="1"/>
        <v>6.9988783848742653E-3</v>
      </c>
      <c r="M448" s="2">
        <f ca="1"/>
        <v>1.6596021440265741E-3</v>
      </c>
      <c r="N448" s="2">
        <f ca="1"/>
        <v>-2.245764447296184E-3</v>
      </c>
      <c r="O448" s="2">
        <f ca="1"/>
        <v>-9.9814697723376762E-3</v>
      </c>
      <c r="P448" s="2">
        <f ca="1"/>
        <v>-1.6802382109868771E-2</v>
      </c>
      <c r="Q448" s="2">
        <f ca="1"/>
        <v>-7.5848753823782428E-4</v>
      </c>
      <c r="R448" s="2">
        <f ca="1"/>
        <v>-1.3091816528340862E-2</v>
      </c>
      <c r="S448" s="2">
        <f ca="1"/>
        <v>1.0889393479618068E-2</v>
      </c>
      <c r="T448" s="2">
        <f ca="1"/>
        <v>-1.3474951519395594E-3</v>
      </c>
      <c r="U448" s="2">
        <f ca="1"/>
        <v>-3.4311677459779078E-4</v>
      </c>
      <c r="V448" s="2">
        <f ca="1"/>
        <v>-4.2734848965743285E-4</v>
      </c>
      <c r="W448" s="2">
        <f ca="1"/>
        <v>-2.5204743206280874E-4</v>
      </c>
      <c r="X448" s="2">
        <f ca="1"/>
        <v>-4.0000000000002542E-3</v>
      </c>
      <c r="Y448" s="2">
        <f ca="1"/>
        <v>1.0303967027306324E-3</v>
      </c>
      <c r="Z448" s="2">
        <f ca="1"/>
        <v>-1.2765957446808616E-2</v>
      </c>
      <c r="AA448" s="2">
        <f ca="1"/>
        <v>1.0426770126091245E-2</v>
      </c>
      <c r="AB448" s="2" t="str">
        <f ca="1"/>
        <v/>
      </c>
      <c r="AC448" s="2">
        <f ca="1"/>
        <v>-3.1591263650546104E-2</v>
      </c>
      <c r="AD448" s="2">
        <f ca="1"/>
        <v>-9.6411355115160122E-3</v>
      </c>
      <c r="AE448" s="2" t="str">
        <f ca="1"/>
        <v/>
      </c>
      <c r="AF448" s="2">
        <f ca="1"/>
        <v>8.8734636456877045E-3</v>
      </c>
      <c r="AG448" s="26" t="str">
        <f ca="1"/>
        <v/>
      </c>
      <c r="AH448" s="26">
        <f ca="1"/>
        <v>0.1057</v>
      </c>
    </row>
    <row r="449" spans="1:34">
      <c r="A449" s="5">
        <f ca="1"/>
        <v>42460</v>
      </c>
      <c r="B449" s="2">
        <f ca="1"/>
        <v>6.5940269207509394E-2</v>
      </c>
      <c r="C449" s="2">
        <f ca="1"/>
        <v>0.13257771132714816</v>
      </c>
      <c r="D449" s="2">
        <f ca="1"/>
        <v>7.4798053355120714E-2</v>
      </c>
      <c r="E449" s="2">
        <f ca="1"/>
        <v>9.17211838798619E-3</v>
      </c>
      <c r="F449" s="2">
        <f ca="1"/>
        <v>6.5104645470544564E-2</v>
      </c>
      <c r="G449" s="2">
        <f ca="1"/>
        <v>6.6828892943271698E-2</v>
      </c>
      <c r="H449" s="2">
        <f ca="1"/>
        <v>5.8699411177720692E-2</v>
      </c>
      <c r="I449" s="2" t="str">
        <f ca="1"/>
        <v/>
      </c>
      <c r="J449" s="2">
        <f ca="1"/>
        <v>0.11466924976509825</v>
      </c>
      <c r="K449" s="2">
        <f ca="1"/>
        <v>5.9798021345225473E-2</v>
      </c>
      <c r="L449" s="2">
        <f ca="1"/>
        <v>5.2451357905255222E-2</v>
      </c>
      <c r="M449" s="2">
        <f ca="1"/>
        <v>9.9105150422795871E-2</v>
      </c>
      <c r="N449" s="2">
        <f ca="1"/>
        <v>6.8044523804637116E-2</v>
      </c>
      <c r="O449" s="2">
        <f ca="1"/>
        <v>6.174411908031719E-2</v>
      </c>
      <c r="P449" s="2">
        <f ca="1"/>
        <v>0.11423921217178126</v>
      </c>
      <c r="Q449" s="2">
        <f ca="1"/>
        <v>6.2519211828840696E-2</v>
      </c>
      <c r="R449" s="2">
        <f ca="1"/>
        <v>5.2760026166155154E-2</v>
      </c>
      <c r="S449" s="2">
        <f ca="1"/>
        <v>6.0126352980957261E-2</v>
      </c>
      <c r="T449" s="2">
        <f ca="1"/>
        <v>6.7835595225937823E-2</v>
      </c>
      <c r="U449" s="2">
        <f ca="1"/>
        <v>6.9660939647664802E-2</v>
      </c>
      <c r="V449" s="2">
        <f ca="1"/>
        <v>6.7442195401034466E-2</v>
      </c>
      <c r="W449" s="2">
        <f ca="1"/>
        <v>7.2034816707158597E-2</v>
      </c>
      <c r="X449" s="2">
        <f ca="1"/>
        <v>7.2023348403586929E-2</v>
      </c>
      <c r="Y449" s="2">
        <f ca="1"/>
        <v>6.6982371573587079E-2</v>
      </c>
      <c r="Z449" s="2">
        <f ca="1"/>
        <v>5.3069880439316014E-2</v>
      </c>
      <c r="AA449" s="2">
        <f ca="1"/>
        <v>5.9329063515528468E-2</v>
      </c>
      <c r="AB449" s="2" t="str">
        <f ca="1"/>
        <v/>
      </c>
      <c r="AC449" s="2">
        <f ca="1"/>
        <v>7.0076520338300544E-2</v>
      </c>
      <c r="AD449" s="2">
        <f ca="1"/>
        <v>0.12547322877230946</v>
      </c>
      <c r="AE449" s="2" t="str">
        <f ca="1"/>
        <v/>
      </c>
      <c r="AF449" s="2">
        <f ca="1"/>
        <v>8.7029053096181232E-3</v>
      </c>
      <c r="AG449" s="26" t="str">
        <f ca="1"/>
        <v/>
      </c>
      <c r="AH449" s="26">
        <f ca="1"/>
        <v>-2.0000000000000001E-4</v>
      </c>
    </row>
    <row r="450" spans="1:34">
      <c r="A450" s="5">
        <f ca="1"/>
        <v>42489</v>
      </c>
      <c r="B450" s="2">
        <f ca="1"/>
        <v>3.0045810624668819E-2</v>
      </c>
      <c r="C450" s="2">
        <f ca="1"/>
        <v>5.63789495529459E-3</v>
      </c>
      <c r="D450" s="2">
        <f ca="1"/>
        <v>1.5351341061003424E-2</v>
      </c>
      <c r="E450" s="2">
        <f ca="1"/>
        <v>3.8411711035050023E-3</v>
      </c>
      <c r="F450" s="2">
        <f ca="1"/>
        <v>1.996039807963184E-2</v>
      </c>
      <c r="G450" s="2">
        <f ca="1"/>
        <v>4.0755232126925396E-2</v>
      </c>
      <c r="H450" s="2">
        <f ca="1"/>
        <v>2.755693060402313E-3</v>
      </c>
      <c r="I450" s="2" t="str">
        <f ca="1"/>
        <v/>
      </c>
      <c r="J450" s="2">
        <f ca="1"/>
        <v>-4.2739761690482438E-3</v>
      </c>
      <c r="K450" s="2">
        <f ca="1"/>
        <v>6.9706517687070655E-3</v>
      </c>
      <c r="L450" s="2">
        <f ca="1"/>
        <v>2.0742873039103146E-2</v>
      </c>
      <c r="M450" s="2">
        <f ca="1"/>
        <v>2.695765543091525E-3</v>
      </c>
      <c r="N450" s="2">
        <f ca="1"/>
        <v>-7.1998206450373178E-3</v>
      </c>
      <c r="O450" s="2">
        <f ca="1"/>
        <v>1.743387540377115E-2</v>
      </c>
      <c r="P450" s="2">
        <f ca="1"/>
        <v>4.5855020477595159E-3</v>
      </c>
      <c r="Q450" s="2">
        <f ca="1"/>
        <v>-1.3638537429224202E-2</v>
      </c>
      <c r="R450" s="2">
        <f ca="1"/>
        <v>-6.5482876466792751E-3</v>
      </c>
      <c r="S450" s="2">
        <f ca="1"/>
        <v>-4.4979804653553666E-3</v>
      </c>
      <c r="T450" s="2">
        <f ca="1"/>
        <v>3.8791072817363137E-3</v>
      </c>
      <c r="U450" s="2">
        <f ca="1"/>
        <v>5.4382191346386659E-3</v>
      </c>
      <c r="V450" s="2">
        <f ca="1"/>
        <v>-9.1322648569285621E-3</v>
      </c>
      <c r="W450" s="2">
        <f ca="1"/>
        <v>2.100630984476198E-2</v>
      </c>
      <c r="X450" s="2">
        <f ca="1"/>
        <v>-7.8910286519492858E-3</v>
      </c>
      <c r="Y450" s="2">
        <f ca="1"/>
        <v>1.5171744143706771E-2</v>
      </c>
      <c r="Z450" s="2">
        <f ca="1"/>
        <v>-6.292749658002748E-3</v>
      </c>
      <c r="AA450" s="2">
        <f ca="1"/>
        <v>-3.6421579786022314E-3</v>
      </c>
      <c r="AB450" s="2" t="str">
        <f ca="1"/>
        <v/>
      </c>
      <c r="AC450" s="2">
        <f ca="1"/>
        <v>1.9947308995107303E-2</v>
      </c>
      <c r="AD450" s="2">
        <f ca="1"/>
        <v>6.7275348390197264E-3</v>
      </c>
      <c r="AE450" s="2" t="str">
        <f ca="1"/>
        <v/>
      </c>
      <c r="AF450" s="2">
        <f ca="1"/>
        <v>2.5923281209408243E-3</v>
      </c>
      <c r="AG450" s="26" t="str">
        <f ca="1"/>
        <v/>
      </c>
      <c r="AH450" s="26">
        <f ca="1"/>
        <v>4.5599999999999995E-2</v>
      </c>
    </row>
    <row r="451" spans="1:34">
      <c r="A451" s="5">
        <f ca="1"/>
        <v>42521</v>
      </c>
      <c r="B451" s="2">
        <f ca="1"/>
        <v>-7.836055067219962E-3</v>
      </c>
      <c r="C451" s="2">
        <f ca="1"/>
        <v>-3.7105825838220217E-2</v>
      </c>
      <c r="D451" s="2">
        <f ca="1"/>
        <v>2.1079960626435861E-3</v>
      </c>
      <c r="E451" s="2">
        <f ca="1"/>
        <v>2.5610252135442623E-4</v>
      </c>
      <c r="F451" s="2">
        <f ca="1"/>
        <v>-1.6290111280187717E-3</v>
      </c>
      <c r="G451" s="2">
        <f ca="1"/>
        <v>-1.4293165328306894E-2</v>
      </c>
      <c r="H451" s="2">
        <f ca="1"/>
        <v>1.9000057401986122E-2</v>
      </c>
      <c r="I451" s="2" t="str">
        <f ca="1"/>
        <v/>
      </c>
      <c r="J451" s="2">
        <f ca="1"/>
        <v>-1.5091107318983197E-2</v>
      </c>
      <c r="K451" s="2">
        <f ca="1"/>
        <v>-2.6421754079903287E-3</v>
      </c>
      <c r="L451" s="2">
        <f ca="1"/>
        <v>-8.5373367774960792E-3</v>
      </c>
      <c r="M451" s="2">
        <f ca="1"/>
        <v>-2.8632377340602172E-2</v>
      </c>
      <c r="N451" s="2">
        <f ca="1"/>
        <v>1.1026446696904928E-2</v>
      </c>
      <c r="O451" s="2">
        <f ca="1"/>
        <v>3.0347043042906578E-3</v>
      </c>
      <c r="P451" s="2">
        <f ca="1"/>
        <v>-1.8561976017595752E-2</v>
      </c>
      <c r="Q451" s="2">
        <f ca="1"/>
        <v>1.3922891364335603E-2</v>
      </c>
      <c r="R451" s="2">
        <f ca="1"/>
        <v>2.4651783781183101E-2</v>
      </c>
      <c r="S451" s="2">
        <f ca="1"/>
        <v>1.6088692143971083E-2</v>
      </c>
      <c r="T451" s="2">
        <f ca="1"/>
        <v>1.7954293283042686E-2</v>
      </c>
      <c r="U451" s="2">
        <f ca="1"/>
        <v>1.7511742501768266E-2</v>
      </c>
      <c r="V451" s="2">
        <f ca="1"/>
        <v>1.9419266159312571E-2</v>
      </c>
      <c r="W451" s="2">
        <f ca="1"/>
        <v>1.5532502094116401E-2</v>
      </c>
      <c r="X451" s="2">
        <f ca="1"/>
        <v>2.4902944796894186E-2</v>
      </c>
      <c r="Y451" s="2">
        <f ca="1"/>
        <v>1.0640841702534647E-2</v>
      </c>
      <c r="Z451" s="2">
        <f ca="1"/>
        <v>2.4504405286343702E-2</v>
      </c>
      <c r="AA451" s="2">
        <f ca="1"/>
        <v>1.5764222069910818E-2</v>
      </c>
      <c r="AB451" s="2" t="str">
        <f ca="1"/>
        <v/>
      </c>
      <c r="AC451" s="2">
        <f ca="1"/>
        <v>1.2915129151292019E-3</v>
      </c>
      <c r="AD451" s="2">
        <f ca="1"/>
        <v>-3.4128878281622914E-2</v>
      </c>
      <c r="AE451" s="2" t="str">
        <f ca="1"/>
        <v/>
      </c>
      <c r="AF451" s="2">
        <f ca="1"/>
        <v>1.3858094583046255E-4</v>
      </c>
      <c r="AG451" s="26" t="str">
        <f ca="1"/>
        <v/>
      </c>
      <c r="AH451" s="26">
        <f ca="1"/>
        <v>-5.8700000000000002E-2</v>
      </c>
    </row>
    <row r="452" spans="1:34">
      <c r="A452" s="5">
        <f ca="1"/>
        <v>42551</v>
      </c>
      <c r="B452" s="2">
        <f ca="1"/>
        <v>-3.3151084836048977E-2</v>
      </c>
      <c r="C452" s="2">
        <f ca="1"/>
        <v>4.0946813197280517E-2</v>
      </c>
      <c r="D452" s="2">
        <f ca="1"/>
        <v>-5.5272092270872474E-3</v>
      </c>
      <c r="E452" s="2">
        <f ca="1"/>
        <v>1.7967769466338653E-2</v>
      </c>
      <c r="F452" s="2">
        <f ca="1"/>
        <v>-1.7503332441069257E-2</v>
      </c>
      <c r="G452" s="2">
        <f ca="1"/>
        <v>-4.8986468787262219E-2</v>
      </c>
      <c r="H452" s="2">
        <f ca="1"/>
        <v>2.9391054529067154E-2</v>
      </c>
      <c r="I452" s="2" t="str">
        <f ca="1"/>
        <v/>
      </c>
      <c r="J452" s="2">
        <f ca="1"/>
        <v>5.0855227815099699E-2</v>
      </c>
      <c r="K452" s="2">
        <f ca="1"/>
        <v>4.5280044746141786E-2</v>
      </c>
      <c r="L452" s="2">
        <f ca="1"/>
        <v>-2.3603649901103967E-3</v>
      </c>
      <c r="M452" s="2">
        <f ca="1"/>
        <v>3.8441964067848673E-2</v>
      </c>
      <c r="N452" s="2">
        <f ca="1"/>
        <v>-2.8142948308870976E-3</v>
      </c>
      <c r="O452" s="2">
        <f ca="1"/>
        <v>-1.7349056057348673E-2</v>
      </c>
      <c r="P452" s="2">
        <f ca="1"/>
        <v>3.1243553438478646E-2</v>
      </c>
      <c r="Q452" s="2">
        <f ca="1"/>
        <v>-6.4466996085932819E-3</v>
      </c>
      <c r="R452" s="2">
        <f ca="1"/>
        <v>3.0033749082905403E-2</v>
      </c>
      <c r="S452" s="2">
        <f ca="1"/>
        <v>4.5783620989227371E-2</v>
      </c>
      <c r="T452" s="2">
        <f ca="1"/>
        <v>2.5953568922614566E-3</v>
      </c>
      <c r="U452" s="2">
        <f ca="1"/>
        <v>2.2644790600135586E-3</v>
      </c>
      <c r="V452" s="2">
        <f ca="1"/>
        <v>-3.9272439666216208E-3</v>
      </c>
      <c r="W452" s="2">
        <f ca="1"/>
        <v>8.6473035816267696E-3</v>
      </c>
      <c r="X452" s="2">
        <f ca="1"/>
        <v>-6.6132725059790537E-3</v>
      </c>
      <c r="Y452" s="2">
        <f ca="1"/>
        <v>1.1276093756668186E-2</v>
      </c>
      <c r="Z452" s="2">
        <f ca="1"/>
        <v>2.9507061574685044E-2</v>
      </c>
      <c r="AA452" s="2">
        <f ca="1"/>
        <v>4.4873539320774744E-2</v>
      </c>
      <c r="AB452" s="2" t="str">
        <f ca="1"/>
        <v/>
      </c>
      <c r="AC452" s="2">
        <f ca="1"/>
        <v>-2.5957876310090874E-2</v>
      </c>
      <c r="AD452" s="2">
        <f ca="1"/>
        <v>4.3403857081044599E-2</v>
      </c>
      <c r="AE452" s="2" t="str">
        <f ca="1"/>
        <v/>
      </c>
      <c r="AF452" s="2">
        <f ca="1"/>
        <v>1.9308941146042133E-2</v>
      </c>
      <c r="AG452" s="26" t="str">
        <f ca="1"/>
        <v/>
      </c>
      <c r="AH452" s="26">
        <f ca="1"/>
        <v>8.7100000000000011E-2</v>
      </c>
    </row>
    <row r="453" spans="1:34">
      <c r="A453" s="5">
        <f ca="1"/>
        <v>42580</v>
      </c>
      <c r="B453" s="2">
        <f ca="1"/>
        <v>5.0761653495317589E-2</v>
      </c>
      <c r="C453" s="2">
        <f ca="1"/>
        <v>5.0900189874865602E-2</v>
      </c>
      <c r="D453" s="2">
        <f ca="1"/>
        <v>4.339731353696729E-2</v>
      </c>
      <c r="E453" s="2">
        <f ca="1"/>
        <v>6.3224654656283434E-3</v>
      </c>
      <c r="F453" s="2">
        <f ca="1"/>
        <v>4.8951151820651399E-2</v>
      </c>
      <c r="G453" s="2">
        <f ca="1"/>
        <v>5.2663298201698017E-2</v>
      </c>
      <c r="H453" s="2">
        <f ca="1"/>
        <v>2.8736575689171619E-2</v>
      </c>
      <c r="I453" s="2" t="str">
        <f ca="1"/>
        <v/>
      </c>
      <c r="J453" s="2">
        <f ca="1"/>
        <v>4.7164616910883778E-2</v>
      </c>
      <c r="K453" s="2">
        <f ca="1"/>
        <v>2.0372622464367423E-2</v>
      </c>
      <c r="L453" s="2">
        <f ca="1"/>
        <v>2.873280943025542E-2</v>
      </c>
      <c r="M453" s="2">
        <f ca="1"/>
        <v>2.7982356613920057E-2</v>
      </c>
      <c r="N453" s="2">
        <f ca="1"/>
        <v>4.8841986701566101E-2</v>
      </c>
      <c r="O453" s="2">
        <f ca="1"/>
        <v>4.3965036007641775E-2</v>
      </c>
      <c r="P453" s="2">
        <f ca="1"/>
        <v>4.3808761752350531E-2</v>
      </c>
      <c r="Q453" s="2">
        <f ca="1"/>
        <v>4.7588489396721223E-2</v>
      </c>
      <c r="R453" s="2">
        <f ca="1"/>
        <v>2.6867321587308743E-2</v>
      </c>
      <c r="S453" s="2">
        <f ca="1"/>
        <v>1.4780765313814342E-2</v>
      </c>
      <c r="T453" s="2">
        <f ca="1"/>
        <v>3.6864540464383727E-2</v>
      </c>
      <c r="U453" s="2">
        <f ca="1"/>
        <v>3.8094475977083091E-2</v>
      </c>
      <c r="V453" s="2">
        <f ca="1"/>
        <v>4.7201866829979199E-2</v>
      </c>
      <c r="W453" s="2">
        <f ca="1"/>
        <v>2.9035047346960531E-2</v>
      </c>
      <c r="X453" s="2">
        <f ca="1"/>
        <v>4.7854477611940366E-2</v>
      </c>
      <c r="Y453" s="2">
        <f ca="1"/>
        <v>2.8120955406518419E-2</v>
      </c>
      <c r="Z453" s="2">
        <f ca="1"/>
        <v>2.6832460732984221E-2</v>
      </c>
      <c r="AA453" s="2">
        <f ca="1"/>
        <v>1.4715429560701113E-2</v>
      </c>
      <c r="AB453" s="2" t="str">
        <f ca="1"/>
        <v/>
      </c>
      <c r="AC453" s="2">
        <f ca="1"/>
        <v>4.1819232992869645E-2</v>
      </c>
      <c r="AD453" s="2">
        <f ca="1"/>
        <v>5.0908221797322954E-2</v>
      </c>
      <c r="AE453" s="2" t="str">
        <f ca="1"/>
        <v/>
      </c>
      <c r="AF453" s="2">
        <f ca="1"/>
        <v>5.4892676770378537E-3</v>
      </c>
      <c r="AG453" s="26" t="str">
        <f ca="1"/>
        <v/>
      </c>
      <c r="AH453" s="26">
        <f ca="1"/>
        <v>2.1499999999999998E-2</v>
      </c>
    </row>
    <row r="454" spans="1:34">
      <c r="A454" s="5">
        <f ca="1"/>
        <v>42613</v>
      </c>
      <c r="B454" s="2">
        <f ca="1"/>
        <v>8.3871006857827175E-4</v>
      </c>
      <c r="C454" s="2">
        <f ca="1"/>
        <v>2.5186120423179054E-2</v>
      </c>
      <c r="D454" s="2">
        <f ca="1"/>
        <v>3.8504449611761601E-3</v>
      </c>
      <c r="E454" s="2">
        <f ca="1"/>
        <v>-1.1418713948963383E-3</v>
      </c>
      <c r="F454" s="2">
        <f ca="1"/>
        <v>-1.3948198166612904E-2</v>
      </c>
      <c r="G454" s="2">
        <f ca="1"/>
        <v>1.6333955389859833E-2</v>
      </c>
      <c r="H454" s="2">
        <f ca="1"/>
        <v>-2.5320664135486934E-2</v>
      </c>
      <c r="I454" s="2">
        <f ca="1"/>
        <v>-2.6794075448679948E-2</v>
      </c>
      <c r="J454" s="2">
        <f ca="1"/>
        <v>-1.5256041521258877E-3</v>
      </c>
      <c r="K454" s="2">
        <f ca="1"/>
        <v>-2.3999084659464678E-2</v>
      </c>
      <c r="L454" s="2">
        <f ca="1"/>
        <v>-2.2975388502989851E-2</v>
      </c>
      <c r="M454" s="2">
        <f ca="1"/>
        <v>1.6712491591507204E-2</v>
      </c>
      <c r="N454" s="2">
        <f ca="1"/>
        <v>-4.1490990963510116E-4</v>
      </c>
      <c r="O454" s="2">
        <f ca="1"/>
        <v>-1.8804946012999358E-2</v>
      </c>
      <c r="P454" s="2">
        <f ca="1"/>
        <v>1.3519634830481882E-2</v>
      </c>
      <c r="Q454" s="2">
        <f ca="1"/>
        <v>7.146665456649185E-4</v>
      </c>
      <c r="R454" s="2">
        <f ca="1"/>
        <v>-1.4499991676238926E-2</v>
      </c>
      <c r="S454" s="2">
        <f ca="1"/>
        <v>-1.9507551065578041E-2</v>
      </c>
      <c r="T454" s="2">
        <f ca="1"/>
        <v>1.4072293463267983E-3</v>
      </c>
      <c r="U454" s="2">
        <f ca="1"/>
        <v>1.3285075137302465E-3</v>
      </c>
      <c r="V454" s="2">
        <f ca="1"/>
        <v>-4.9679207633275494E-3</v>
      </c>
      <c r="W454" s="2">
        <f ca="1"/>
        <v>7.7110820275195025E-3</v>
      </c>
      <c r="X454" s="2">
        <f ca="1"/>
        <v>-3.1158194605181533E-3</v>
      </c>
      <c r="Y454" s="2">
        <f ca="1"/>
        <v>6.7521171892882302E-3</v>
      </c>
      <c r="Z454" s="2">
        <f ca="1"/>
        <v>-1.4913957934990583E-2</v>
      </c>
      <c r="AA454" s="2">
        <f ca="1"/>
        <v>-1.9620388142461091E-2</v>
      </c>
      <c r="AB454" s="2" t="str">
        <f ca="1"/>
        <v/>
      </c>
      <c r="AC454" s="2">
        <f ca="1"/>
        <v>3.8845726970033246E-3</v>
      </c>
      <c r="AD454" s="2">
        <f ca="1"/>
        <v>1.0006822833750212E-2</v>
      </c>
      <c r="AE454" s="2" t="str">
        <f ca="1"/>
        <v/>
      </c>
      <c r="AF454" s="2">
        <f ca="1"/>
        <v>-2.1524178923289462E-3</v>
      </c>
      <c r="AG454" s="26" t="str">
        <f ca="1"/>
        <v/>
      </c>
      <c r="AH454" s="26">
        <f ca="1"/>
        <v>-3.0499999999999999E-2</v>
      </c>
    </row>
    <row r="455" spans="1:34">
      <c r="A455" s="5">
        <f ca="1"/>
        <v>42643</v>
      </c>
      <c r="B455" s="2">
        <f ca="1"/>
        <v>1.2736311823808149E-2</v>
      </c>
      <c r="C455" s="2">
        <f ca="1"/>
        <v>1.3154262660579666E-2</v>
      </c>
      <c r="D455" s="2">
        <f ca="1"/>
        <v>6.5624360720683986E-3</v>
      </c>
      <c r="E455" s="2">
        <f ca="1"/>
        <v>-5.8876056089258327E-4</v>
      </c>
      <c r="F455" s="2">
        <f ca="1"/>
        <v>1.5170392845026519E-2</v>
      </c>
      <c r="G455" s="2">
        <f ca="1"/>
        <v>1.0292068598686614E-2</v>
      </c>
      <c r="H455" s="2">
        <f ca="1"/>
        <v>6.5901230019852798E-3</v>
      </c>
      <c r="I455" s="2">
        <f ca="1"/>
        <v>2.8275507434127888E-2</v>
      </c>
      <c r="J455" s="2">
        <f ca="1"/>
        <v>1.1023505454502779E-2</v>
      </c>
      <c r="K455" s="2">
        <f ca="1"/>
        <v>2.9845059690118891E-3</v>
      </c>
      <c r="L455" s="2">
        <f ca="1"/>
        <v>1.7019957926854672E-2</v>
      </c>
      <c r="M455" s="2">
        <f ca="1"/>
        <v>3.1025578437543695E-3</v>
      </c>
      <c r="N455" s="2">
        <f ca="1"/>
        <v>1.007794998260317E-2</v>
      </c>
      <c r="O455" s="2">
        <f ca="1"/>
        <v>1.0029482549106593E-2</v>
      </c>
      <c r="P455" s="2">
        <f ca="1"/>
        <v>3.0572076872829732E-2</v>
      </c>
      <c r="Q455" s="2">
        <f ca="1"/>
        <v>5.1181191620567543E-3</v>
      </c>
      <c r="R455" s="2">
        <f ca="1"/>
        <v>4.9551223577372853E-3</v>
      </c>
      <c r="S455" s="2">
        <f ca="1"/>
        <v>-6.5246902318274727E-3</v>
      </c>
      <c r="T455" s="2">
        <f ca="1"/>
        <v>1.8670159292493213E-4</v>
      </c>
      <c r="U455" s="2">
        <f ca="1"/>
        <v>7.9152569556348296E-4</v>
      </c>
      <c r="V455" s="2">
        <f ca="1"/>
        <v>3.6581559651249181E-3</v>
      </c>
      <c r="W455" s="2">
        <f ca="1"/>
        <v>-2.0842352408922157E-3</v>
      </c>
      <c r="X455" s="2">
        <f ca="1"/>
        <v>6.2085056898845198E-3</v>
      </c>
      <c r="Y455" s="2">
        <f ca="1"/>
        <v>-4.5804260213003541E-3</v>
      </c>
      <c r="Z455" s="2">
        <f ca="1"/>
        <v>4.9586375607691231E-3</v>
      </c>
      <c r="AA455" s="2">
        <f ca="1"/>
        <v>-6.455529862598142E-3</v>
      </c>
      <c r="AB455" s="2" t="str">
        <f ca="1"/>
        <v/>
      </c>
      <c r="AC455" s="2">
        <f ca="1"/>
        <v>1.6030956329463737E-2</v>
      </c>
      <c r="AD455" s="2">
        <f ca="1"/>
        <v>2.7020941229452901E-2</v>
      </c>
      <c r="AE455" s="2" t="str">
        <f ca="1"/>
        <v/>
      </c>
      <c r="AF455" s="2">
        <f ca="1"/>
        <v>5.1079479133278442E-4</v>
      </c>
      <c r="AG455" s="26" t="str">
        <f ca="1"/>
        <v/>
      </c>
      <c r="AH455" s="26">
        <f ca="1"/>
        <v>4.0999999999999995E-3</v>
      </c>
    </row>
    <row r="456" spans="1:34">
      <c r="A456" s="5">
        <f ca="1"/>
        <v>42674</v>
      </c>
      <c r="B456" s="2">
        <f ca="1"/>
        <v>-2.0383635483252921E-2</v>
      </c>
      <c r="C456" s="2">
        <f ca="1"/>
        <v>2.4730427857360066E-3</v>
      </c>
      <c r="D456" s="2">
        <f ca="1"/>
        <v>-1.6733482455433817E-2</v>
      </c>
      <c r="E456" s="2">
        <f ca="1"/>
        <v>-7.6485777965419038E-3</v>
      </c>
      <c r="F456" s="2">
        <f ca="1"/>
        <v>-4.2950853643765267E-2</v>
      </c>
      <c r="G456" s="2">
        <f ca="1"/>
        <v>2.410724206015459E-3</v>
      </c>
      <c r="H456" s="2">
        <f ca="1"/>
        <v>-2.7678940555340887E-2</v>
      </c>
      <c r="I456" s="2">
        <f ca="1"/>
        <v>-4.36057305360305E-2</v>
      </c>
      <c r="J456" s="2">
        <f ca="1"/>
        <v>2.9422166912859802E-4</v>
      </c>
      <c r="K456" s="2">
        <f ca="1"/>
        <v>-2.9746511797793813E-2</v>
      </c>
      <c r="L456" s="2">
        <f ca="1"/>
        <v>-4.617980885860104E-2</v>
      </c>
      <c r="M456" s="2">
        <f ca="1"/>
        <v>-1.1680253072149904E-2</v>
      </c>
      <c r="N456" s="2">
        <f ca="1"/>
        <v>-2.9756940667416038E-2</v>
      </c>
      <c r="O456" s="2">
        <f ca="1"/>
        <v>-5.4106678463229668E-2</v>
      </c>
      <c r="P456" s="2">
        <f ca="1"/>
        <v>-1.0950335682415147E-2</v>
      </c>
      <c r="Q456" s="2">
        <f ca="1"/>
        <v>-2.0610708545972287E-2</v>
      </c>
      <c r="R456" s="2">
        <f ca="1"/>
        <v>-1.9599493483644686E-2</v>
      </c>
      <c r="S456" s="2">
        <f ca="1"/>
        <v>-2.8063011046542345E-2</v>
      </c>
      <c r="T456" s="2">
        <f ca="1"/>
        <v>-1.8241756195860021E-2</v>
      </c>
      <c r="U456" s="2">
        <f ca="1"/>
        <v>-1.950005738677716E-2</v>
      </c>
      <c r="V456" s="2">
        <f ca="1"/>
        <v>-2.3483360021646828E-2</v>
      </c>
      <c r="W456" s="2">
        <f ca="1"/>
        <v>-1.5476814871499588E-2</v>
      </c>
      <c r="X456" s="2">
        <f ca="1"/>
        <v>-2.5915041410633048E-2</v>
      </c>
      <c r="Y456" s="2">
        <f ca="1"/>
        <v>-1.0919540229885073E-2</v>
      </c>
      <c r="Z456" s="2">
        <f ca="1"/>
        <v>-1.9387359441643898E-2</v>
      </c>
      <c r="AA456" s="2">
        <f ca="1"/>
        <v>-2.7514858023332592E-2</v>
      </c>
      <c r="AB456" s="2" t="str">
        <f ca="1"/>
        <v/>
      </c>
      <c r="AC456" s="2">
        <f ca="1"/>
        <v>-2.3576351106274866E-2</v>
      </c>
      <c r="AD456" s="2">
        <f ca="1"/>
        <v>-1.0304757728568228E-2</v>
      </c>
      <c r="AE456" s="2" t="str">
        <f ca="1"/>
        <v/>
      </c>
      <c r="AF456" s="2">
        <f ca="1"/>
        <v>-8.1683133116545736E-3</v>
      </c>
      <c r="AG456" s="26" t="str">
        <f ca="1"/>
        <v/>
      </c>
      <c r="AH456" s="26">
        <f ca="1"/>
        <v>-3.0600000000000002E-2</v>
      </c>
    </row>
    <row r="457" spans="1:34">
      <c r="A457" s="5">
        <f ca="1"/>
        <v>42704</v>
      </c>
      <c r="B457" s="2">
        <f ca="1"/>
        <v>-1.9797125029826331E-2</v>
      </c>
      <c r="C457" s="2">
        <f ca="1"/>
        <v>-4.597292635760207E-2</v>
      </c>
      <c r="D457" s="2">
        <f ca="1"/>
        <v>8.0900683351775964E-3</v>
      </c>
      <c r="E457" s="2">
        <f ca="1"/>
        <v>-2.3651924408825652E-2</v>
      </c>
      <c r="F457" s="2">
        <f ca="1"/>
        <v>-3.4040786974956258E-2</v>
      </c>
      <c r="G457" s="2">
        <f ca="1"/>
        <v>-6.041297623139345E-3</v>
      </c>
      <c r="H457" s="2">
        <f ca="1"/>
        <v>2.9345136444427623E-3</v>
      </c>
      <c r="I457" s="2">
        <f ca="1"/>
        <v>-3.2730561390280327E-2</v>
      </c>
      <c r="J457" s="2">
        <f ca="1"/>
        <v>-7.1436420278362764E-2</v>
      </c>
      <c r="K457" s="2">
        <f ca="1"/>
        <v>-1.6172506738544489E-2</v>
      </c>
      <c r="L457" s="2">
        <f ca="1"/>
        <v>-3.5600633992308568E-2</v>
      </c>
      <c r="M457" s="2">
        <f ca="1"/>
        <v>-4.5562632421259935E-2</v>
      </c>
      <c r="N457" s="2">
        <f ca="1"/>
        <v>-5.3129866085331505E-3</v>
      </c>
      <c r="O457" s="2">
        <f ca="1"/>
        <v>-3.1851534294429933E-2</v>
      </c>
      <c r="P457" s="2">
        <f ca="1"/>
        <v>-6.5485024284943405E-2</v>
      </c>
      <c r="Q457" s="2">
        <f ca="1"/>
        <v>2.5190004606172271E-2</v>
      </c>
      <c r="R457" s="2">
        <f ca="1"/>
        <v>-5.8293708851499893E-3</v>
      </c>
      <c r="S457" s="2">
        <f ca="1"/>
        <v>6.3792788724816966E-3</v>
      </c>
      <c r="T457" s="2">
        <f ca="1"/>
        <v>3.7036284398369854E-2</v>
      </c>
      <c r="U457" s="2">
        <f ca="1"/>
        <v>3.9423641638804865E-2</v>
      </c>
      <c r="V457" s="2">
        <f ca="1"/>
        <v>2.175794339667508E-2</v>
      </c>
      <c r="W457" s="2">
        <f ca="1"/>
        <v>5.7114025595200867E-2</v>
      </c>
      <c r="X457" s="2">
        <f ca="1"/>
        <v>1.2159444139696201E-2</v>
      </c>
      <c r="Y457" s="2">
        <f ca="1"/>
        <v>5.9965136548518219E-2</v>
      </c>
      <c r="Z457" s="2">
        <f ca="1"/>
        <v>-5.9311981020167574E-3</v>
      </c>
      <c r="AA457" s="2">
        <f ca="1"/>
        <v>6.1113626075147403E-3</v>
      </c>
      <c r="AB457" s="2" t="str">
        <f ca="1"/>
        <v/>
      </c>
      <c r="AC457" s="2">
        <f ca="1"/>
        <v>-1.8202080237741513E-2</v>
      </c>
      <c r="AD457" s="2">
        <f ca="1"/>
        <v>-4.142667257421348E-2</v>
      </c>
      <c r="AE457" s="2" t="str">
        <f ca="1"/>
        <v/>
      </c>
      <c r="AF457" s="2">
        <f ca="1"/>
        <v>-2.5655983121047547E-2</v>
      </c>
      <c r="AG457" s="26" t="str">
        <f ca="1"/>
        <v/>
      </c>
      <c r="AH457" s="26">
        <f ca="1"/>
        <v>-8.0399999999999985E-2</v>
      </c>
    </row>
    <row r="458" spans="1:34">
      <c r="A458" s="5">
        <f ca="1"/>
        <v>42734</v>
      </c>
      <c r="B458" s="2">
        <f ca="1"/>
        <v>3.4383274041361232E-2</v>
      </c>
      <c r="C458" s="2">
        <f ca="1"/>
        <v>2.9035686502241675E-3</v>
      </c>
      <c r="D458" s="2">
        <f ca="1"/>
        <v>2.1998822295373827E-2</v>
      </c>
      <c r="E458" s="2">
        <f ca="1"/>
        <v>1.4086005705338865E-3</v>
      </c>
      <c r="F458" s="2">
        <f ca="1"/>
        <v>2.2259153833913796E-2</v>
      </c>
      <c r="G458" s="2">
        <f ca="1"/>
        <v>4.6002023618430248E-2</v>
      </c>
      <c r="H458" s="2">
        <f ca="1"/>
        <v>1.3357797144962004E-2</v>
      </c>
      <c r="I458" s="2">
        <f ca="1"/>
        <v>2.5590281725105201E-2</v>
      </c>
      <c r="J458" s="2">
        <f ca="1"/>
        <v>-6.0704954313605024E-3</v>
      </c>
      <c r="K458" s="2">
        <f ca="1"/>
        <v>1.8555649090584485E-2</v>
      </c>
      <c r="L458" s="2">
        <f ca="1"/>
        <v>1.6326608613671613E-2</v>
      </c>
      <c r="M458" s="2">
        <f ca="1"/>
        <v>-8.6351447676589581E-3</v>
      </c>
      <c r="N458" s="2">
        <f ca="1"/>
        <v>1.511612616392285E-2</v>
      </c>
      <c r="O458" s="2">
        <f ca="1"/>
        <v>3.1055014144193805E-2</v>
      </c>
      <c r="P458" s="2">
        <f ca="1"/>
        <v>-2.1926262790320536E-3</v>
      </c>
      <c r="Q458" s="2">
        <f ca="1"/>
        <v>1.4574148437280641E-2</v>
      </c>
      <c r="R458" s="2">
        <f ca="1"/>
        <v>1.0864816390351636E-2</v>
      </c>
      <c r="S458" s="2">
        <f ca="1"/>
        <v>2.3888395655729526E-2</v>
      </c>
      <c r="T458" s="2">
        <f ca="1"/>
        <v>1.9699090600777472E-2</v>
      </c>
      <c r="U458" s="2">
        <f ca="1"/>
        <v>1.8786872700779528E-2</v>
      </c>
      <c r="V458" s="2">
        <f ca="1"/>
        <v>1.2379696649872386E-2</v>
      </c>
      <c r="W458" s="2">
        <f ca="1"/>
        <v>2.4992677266479937E-2</v>
      </c>
      <c r="X458" s="2">
        <f ca="1"/>
        <v>1.168781487389915E-2</v>
      </c>
      <c r="Y458" s="2">
        <f ca="1"/>
        <v>2.7288670981677223E-2</v>
      </c>
      <c r="Z458" s="2">
        <f ca="1"/>
        <v>1.095300991902598E-2</v>
      </c>
      <c r="AA458" s="2">
        <f ca="1"/>
        <v>2.4334165232657263E-2</v>
      </c>
      <c r="AB458" s="2" t="str">
        <f ca="1"/>
        <v/>
      </c>
      <c r="AC458" s="2">
        <f ca="1"/>
        <v>2.5834484103060783E-2</v>
      </c>
      <c r="AD458" s="2">
        <f ca="1"/>
        <v>-5.2265142615547482E-3</v>
      </c>
      <c r="AE458" s="2" t="str">
        <f ca="1"/>
        <v/>
      </c>
      <c r="AF458" s="2">
        <f ca="1"/>
        <v>2.543642365226076E-3</v>
      </c>
      <c r="AG458" s="26" t="str">
        <f ca="1"/>
        <v/>
      </c>
      <c r="AH458" s="26">
        <f ca="1"/>
        <v>-1.6299999999999999E-2</v>
      </c>
    </row>
    <row r="459" spans="1:34">
      <c r="A459" s="5">
        <f ca="1"/>
        <v>42766</v>
      </c>
      <c r="B459" s="2">
        <f ca="1"/>
        <v>2.9063736043813609E-2</v>
      </c>
      <c r="C459" s="2">
        <f ca="1"/>
        <v>5.4773194074203543E-2</v>
      </c>
      <c r="D459" s="2">
        <f ca="1"/>
        <v>2.7557412805811247E-2</v>
      </c>
      <c r="E459" s="2">
        <f ca="1"/>
        <v>1.963195150705642E-3</v>
      </c>
      <c r="F459" s="2">
        <f ca="1"/>
        <v>3.3696323565745839E-2</v>
      </c>
      <c r="G459" s="2">
        <f ca="1"/>
        <v>2.4712887633482079E-2</v>
      </c>
      <c r="H459" s="2">
        <f ca="1"/>
        <v>4.0855097114013063E-2</v>
      </c>
      <c r="I459" s="2">
        <f ca="1"/>
        <v>3.6934485231409006E-2</v>
      </c>
      <c r="J459" s="2">
        <f ca="1"/>
        <v>8.60210375394799E-2</v>
      </c>
      <c r="K459" s="2">
        <f ca="1"/>
        <v>1.7556426002544531E-2</v>
      </c>
      <c r="L459" s="2">
        <f ca="1"/>
        <v>2.76660022814736E-2</v>
      </c>
      <c r="M459" s="2">
        <f ca="1"/>
        <v>2.624064423794633E-2</v>
      </c>
      <c r="N459" s="2">
        <f ca="1"/>
        <v>2.482249816483768E-2</v>
      </c>
      <c r="O459" s="2">
        <f ca="1"/>
        <v>2.7265983538189122E-2</v>
      </c>
      <c r="P459" s="2">
        <f ca="1"/>
        <v>4.3641427705886068E-2</v>
      </c>
      <c r="Q459" s="2">
        <f ca="1"/>
        <v>1.7675062275117667E-2</v>
      </c>
      <c r="R459" s="2">
        <f ca="1"/>
        <v>3.3148322964412023E-2</v>
      </c>
      <c r="S459" s="2">
        <f ca="1"/>
        <v>1.3221034311287905E-2</v>
      </c>
      <c r="T459" s="2">
        <f ca="1"/>
        <v>1.8966321921558321E-2</v>
      </c>
      <c r="U459" s="2">
        <f ca="1"/>
        <v>2.0108525889738209E-2</v>
      </c>
      <c r="V459" s="2">
        <f ca="1"/>
        <v>3.3698330276421516E-2</v>
      </c>
      <c r="W459" s="2">
        <f ca="1"/>
        <v>7.1236646792408988E-3</v>
      </c>
      <c r="X459" s="2">
        <f ca="1"/>
        <v>3.5252960172228023E-2</v>
      </c>
      <c r="Y459" s="2">
        <f ca="1"/>
        <v>4.9457047629285411E-3</v>
      </c>
      <c r="Z459" s="2">
        <f ca="1"/>
        <v>3.1505404692855232E-2</v>
      </c>
      <c r="AA459" s="2">
        <f ca="1"/>
        <v>1.2605042016806643E-2</v>
      </c>
      <c r="AB459" s="2" t="str">
        <f ca="1"/>
        <v/>
      </c>
      <c r="AC459" s="2">
        <f ca="1"/>
        <v>3.3749766921499086E-2</v>
      </c>
      <c r="AD459" s="2">
        <f ca="1"/>
        <v>6.5724381625441794E-2</v>
      </c>
      <c r="AE459" s="2" t="str">
        <f ca="1"/>
        <v/>
      </c>
      <c r="AF459" s="2">
        <f ca="1"/>
        <v>2.1284471589856631E-3</v>
      </c>
      <c r="AG459" s="26" t="str">
        <f ca="1"/>
        <v/>
      </c>
      <c r="AH459" s="26">
        <f ca="1"/>
        <v>4.9400000000000006E-2</v>
      </c>
    </row>
    <row r="460" spans="1:34">
      <c r="A460" s="5">
        <f ca="1"/>
        <v>42794</v>
      </c>
      <c r="B460" s="2">
        <f ca="1"/>
        <v>1.4459155466833538E-2</v>
      </c>
      <c r="C460" s="2">
        <f ca="1"/>
        <v>3.0685013801782578E-2</v>
      </c>
      <c r="D460" s="2">
        <f ca="1"/>
        <v>2.8498161869749884E-2</v>
      </c>
      <c r="E460" s="2">
        <f ca="1"/>
        <v>6.7213735639439186E-3</v>
      </c>
      <c r="F460" s="2">
        <f ca="1"/>
        <v>2.2291730031377213E-2</v>
      </c>
      <c r="G460" s="2">
        <f ca="1"/>
        <v>7.0412116572762E-3</v>
      </c>
      <c r="H460" s="2">
        <f ca="1"/>
        <v>2.4010806180608066E-2</v>
      </c>
      <c r="I460" s="2">
        <f ca="1"/>
        <v>1.5419520921506039E-2</v>
      </c>
      <c r="J460" s="2">
        <f ca="1"/>
        <v>3.2428145120338939E-2</v>
      </c>
      <c r="K460" s="2">
        <f ca="1"/>
        <v>3.4162453789620253E-2</v>
      </c>
      <c r="L460" s="2">
        <f ca="1"/>
        <v>2.0297633569163333E-2</v>
      </c>
      <c r="M460" s="2">
        <f ca="1"/>
        <v>2.9012778167016997E-2</v>
      </c>
      <c r="N460" s="2">
        <f ca="1"/>
        <v>4.3904053932043254E-2</v>
      </c>
      <c r="O460" s="2">
        <f ca="1"/>
        <v>2.5384814718839008E-2</v>
      </c>
      <c r="P460" s="2">
        <f ca="1"/>
        <v>3.5846424455631812E-2</v>
      </c>
      <c r="Q460" s="2">
        <f ca="1"/>
        <v>4.7736383762231896E-2</v>
      </c>
      <c r="R460" s="2">
        <f ca="1"/>
        <v>3.7231319664235638E-2</v>
      </c>
      <c r="S460" s="2">
        <f ca="1"/>
        <v>4.5534854331409164E-2</v>
      </c>
      <c r="T460" s="2">
        <f ca="1"/>
        <v>3.9705298081692805E-2</v>
      </c>
      <c r="U460" s="2">
        <f ca="1"/>
        <v>3.8707982655941831E-2</v>
      </c>
      <c r="V460" s="2">
        <f ca="1"/>
        <v>4.1535362833706665E-2</v>
      </c>
      <c r="W460" s="2">
        <f ca="1"/>
        <v>3.5933877009957933E-2</v>
      </c>
      <c r="X460" s="2">
        <f ca="1"/>
        <v>4.3843687722034543E-2</v>
      </c>
      <c r="Y460" s="2">
        <f ca="1"/>
        <v>3.584037659141965E-2</v>
      </c>
      <c r="Z460" s="2">
        <f ca="1"/>
        <v>3.7955271565495122E-2</v>
      </c>
      <c r="AA460" s="2">
        <f ca="1"/>
        <v>4.5424765232583514E-2</v>
      </c>
      <c r="AB460" s="2" t="str">
        <f ca="1"/>
        <v/>
      </c>
      <c r="AC460" s="2">
        <f ca="1"/>
        <v>1.2987012987012908E-2</v>
      </c>
      <c r="AD460" s="2">
        <f ca="1"/>
        <v>2.0335985853227136E-2</v>
      </c>
      <c r="AE460" s="2" t="str">
        <f ca="1"/>
        <v/>
      </c>
      <c r="AF460" s="2">
        <f ca="1"/>
        <v>6.4619762342982513E-3</v>
      </c>
      <c r="AG460" s="26" t="str">
        <f ca="1"/>
        <v/>
      </c>
      <c r="AH460" s="26">
        <f ca="1"/>
        <v>3.7499999999999999E-2</v>
      </c>
    </row>
    <row r="461" spans="1:34">
      <c r="A461" s="5">
        <f ca="1"/>
        <v>42825</v>
      </c>
      <c r="B461" s="2">
        <f ca="1"/>
        <v>2.8673286916734955E-2</v>
      </c>
      <c r="C461" s="2">
        <f ca="1"/>
        <v>2.549543755275958E-2</v>
      </c>
      <c r="D461" s="2">
        <f ca="1"/>
        <v>1.2900470181335794E-2</v>
      </c>
      <c r="E461" s="2">
        <f ca="1"/>
        <v>-5.2669596099437922E-4</v>
      </c>
      <c r="F461" s="2">
        <f ca="1"/>
        <v>2.8064636897485045E-2</v>
      </c>
      <c r="G461" s="2">
        <f ca="1"/>
        <v>2.9265467752728307E-2</v>
      </c>
      <c r="H461" s="2">
        <f ca="1"/>
        <v>2.3042423540464308E-2</v>
      </c>
      <c r="I461" s="2">
        <f ca="1"/>
        <v>3.0123665801550344E-2</v>
      </c>
      <c r="J461" s="2">
        <f ca="1"/>
        <v>2.9006528500182101E-2</v>
      </c>
      <c r="K461" s="2">
        <f ca="1"/>
        <v>6.925702209084895E-3</v>
      </c>
      <c r="L461" s="2">
        <f ca="1"/>
        <v>2.0975802209363442E-2</v>
      </c>
      <c r="M461" s="2">
        <f ca="1"/>
        <v>2.7008099187487346E-2</v>
      </c>
      <c r="N461" s="2">
        <f ca="1"/>
        <v>1.7621043770073026E-2</v>
      </c>
      <c r="O461" s="2">
        <f ca="1"/>
        <v>3.5191999245211832E-2</v>
      </c>
      <c r="P461" s="2">
        <f ca="1"/>
        <v>2.529570207284226E-2</v>
      </c>
      <c r="Q461" s="2">
        <f ca="1"/>
        <v>7.1384442863891926E-3</v>
      </c>
      <c r="R461" s="2">
        <f ca="1"/>
        <v>2.1513593258295768E-2</v>
      </c>
      <c r="S461" s="2">
        <f ca="1"/>
        <v>1.1881745824519016E-3</v>
      </c>
      <c r="T461" s="2">
        <f ca="1"/>
        <v>1.1664663111467827E-3</v>
      </c>
      <c r="U461" s="2">
        <f ca="1"/>
        <v>6.3176224209285695E-4</v>
      </c>
      <c r="V461" s="2">
        <f ca="1"/>
        <v>1.156680598699889E-2</v>
      </c>
      <c r="W461" s="2">
        <f ca="1"/>
        <v>-1.0186401883894339E-2</v>
      </c>
      <c r="X461" s="2">
        <f ca="1"/>
        <v>1.3054011059234817E-2</v>
      </c>
      <c r="Y461" s="2">
        <f ca="1"/>
        <v>-9.1709714942783301E-3</v>
      </c>
      <c r="Z461" s="2">
        <f ca="1"/>
        <v>2.0521525419639114E-2</v>
      </c>
      <c r="AA461" s="2">
        <f ca="1"/>
        <v>1.2291991642109489E-3</v>
      </c>
      <c r="AB461" s="2" t="str">
        <f ca="1"/>
        <v/>
      </c>
      <c r="AC461" s="2">
        <f ca="1"/>
        <v>3.1873219373219512E-2</v>
      </c>
      <c r="AD461" s="2">
        <f ca="1"/>
        <v>3.5311958405545907E-2</v>
      </c>
      <c r="AE461" s="2" t="str">
        <f ca="1"/>
        <v/>
      </c>
      <c r="AF461" s="2">
        <f ca="1"/>
        <v>-5.4060404811951345E-4</v>
      </c>
      <c r="AG461" s="26" t="str">
        <f ca="1"/>
        <v/>
      </c>
      <c r="AH461" s="26">
        <f ca="1"/>
        <v>-5.3E-3</v>
      </c>
    </row>
    <row r="462" spans="1:34">
      <c r="A462" s="5">
        <f ca="1"/>
        <v>42853</v>
      </c>
      <c r="B462" s="2">
        <f ca="1"/>
        <v>2.6184566444705206E-2</v>
      </c>
      <c r="C462" s="2">
        <f ca="1"/>
        <v>2.2102993777255199E-2</v>
      </c>
      <c r="D462" s="2">
        <f ca="1"/>
        <v>1.6046771275799489E-2</v>
      </c>
      <c r="E462" s="2">
        <f ca="1"/>
        <v>7.7189073078680207E-3</v>
      </c>
      <c r="F462" s="2">
        <f ca="1"/>
        <v>3.0935302518944306E-2</v>
      </c>
      <c r="G462" s="2">
        <f ca="1"/>
        <v>2.1624523570758312E-2</v>
      </c>
      <c r="H462" s="2">
        <f ca="1"/>
        <v>2.1240329580476749E-2</v>
      </c>
      <c r="I462" s="2">
        <f ca="1"/>
        <v>2.4270599350531694E-2</v>
      </c>
      <c r="J462" s="2">
        <f ca="1"/>
        <v>2.9202964064980064E-2</v>
      </c>
      <c r="K462" s="2">
        <f ca="1"/>
        <v>1.1860528878426103E-2</v>
      </c>
      <c r="L462" s="2">
        <f ca="1"/>
        <v>2.0907861379298256E-2</v>
      </c>
      <c r="M462" s="2">
        <f ca="1"/>
        <v>1.6593213703923509E-2</v>
      </c>
      <c r="N462" s="2">
        <f ca="1"/>
        <v>2.1367255007507743E-2</v>
      </c>
      <c r="O462" s="2">
        <f ca="1"/>
        <v>3.6261132232696246E-2</v>
      </c>
      <c r="P462" s="2">
        <f ca="1"/>
        <v>2.0714693644447967E-2</v>
      </c>
      <c r="Q462" s="2">
        <f ca="1"/>
        <v>1.7784055176964235E-2</v>
      </c>
      <c r="R462" s="2">
        <f ca="1"/>
        <v>2.5351571225966634E-2</v>
      </c>
      <c r="S462" s="2">
        <f ca="1"/>
        <v>1.4481457170987878E-2</v>
      </c>
      <c r="T462" s="2">
        <f ca="1"/>
        <v>1.0271053144527791E-2</v>
      </c>
      <c r="U462" s="2">
        <f ca="1"/>
        <v>1.0572494351141612E-2</v>
      </c>
      <c r="V462" s="2">
        <f ca="1"/>
        <v>2.2870007424790603E-2</v>
      </c>
      <c r="W462" s="2">
        <f ca="1"/>
        <v>-1.8767450358497197E-3</v>
      </c>
      <c r="X462" s="2">
        <f ca="1"/>
        <v>2.2768370869636689E-2</v>
      </c>
      <c r="Y462" s="2">
        <f ca="1"/>
        <v>-3.1456432840511038E-4</v>
      </c>
      <c r="Z462" s="2">
        <f ca="1"/>
        <v>2.5771324863883775E-2</v>
      </c>
      <c r="AA462" s="2">
        <f ca="1"/>
        <v>1.4040234702430873E-2</v>
      </c>
      <c r="AB462" s="2" t="str">
        <f ca="1"/>
        <v/>
      </c>
      <c r="AC462" s="2">
        <f ca="1"/>
        <v>2.7092320966350295E-2</v>
      </c>
      <c r="AD462" s="2">
        <f ca="1"/>
        <v>1.9041640510567122E-2</v>
      </c>
      <c r="AE462" s="2" t="str">
        <f ca="1"/>
        <v/>
      </c>
      <c r="AF462" s="2">
        <f ca="1"/>
        <v>9.0661350894922273E-3</v>
      </c>
      <c r="AG462" s="26" t="str">
        <f ca="1"/>
        <v/>
      </c>
      <c r="AH462" s="26">
        <f ca="1"/>
        <v>1.6799999999999999E-2</v>
      </c>
    </row>
    <row r="463" spans="1:34">
      <c r="A463" s="5">
        <f ca="1"/>
        <v>42886</v>
      </c>
      <c r="B463" s="2">
        <f ca="1"/>
        <v>3.8073490142796568E-2</v>
      </c>
      <c r="C463" s="2">
        <f ca="1"/>
        <v>2.9769751822857946E-2</v>
      </c>
      <c r="D463" s="2">
        <f ca="1"/>
        <v>2.2966812842969715E-2</v>
      </c>
      <c r="E463" s="2">
        <f ca="1"/>
        <v>7.6946446269466045E-3</v>
      </c>
      <c r="F463" s="2">
        <f ca="1"/>
        <v>5.160149610476706E-2</v>
      </c>
      <c r="G463" s="2">
        <f ca="1"/>
        <v>2.493992388856945E-2</v>
      </c>
      <c r="H463" s="2">
        <f ca="1"/>
        <v>4.1480103715656455E-2</v>
      </c>
      <c r="I463" s="2">
        <f ca="1"/>
        <v>4.7651627143630811E-2</v>
      </c>
      <c r="J463" s="2">
        <f ca="1"/>
        <v>2.0096661861527792E-2</v>
      </c>
      <c r="K463" s="2">
        <f ca="1"/>
        <v>2.9264053893698169E-2</v>
      </c>
      <c r="L463" s="2">
        <f ca="1"/>
        <v>5.6478252890438618E-2</v>
      </c>
      <c r="M463" s="2">
        <f ca="1"/>
        <v>2.0719724730755455E-2</v>
      </c>
      <c r="N463" s="2">
        <f ca="1"/>
        <v>3.32859932540387E-2</v>
      </c>
      <c r="O463" s="2">
        <f ca="1"/>
        <v>5.1404716732211767E-2</v>
      </c>
      <c r="P463" s="2">
        <f ca="1"/>
        <v>3.4881583259397886E-2</v>
      </c>
      <c r="Q463" s="2">
        <f ca="1"/>
        <v>2.0365268126658717E-2</v>
      </c>
      <c r="R463" s="2">
        <f ca="1"/>
        <v>4.8238614197483973E-2</v>
      </c>
      <c r="S463" s="2">
        <f ca="1"/>
        <v>2.0776647429565011E-2</v>
      </c>
      <c r="T463" s="2">
        <f ca="1"/>
        <v>1.4072019391383445E-2</v>
      </c>
      <c r="U463" s="2">
        <f ca="1"/>
        <v>1.2762269109415128E-2</v>
      </c>
      <c r="V463" s="2">
        <f ca="1"/>
        <v>2.6002411817907769E-2</v>
      </c>
      <c r="W463" s="2">
        <f ca="1"/>
        <v>-9.8030155469153754E-4</v>
      </c>
      <c r="X463" s="2">
        <f ca="1"/>
        <v>2.8047898416780629E-2</v>
      </c>
      <c r="Y463" s="2">
        <f ca="1"/>
        <v>6.2932662051595094E-4</v>
      </c>
      <c r="Z463" s="2">
        <f ca="1"/>
        <v>4.7652748289690836E-2</v>
      </c>
      <c r="AA463" s="2">
        <f ca="1"/>
        <v>2.0045463938830332E-2</v>
      </c>
      <c r="AB463" s="2" t="str">
        <f ca="1"/>
        <v/>
      </c>
      <c r="AC463" s="2">
        <f ca="1"/>
        <v>3.5282258064516056E-2</v>
      </c>
      <c r="AD463" s="2">
        <f ca="1"/>
        <v>2.3408624229979465E-2</v>
      </c>
      <c r="AE463" s="2" t="str">
        <f ca="1"/>
        <v/>
      </c>
      <c r="AF463" s="2">
        <f ca="1"/>
        <v>6.8778524007467512E-3</v>
      </c>
      <c r="AG463" s="26" t="str">
        <f ca="1"/>
        <v/>
      </c>
      <c r="AH463" s="26">
        <f ca="1"/>
        <v>2.8999999999999998E-3</v>
      </c>
    </row>
    <row r="464" spans="1:34">
      <c r="A464" s="5">
        <f ca="1"/>
        <v>42916</v>
      </c>
      <c r="B464" s="2">
        <f ca="1"/>
        <v>-1.4878493651734629E-3</v>
      </c>
      <c r="C464" s="2">
        <f ca="1"/>
        <v>1.0744328735493027E-2</v>
      </c>
      <c r="D464" s="2">
        <f ca="1"/>
        <v>4.9619088561222713E-3</v>
      </c>
      <c r="E464" s="2">
        <f ca="1"/>
        <v>-1.0032915871776235E-3</v>
      </c>
      <c r="F464" s="2">
        <f ca="1"/>
        <v>-6.3661364961757538E-3</v>
      </c>
      <c r="G464" s="2">
        <f ca="1"/>
        <v>3.4192393775365473E-3</v>
      </c>
      <c r="H464" s="2">
        <f ca="1"/>
        <v>6.5581719908693681E-3</v>
      </c>
      <c r="I464" s="2">
        <f ca="1"/>
        <v>2.579163006211845E-3</v>
      </c>
      <c r="J464" s="2">
        <f ca="1"/>
        <v>3.871501312518378E-2</v>
      </c>
      <c r="K464" s="2">
        <f ca="1"/>
        <v>-4.2212286952772989E-3</v>
      </c>
      <c r="L464" s="2">
        <f ca="1"/>
        <v>-6.3458114387458502E-3</v>
      </c>
      <c r="M464" s="2">
        <f ca="1"/>
        <v>8.6100935853280734E-3</v>
      </c>
      <c r="N464" s="2">
        <f ca="1"/>
        <v>-5.7125676488273529E-3</v>
      </c>
      <c r="O464" s="2">
        <f ca="1"/>
        <v>-1.2446186525494323E-2</v>
      </c>
      <c r="P464" s="2">
        <f ca="1"/>
        <v>9.3378542244328296E-3</v>
      </c>
      <c r="Q464" s="2">
        <f ca="1"/>
        <v>-9.5401186310277355E-3</v>
      </c>
      <c r="R464" s="2">
        <f ca="1"/>
        <v>4.0310497162799044E-3</v>
      </c>
      <c r="S464" s="2">
        <f ca="1"/>
        <v>-3.9417202651959504E-3</v>
      </c>
      <c r="T464" s="2">
        <f ca="1"/>
        <v>6.2408767956295772E-3</v>
      </c>
      <c r="U464" s="2">
        <f ca="1"/>
        <v>6.9821550291998833E-3</v>
      </c>
      <c r="V464" s="2">
        <f ca="1"/>
        <v>-2.6349113067690197E-3</v>
      </c>
      <c r="W464" s="2">
        <f ca="1"/>
        <v>1.6347750103000762E-2</v>
      </c>
      <c r="X464" s="2">
        <f ca="1"/>
        <v>-4.2495887464997087E-3</v>
      </c>
      <c r="Y464" s="2">
        <f ca="1"/>
        <v>1.8010021817206977E-2</v>
      </c>
      <c r="Z464" s="2">
        <f ca="1"/>
        <v>3.4809516243909096E-3</v>
      </c>
      <c r="AA464" s="2">
        <f ca="1"/>
        <v>-3.4957597434457609E-3</v>
      </c>
      <c r="AB464" s="2" t="str">
        <f ca="1"/>
        <v/>
      </c>
      <c r="AC464" s="2">
        <f ca="1"/>
        <v>3.8479786036054258E-3</v>
      </c>
      <c r="AD464" s="2">
        <f ca="1"/>
        <v>1.1335803950166694E-2</v>
      </c>
      <c r="AE464" s="2" t="str">
        <f ca="1"/>
        <v/>
      </c>
      <c r="AF464" s="2">
        <f ca="1"/>
        <v>-1.8026542832095199E-4</v>
      </c>
      <c r="AG464" s="26" t="str">
        <f ca="1"/>
        <v/>
      </c>
      <c r="AH464" s="26">
        <f ca="1"/>
        <v>-2.3300000000000001E-2</v>
      </c>
    </row>
    <row r="465" spans="1:34">
      <c r="A465" s="5">
        <f ca="1"/>
        <v>42947</v>
      </c>
      <c r="B465" s="2">
        <f ca="1"/>
        <v>2.8898527048719536E-2</v>
      </c>
      <c r="C465" s="2">
        <f ca="1"/>
        <v>6.0413874419097395E-2</v>
      </c>
      <c r="D465" s="2">
        <f ca="1"/>
        <v>2.8310515271727069E-2</v>
      </c>
      <c r="E465" s="2">
        <f ca="1"/>
        <v>4.3041393947489725E-3</v>
      </c>
      <c r="F465" s="2">
        <f ca="1"/>
        <v>2.4265452171329086E-2</v>
      </c>
      <c r="G465" s="2">
        <f ca="1"/>
        <v>3.3528106904309643E-2</v>
      </c>
      <c r="H465" s="2">
        <f ca="1"/>
        <v>3.4639359383353628E-2</v>
      </c>
      <c r="I465" s="2">
        <f ca="1"/>
        <v>3.4018629988271355E-2</v>
      </c>
      <c r="J465" s="2">
        <f ca="1"/>
        <v>7.8495636579082123E-2</v>
      </c>
      <c r="K465" s="2">
        <f ca="1"/>
        <v>1.8515395309615466E-2</v>
      </c>
      <c r="L465" s="2">
        <f ca="1"/>
        <v>1.9404852305691972E-2</v>
      </c>
      <c r="M465" s="2">
        <f ca="1"/>
        <v>3.3989514771623611E-2</v>
      </c>
      <c r="N465" s="2">
        <f ca="1"/>
        <v>2.106462482180655E-2</v>
      </c>
      <c r="O465" s="2">
        <f ca="1"/>
        <v>1.1535145437219117E-2</v>
      </c>
      <c r="P465" s="2">
        <f ca="1"/>
        <v>4.5170719762476844E-2</v>
      </c>
      <c r="Q465" s="2">
        <f ca="1"/>
        <v>1.570087650280888E-2</v>
      </c>
      <c r="R465" s="2">
        <f ca="1"/>
        <v>3.4280405145189659E-2</v>
      </c>
      <c r="S465" s="2">
        <f ca="1"/>
        <v>2.0150224712078724E-2</v>
      </c>
      <c r="T465" s="2">
        <f ca="1"/>
        <v>2.0562204274302484E-2</v>
      </c>
      <c r="U465" s="2">
        <f ca="1"/>
        <v>1.9803621085981344E-2</v>
      </c>
      <c r="V465" s="2">
        <f ca="1"/>
        <v>2.6580059781898528E-2</v>
      </c>
      <c r="W465" s="2">
        <f ca="1"/>
        <v>1.3290578692926195E-2</v>
      </c>
      <c r="X465" s="2">
        <f ca="1"/>
        <v>2.5425062972292189E-2</v>
      </c>
      <c r="Y465" s="2">
        <f ca="1"/>
        <v>1.543082021541016E-2</v>
      </c>
      <c r="Z465" s="2">
        <f ca="1"/>
        <v>3.4762065474181536E-2</v>
      </c>
      <c r="AA465" s="2">
        <f ca="1"/>
        <v>2.0232985898222023E-2</v>
      </c>
      <c r="AB465" s="2" t="str">
        <f ca="1"/>
        <v/>
      </c>
      <c r="AC465" s="2">
        <f ca="1"/>
        <v>2.8083429134504918E-2</v>
      </c>
      <c r="AD465" s="2">
        <f ca="1"/>
        <v>5.4956035171862545E-2</v>
      </c>
      <c r="AE465" s="2" t="str">
        <f ca="1"/>
        <v/>
      </c>
      <c r="AF465" s="2">
        <f ca="1"/>
        <v>3.345117998651045E-3</v>
      </c>
      <c r="AG465" s="26" t="str">
        <f ca="1"/>
        <v/>
      </c>
      <c r="AH465" s="26">
        <f ca="1"/>
        <v>1.9599999999999999E-2</v>
      </c>
    </row>
    <row r="466" spans="1:34">
      <c r="A466" s="5">
        <f ca="1"/>
        <v>42978</v>
      </c>
      <c r="B466" s="2">
        <f ca="1"/>
        <v>-2.3874131688501673E-4</v>
      </c>
      <c r="C466" s="2">
        <f ca="1"/>
        <v>2.2681075070796832E-2</v>
      </c>
      <c r="D466" s="2">
        <f ca="1"/>
        <v>4.3205850716923856E-3</v>
      </c>
      <c r="E466" s="2">
        <f ca="1"/>
        <v>8.9654730764873302E-3</v>
      </c>
      <c r="F466" s="2">
        <f ca="1"/>
        <v>5.6666755984096364E-3</v>
      </c>
      <c r="G466" s="2">
        <f ca="1"/>
        <v>-6.0759575251136443E-3</v>
      </c>
      <c r="H466" s="2">
        <f ca="1"/>
        <v>1.2526475381444335E-2</v>
      </c>
      <c r="I466" s="2">
        <f ca="1"/>
        <v>9.3047584943652326E-3</v>
      </c>
      <c r="J466" s="2">
        <f ca="1"/>
        <v>2.8803330476601878E-2</v>
      </c>
      <c r="K466" s="2">
        <f ca="1"/>
        <v>9.2863184558306892E-3</v>
      </c>
      <c r="L466" s="2">
        <f ca="1"/>
        <v>7.224047288570689E-3</v>
      </c>
      <c r="M466" s="2">
        <f ca="1"/>
        <v>1.642443302157048E-2</v>
      </c>
      <c r="N466" s="2">
        <f ca="1"/>
        <v>1.4299841876748461E-2</v>
      </c>
      <c r="O466" s="2">
        <f ca="1"/>
        <v>9.6450617283950629E-3</v>
      </c>
      <c r="P466" s="2">
        <f ca="1"/>
        <v>1.8742907347073352E-2</v>
      </c>
      <c r="Q466" s="2">
        <f ca="1"/>
        <v>1.0085061872150651E-2</v>
      </c>
      <c r="R466" s="2">
        <f ca="1"/>
        <v>1.5005887856122318E-2</v>
      </c>
      <c r="S466" s="2">
        <f ca="1"/>
        <v>8.2818387130012168E-3</v>
      </c>
      <c r="T466" s="2">
        <f ca="1"/>
        <v>3.0611375121275203E-3</v>
      </c>
      <c r="U466" s="2">
        <f ca="1"/>
        <v>3.1279481567622327E-3</v>
      </c>
      <c r="V466" s="2">
        <f ca="1"/>
        <v>1.8331165287117552E-2</v>
      </c>
      <c r="W466" s="2">
        <f ca="1"/>
        <v>-1.1648683606856357E-2</v>
      </c>
      <c r="X466" s="2">
        <f ca="1"/>
        <v>1.1744837644891372E-2</v>
      </c>
      <c r="Y466" s="2">
        <f ca="1"/>
        <v>-4.6914839367669277E-3</v>
      </c>
      <c r="Z466" s="2">
        <f ca="1"/>
        <v>1.4677103718199604E-2</v>
      </c>
      <c r="AA466" s="2">
        <f ca="1"/>
        <v>7.6121794871794029E-3</v>
      </c>
      <c r="AB466" s="2" t="str">
        <f ca="1"/>
        <v/>
      </c>
      <c r="AC466" s="2">
        <f ca="1"/>
        <v>1.1182108626198147E-3</v>
      </c>
      <c r="AD466" s="2">
        <f ca="1"/>
        <v>2.3110437582875579E-2</v>
      </c>
      <c r="AE466" s="2" t="str">
        <f ca="1"/>
        <v/>
      </c>
      <c r="AF466" s="2">
        <f ca="1"/>
        <v>9.4060577070614604E-3</v>
      </c>
      <c r="AG466" s="26" t="str">
        <f ca="1"/>
        <v/>
      </c>
      <c r="AH466" s="26">
        <f ca="1"/>
        <v>4.0999999999999995E-2</v>
      </c>
    </row>
    <row r="467" spans="1:34">
      <c r="A467" s="5">
        <f ca="1"/>
        <v>43007</v>
      </c>
      <c r="B467" s="2">
        <f ca="1"/>
        <v>2.5286732130965658E-2</v>
      </c>
      <c r="C467" s="2">
        <f ca="1"/>
        <v>-3.7501380288628662E-3</v>
      </c>
      <c r="D467" s="2">
        <f ca="1"/>
        <v>1.9693213839276288E-2</v>
      </c>
      <c r="E467" s="2">
        <f ca="1"/>
        <v>-4.7602540755098356E-3</v>
      </c>
      <c r="F467" s="2">
        <f ca="1"/>
        <v>1.9198202948185576E-2</v>
      </c>
      <c r="G467" s="2">
        <f ca="1"/>
        <v>3.1368353336353613E-2</v>
      </c>
      <c r="H467" s="2">
        <f ca="1"/>
        <v>2.5797333901622425E-2</v>
      </c>
      <c r="I467" s="2">
        <f ca="1"/>
        <v>3.7031945997555417E-2</v>
      </c>
      <c r="J467" s="2">
        <f ca="1"/>
        <v>3.0582522687961941E-3</v>
      </c>
      <c r="K467" s="2">
        <f ca="1"/>
        <v>1.3878912035189957E-3</v>
      </c>
      <c r="L467" s="2">
        <f ca="1"/>
        <v>1.4418958536183265E-3</v>
      </c>
      <c r="M467" s="2">
        <f ca="1"/>
        <v>-2.7381376072006603E-3</v>
      </c>
      <c r="N467" s="2">
        <f ca="1"/>
        <v>1.4880316167614701E-2</v>
      </c>
      <c r="O467" s="2">
        <f ca="1"/>
        <v>2.1617746813470666E-2</v>
      </c>
      <c r="P467" s="2">
        <f ca="1"/>
        <v>-1.7679399187897616E-2</v>
      </c>
      <c r="Q467" s="2">
        <f ca="1"/>
        <v>2.0945681906994862E-2</v>
      </c>
      <c r="R467" s="2">
        <f ca="1"/>
        <v>2.8508802098379932E-2</v>
      </c>
      <c r="S467" s="2">
        <f ca="1"/>
        <v>5.360797408257411E-3</v>
      </c>
      <c r="T467" s="2">
        <f ca="1"/>
        <v>2.0628369489839642E-2</v>
      </c>
      <c r="U467" s="2">
        <f ca="1"/>
        <v>2.1295192815094784E-2</v>
      </c>
      <c r="V467" s="2">
        <f ca="1"/>
        <v>1.3001413288264653E-2</v>
      </c>
      <c r="W467" s="2">
        <f ca="1"/>
        <v>2.9617688120137375E-2</v>
      </c>
      <c r="X467" s="2">
        <f ca="1"/>
        <v>1.0348967024722185E-2</v>
      </c>
      <c r="Y467" s="2">
        <f ca="1"/>
        <v>2.98120270199651E-2</v>
      </c>
      <c r="Z467" s="2">
        <f ca="1"/>
        <v>2.8085224691715618E-2</v>
      </c>
      <c r="AA467" s="2">
        <f ca="1"/>
        <v>5.1728188235855366E-3</v>
      </c>
      <c r="AB467" s="2" t="str">
        <f ca="1"/>
        <v/>
      </c>
      <c r="AC467" s="2">
        <f ca="1"/>
        <v>2.3934897079942407E-2</v>
      </c>
      <c r="AD467" s="2">
        <f ca="1"/>
        <v>1.8515089798188487E-4</v>
      </c>
      <c r="AE467" s="2" t="str">
        <f ca="1"/>
        <v/>
      </c>
      <c r="AF467" s="2">
        <f ca="1"/>
        <v>-5.7134438895697992E-3</v>
      </c>
      <c r="AG467" s="26" t="str">
        <f ca="1"/>
        <v/>
      </c>
      <c r="AH467" s="26">
        <f ca="1"/>
        <v>-2.81E-2</v>
      </c>
    </row>
    <row r="468" spans="1:34">
      <c r="A468" s="5">
        <f ca="1"/>
        <v>43039</v>
      </c>
      <c r="B468" s="2">
        <f ca="1"/>
        <v>1.5268794985884493E-2</v>
      </c>
      <c r="C468" s="2">
        <f ca="1"/>
        <v>3.5118831930086372E-2</v>
      </c>
      <c r="D468" s="2">
        <f ca="1"/>
        <v>2.0995875624629817E-2</v>
      </c>
      <c r="E468" s="2">
        <f ca="1"/>
        <v>5.7886836141011534E-4</v>
      </c>
      <c r="F468" s="2">
        <f ca="1"/>
        <v>2.2796387729380418E-2</v>
      </c>
      <c r="G468" s="2">
        <f ca="1"/>
        <v>7.835617480905329E-3</v>
      </c>
      <c r="H468" s="2">
        <f ca="1"/>
        <v>4.4217742861360251E-2</v>
      </c>
      <c r="I468" s="2">
        <f ca="1"/>
        <v>2.1911865329707913E-2</v>
      </c>
      <c r="J468" s="2">
        <f ca="1"/>
        <v>4.5455294935147869E-2</v>
      </c>
      <c r="K468" s="2">
        <f ca="1"/>
        <v>1.6312794739522282E-2</v>
      </c>
      <c r="L468" s="2">
        <f ca="1"/>
        <v>9.6590124217661617E-3</v>
      </c>
      <c r="M468" s="2">
        <f ca="1"/>
        <v>2.0531977965682225E-2</v>
      </c>
      <c r="N468" s="2">
        <f ca="1"/>
        <v>3.0521291953290803E-2</v>
      </c>
      <c r="O468" s="2">
        <f ca="1"/>
        <v>8.7418923659939203E-3</v>
      </c>
      <c r="P468" s="2">
        <f ca="1"/>
        <v>2.7735303800709727E-2</v>
      </c>
      <c r="Q468" s="2">
        <f ca="1"/>
        <v>4.2189772640281856E-2</v>
      </c>
      <c r="R468" s="2">
        <f ca="1"/>
        <v>5.0006687770297313E-2</v>
      </c>
      <c r="S468" s="2">
        <f ca="1"/>
        <v>1.9339915497755607E-2</v>
      </c>
      <c r="T468" s="2">
        <f ca="1"/>
        <v>2.3333745471258497E-2</v>
      </c>
      <c r="U468" s="2">
        <f ca="1"/>
        <v>2.2935970587118205E-2</v>
      </c>
      <c r="V468" s="2">
        <f ca="1"/>
        <v>3.8747892786291267E-2</v>
      </c>
      <c r="W468" s="2">
        <f ca="1"/>
        <v>7.2610241072246715E-3</v>
      </c>
      <c r="X468" s="2">
        <f ca="1"/>
        <v>2.8926553672316505E-2</v>
      </c>
      <c r="Y468" s="2">
        <f ca="1"/>
        <v>1.8332999398918064E-2</v>
      </c>
      <c r="Z468" s="2">
        <f ca="1"/>
        <v>5.0376254180601925E-2</v>
      </c>
      <c r="AA468" s="2">
        <f ca="1"/>
        <v>1.9467620182757134E-2</v>
      </c>
      <c r="AB468" s="2" t="str">
        <f ca="1"/>
        <v/>
      </c>
      <c r="AC468" s="2">
        <f ca="1"/>
        <v>1.6830294530154291E-2</v>
      </c>
      <c r="AD468" s="2">
        <f ca="1"/>
        <v>3.2580525731210619E-2</v>
      </c>
      <c r="AE468" s="2" t="str">
        <f ca="1"/>
        <v/>
      </c>
      <c r="AF468" s="2">
        <f ca="1"/>
        <v>9.7970689719126822E-4</v>
      </c>
      <c r="AG468" s="26" t="str">
        <f ca="1"/>
        <v/>
      </c>
      <c r="AH468" s="26">
        <f ca="1"/>
        <v>-8.6E-3</v>
      </c>
    </row>
    <row r="469" spans="1:34">
      <c r="A469" s="5">
        <f ca="1"/>
        <v>43069</v>
      </c>
      <c r="B469" s="2">
        <f ca="1"/>
        <v>1.0624139806144831E-2</v>
      </c>
      <c r="C469" s="2">
        <f ca="1"/>
        <v>2.0633162145353681E-3</v>
      </c>
      <c r="D469" s="2">
        <f ca="1"/>
        <v>1.981521805490552E-2</v>
      </c>
      <c r="E469" s="2">
        <f ca="1"/>
        <v>-1.2845404090918585E-3</v>
      </c>
      <c r="F469" s="2">
        <f ca="1"/>
        <v>1.2161251166468091E-2</v>
      </c>
      <c r="G469" s="2">
        <f ca="1"/>
        <v>9.0879914898576251E-3</v>
      </c>
      <c r="H469" s="2">
        <f ca="1"/>
        <v>1.7183156109130286E-2</v>
      </c>
      <c r="I469" s="2">
        <f ca="1"/>
        <v>-9.291604953419158E-3</v>
      </c>
      <c r="J469" s="2">
        <f ca="1"/>
        <v>-5.4977672361526302E-3</v>
      </c>
      <c r="K469" s="2">
        <f ca="1"/>
        <v>2.5257168251865771E-2</v>
      </c>
      <c r="L469" s="2">
        <f ca="1"/>
        <v>1.78124144898862E-2</v>
      </c>
      <c r="M469" s="2">
        <f ca="1"/>
        <v>2.5155671870769991E-3</v>
      </c>
      <c r="N469" s="2">
        <f ca="1"/>
        <v>2.6062853952301061E-2</v>
      </c>
      <c r="O469" s="2">
        <f ca="1"/>
        <v>8.5885267859709541E-3</v>
      </c>
      <c r="P469" s="2">
        <f ca="1"/>
        <v>1.6387140863919802E-2</v>
      </c>
      <c r="Q469" s="2">
        <f ca="1"/>
        <v>3.36415303958204E-2</v>
      </c>
      <c r="R469" s="2">
        <f ca="1"/>
        <v>2.807571781610655E-2</v>
      </c>
      <c r="S469" s="2">
        <f ca="1"/>
        <v>3.132158661542532E-2</v>
      </c>
      <c r="T469" s="2">
        <f ca="1"/>
        <v>3.0671345833219205E-2</v>
      </c>
      <c r="U469" s="2">
        <f ca="1"/>
        <v>3.0496043890841304E-2</v>
      </c>
      <c r="V469" s="2">
        <f ca="1"/>
        <v>3.0379720601903012E-2</v>
      </c>
      <c r="W469" s="2">
        <f ca="1"/>
        <v>3.0621056172307263E-2</v>
      </c>
      <c r="X469" s="2">
        <f ca="1"/>
        <v>2.423310637674779E-2</v>
      </c>
      <c r="Y469" s="2">
        <f ca="1"/>
        <v>3.5218888342351325E-2</v>
      </c>
      <c r="Z469" s="2">
        <f ca="1"/>
        <v>2.7960199004975154E-2</v>
      </c>
      <c r="AA469" s="2">
        <f ca="1"/>
        <v>3.0787217459080207E-2</v>
      </c>
      <c r="AB469" s="2" t="str">
        <f ca="1"/>
        <v/>
      </c>
      <c r="AC469" s="2">
        <f ca="1"/>
        <v>8.8888888888888854E-3</v>
      </c>
      <c r="AD469" s="2">
        <f ca="1"/>
        <v>1.2549300824668036E-3</v>
      </c>
      <c r="AE469" s="2" t="str">
        <f ca="1"/>
        <v/>
      </c>
      <c r="AF469" s="2">
        <f ca="1"/>
        <v>-1.4838777438900897E-3</v>
      </c>
      <c r="AG469" s="26" t="str">
        <f ca="1"/>
        <v/>
      </c>
      <c r="AH469" s="26">
        <f ca="1"/>
        <v>2.0999999999999999E-3</v>
      </c>
    </row>
    <row r="470" spans="1:34">
      <c r="A470" s="5">
        <f ca="1"/>
        <v>43098</v>
      </c>
      <c r="B470" s="2">
        <f ca="1"/>
        <v>1.6247405710790593E-2</v>
      </c>
      <c r="C470" s="2">
        <f ca="1"/>
        <v>3.6413852059478662E-2</v>
      </c>
      <c r="D470" s="2">
        <f ca="1"/>
        <v>1.6458901635713084E-2</v>
      </c>
      <c r="E470" s="2">
        <f ca="1"/>
        <v>4.5900383894119396E-3</v>
      </c>
      <c r="F470" s="2">
        <f ca="1"/>
        <v>1.6907092334625933E-2</v>
      </c>
      <c r="G470" s="2">
        <f ca="1"/>
        <v>1.5580986559924717E-2</v>
      </c>
      <c r="H470" s="2">
        <f ca="1"/>
        <v>5.7699335505422703E-3</v>
      </c>
      <c r="I470" s="2">
        <f ca="1"/>
        <v>8.3791271978400517E-3</v>
      </c>
      <c r="J470" s="2">
        <f ca="1"/>
        <v>2.7658383848823416E-2</v>
      </c>
      <c r="K470" s="2">
        <f ca="1"/>
        <v>6.523143347668822E-3</v>
      </c>
      <c r="L470" s="2">
        <f ca="1"/>
        <v>7.8585055397294226E-3</v>
      </c>
      <c r="M470" s="2">
        <f ca="1"/>
        <v>4.5144085247155998E-2</v>
      </c>
      <c r="N470" s="2">
        <f ca="1"/>
        <v>1.6208337382178667E-2</v>
      </c>
      <c r="O470" s="2">
        <f ca="1"/>
        <v>1.3291763324536719E-2</v>
      </c>
      <c r="P470" s="2">
        <f ca="1"/>
        <v>4.3283979324545765E-2</v>
      </c>
      <c r="Q470" s="2">
        <f ca="1"/>
        <v>1.0965827833394058E-2</v>
      </c>
      <c r="R470" s="2">
        <f ca="1"/>
        <v>9.6647089435735703E-4</v>
      </c>
      <c r="S470" s="2">
        <f ca="1"/>
        <v>2.0644095788603508E-3</v>
      </c>
      <c r="T470" s="2">
        <f ca="1"/>
        <v>1.1047150330103664E-2</v>
      </c>
      <c r="U470" s="2">
        <f ca="1"/>
        <v>1.1148044615629972E-2</v>
      </c>
      <c r="V470" s="2">
        <f ca="1"/>
        <v>7.7846808188033753E-3</v>
      </c>
      <c r="W470" s="2">
        <f ca="1"/>
        <v>1.4597279770294611E-2</v>
      </c>
      <c r="X470" s="2">
        <f ca="1"/>
        <v>8.7427832094333253E-3</v>
      </c>
      <c r="Y470" s="2">
        <f ca="1"/>
        <v>1.650108922873399E-2</v>
      </c>
      <c r="Z470" s="2">
        <f ca="1"/>
        <v>1.2277769526507275E-3</v>
      </c>
      <c r="AA470" s="2">
        <f ca="1"/>
        <v>2.3949125430680739E-3</v>
      </c>
      <c r="AB470" s="2">
        <f ca="1"/>
        <v>2.2814062499999926E-2</v>
      </c>
      <c r="AC470" s="2">
        <f ca="1"/>
        <v>1.5155318506573324E-2</v>
      </c>
      <c r="AD470" s="2">
        <f ca="1"/>
        <v>3.6777023017809968E-2</v>
      </c>
      <c r="AE470" s="2" t="str">
        <f ca="1"/>
        <v/>
      </c>
      <c r="AF470" s="2">
        <f ca="1"/>
        <v>4.7478231733738031E-3</v>
      </c>
      <c r="AG470" s="26" t="str">
        <f ca="1"/>
        <v/>
      </c>
      <c r="AH470" s="26">
        <f ca="1"/>
        <v>2.8399999999999998E-2</v>
      </c>
    </row>
    <row r="471" spans="1:34">
      <c r="A471" s="5">
        <f ca="1"/>
        <v>43131</v>
      </c>
      <c r="B471" s="2">
        <f ca="1"/>
        <v>5.0214053331087929E-2</v>
      </c>
      <c r="C471" s="2">
        <f ca="1"/>
        <v>8.3422557440497591E-2</v>
      </c>
      <c r="D471" s="2">
        <f ca="1"/>
        <v>5.6624294478527529E-2</v>
      </c>
      <c r="E471" s="2">
        <f ca="1"/>
        <v>-1.1517956185831466E-2</v>
      </c>
      <c r="F471" s="2">
        <f ca="1"/>
        <v>4.6393044923376474E-2</v>
      </c>
      <c r="G471" s="2">
        <f ca="1"/>
        <v>5.4087260459833912E-2</v>
      </c>
      <c r="H471" s="2">
        <f ca="1"/>
        <v>7.9333074041473037E-2</v>
      </c>
      <c r="I471" s="2">
        <f ca="1"/>
        <v>6.1721203614352092E-2</v>
      </c>
      <c r="J471" s="2">
        <f ca="1"/>
        <v>7.098083257800375E-2</v>
      </c>
      <c r="K471" s="2">
        <f ca="1"/>
        <v>3.3193864497088839E-2</v>
      </c>
      <c r="L471" s="2">
        <f ca="1"/>
        <v>3.2384157257836922E-2</v>
      </c>
      <c r="M471" s="2">
        <f ca="1"/>
        <v>5.9278877727894169E-2</v>
      </c>
      <c r="N471" s="2">
        <f ca="1"/>
        <v>5.2716632561341882E-2</v>
      </c>
      <c r="O471" s="2">
        <f ca="1"/>
        <v>3.724568143594021E-2</v>
      </c>
      <c r="P471" s="2">
        <f ca="1"/>
        <v>4.8644584379489555E-2</v>
      </c>
      <c r="Q471" s="2">
        <f ca="1"/>
        <v>5.9510682136690946E-2</v>
      </c>
      <c r="R471" s="2">
        <f ca="1"/>
        <v>8.2099590678021972E-2</v>
      </c>
      <c r="S471" s="2">
        <f ca="1"/>
        <v>3.5119150068063418E-2</v>
      </c>
      <c r="T471" s="2">
        <f ca="1"/>
        <v>5.7232172033429882E-2</v>
      </c>
      <c r="U471" s="2">
        <f ca="1"/>
        <v>5.4893266247549574E-2</v>
      </c>
      <c r="V471" s="2">
        <f ca="1"/>
        <v>7.0826648653212892E-2</v>
      </c>
      <c r="W471" s="2">
        <f ca="1"/>
        <v>3.8662148110567632E-2</v>
      </c>
      <c r="X471" s="2">
        <f ca="1"/>
        <v>6.8254532527550801E-2</v>
      </c>
      <c r="Y471" s="2">
        <f ca="1"/>
        <v>4.7121896162528175E-2</v>
      </c>
      <c r="Z471" s="2">
        <f ca="1"/>
        <v>8.2226316299815749E-2</v>
      </c>
      <c r="AA471" s="2">
        <f ca="1"/>
        <v>3.4861690034103728E-2</v>
      </c>
      <c r="AB471" s="2">
        <f ca="1"/>
        <v>3.5632183908046039E-2</v>
      </c>
      <c r="AC471" s="2">
        <f ca="1"/>
        <v>5.2050234528673078E-2</v>
      </c>
      <c r="AD471" s="2">
        <f ca="1"/>
        <v>7.9789103690685287E-2</v>
      </c>
      <c r="AE471" s="2" t="str">
        <f ca="1"/>
        <v/>
      </c>
      <c r="AF471" s="2">
        <f ca="1"/>
        <v>-1.1250342998262169E-2</v>
      </c>
      <c r="AG471" s="26" t="str">
        <f ca="1"/>
        <v/>
      </c>
      <c r="AH471" s="26">
        <f ca="1"/>
        <v>2.2700000000000001E-2</v>
      </c>
    </row>
    <row r="472" spans="1:34">
      <c r="A472" s="5">
        <f ca="1"/>
        <v>43159</v>
      </c>
      <c r="B472" s="2">
        <f ca="1"/>
        <v>-4.4985625290218732E-2</v>
      </c>
      <c r="C472" s="2">
        <f ca="1"/>
        <v>-4.5979115042952275E-2</v>
      </c>
      <c r="D472" s="2">
        <f ca="1"/>
        <v>-4.1610462674975514E-2</v>
      </c>
      <c r="E472" s="2">
        <f ca="1"/>
        <v>-9.4769626260628077E-3</v>
      </c>
      <c r="F472" s="2">
        <f ca="1"/>
        <v>-4.2664664680653809E-2</v>
      </c>
      <c r="G472" s="2">
        <f ca="1"/>
        <v>-4.7314424482625558E-2</v>
      </c>
      <c r="H472" s="2">
        <f ca="1"/>
        <v>-2.1402899870084244E-2</v>
      </c>
      <c r="I472" s="2">
        <f ca="1"/>
        <v>-3.7582131383773365E-2</v>
      </c>
      <c r="J472" s="2">
        <f ca="1"/>
        <v>-4.0639182574021451E-2</v>
      </c>
      <c r="K472" s="2">
        <f ca="1"/>
        <v>-3.8955838063363994E-2</v>
      </c>
      <c r="L472" s="2">
        <f ca="1"/>
        <v>-2.5912528446639504E-2</v>
      </c>
      <c r="M472" s="2">
        <f ca="1"/>
        <v>-3.6945186961957151E-2</v>
      </c>
      <c r="N472" s="2">
        <f ca="1"/>
        <v>-3.2981805960523719E-2</v>
      </c>
      <c r="O472" s="2">
        <f ca="1"/>
        <v>-4.8896288242168649E-2</v>
      </c>
      <c r="P472" s="2">
        <f ca="1"/>
        <v>-3.1202786100227912E-2</v>
      </c>
      <c r="Q472" s="2">
        <f ca="1"/>
        <v>-2.5015652923883223E-2</v>
      </c>
      <c r="R472" s="2">
        <f ca="1"/>
        <v>-1.414304725661478E-2</v>
      </c>
      <c r="S472" s="2">
        <f ca="1"/>
        <v>-4.2077630229786889E-2</v>
      </c>
      <c r="T472" s="2">
        <f ca="1"/>
        <v>-3.6859759021071727E-2</v>
      </c>
      <c r="U472" s="2">
        <f ca="1"/>
        <v>-3.6713386409966353E-2</v>
      </c>
      <c r="V472" s="2">
        <f ca="1"/>
        <v>-2.6220826123048185E-2</v>
      </c>
      <c r="W472" s="2">
        <f ca="1"/>
        <v>-4.7751157982804271E-2</v>
      </c>
      <c r="X472" s="2">
        <f ca="1"/>
        <v>-2.9217970049916792E-2</v>
      </c>
      <c r="Y472" s="2">
        <f ca="1"/>
        <v>-4.4372586005568995E-2</v>
      </c>
      <c r="Z472" s="2">
        <f ca="1"/>
        <v>-1.4604426126691035E-2</v>
      </c>
      <c r="AA472" s="2">
        <f ca="1"/>
        <v>-4.2566825338703672E-2</v>
      </c>
      <c r="AB472" s="2">
        <f ca="1"/>
        <v>-3.2001479837218037E-2</v>
      </c>
      <c r="AC472" s="2">
        <f ca="1"/>
        <v>-4.8755932690924819E-2</v>
      </c>
      <c r="AD472" s="2">
        <f ca="1"/>
        <v>-5.7128906249999896E-2</v>
      </c>
      <c r="AE472" s="2" t="str">
        <f ca="1"/>
        <v/>
      </c>
      <c r="AF472" s="2">
        <f ca="1"/>
        <v>-1.0081932212856906E-2</v>
      </c>
      <c r="AG472" s="26" t="str">
        <f ca="1"/>
        <v/>
      </c>
      <c r="AH472" s="26">
        <f ca="1"/>
        <v>-1.5800000000000002E-2</v>
      </c>
    </row>
    <row r="473" spans="1:34">
      <c r="A473" s="5">
        <f ca="1"/>
        <v>43189</v>
      </c>
      <c r="B473" s="2">
        <f ca="1"/>
        <v>-1.7046969221373019E-2</v>
      </c>
      <c r="C473" s="2">
        <f ca="1"/>
        <v>-1.8335002244397627E-2</v>
      </c>
      <c r="D473" s="2">
        <f ca="1"/>
        <v>-2.0807545231159952E-2</v>
      </c>
      <c r="E473" s="2">
        <f ca="1"/>
        <v>6.4133597520499835E-3</v>
      </c>
      <c r="F473" s="2">
        <f ca="1"/>
        <v>-1.1319927205033194E-2</v>
      </c>
      <c r="G473" s="2">
        <f ca="1"/>
        <v>-2.2841779264459409E-2</v>
      </c>
      <c r="H473" s="2">
        <f ca="1"/>
        <v>-2.8833481917903789E-2</v>
      </c>
      <c r="I473" s="2">
        <f ca="1"/>
        <v>-1.8170079637903333E-2</v>
      </c>
      <c r="J473" s="2">
        <f ca="1"/>
        <v>-1.5081349208781864E-2</v>
      </c>
      <c r="K473" s="2">
        <f ca="1"/>
        <v>1.135300620800926E-3</v>
      </c>
      <c r="L473" s="2">
        <f ca="1"/>
        <v>6.6313335611731223E-5</v>
      </c>
      <c r="M473" s="2">
        <f ca="1"/>
        <v>8.9705975473369353E-5</v>
      </c>
      <c r="N473" s="2">
        <f ca="1"/>
        <v>-1.5968438850272403E-2</v>
      </c>
      <c r="O473" s="2">
        <f ca="1"/>
        <v>-2.4489121014458818E-3</v>
      </c>
      <c r="P473" s="2">
        <f ca="1"/>
        <v>-1.6546619969602831E-2</v>
      </c>
      <c r="Q473" s="2">
        <f ca="1"/>
        <v>-1.9831076483396888E-2</v>
      </c>
      <c r="R473" s="2">
        <f ca="1"/>
        <v>-3.6392821226889513E-2</v>
      </c>
      <c r="S473" s="2">
        <f ca="1"/>
        <v>-2.3038626519141688E-3</v>
      </c>
      <c r="T473" s="2">
        <f ca="1"/>
        <v>-2.541159465342387E-2</v>
      </c>
      <c r="U473" s="2">
        <f ca="1"/>
        <v>-2.2697705182442764E-2</v>
      </c>
      <c r="V473" s="2">
        <f ca="1"/>
        <v>-2.7423771734809671E-2</v>
      </c>
      <c r="W473" s="2">
        <f ca="1"/>
        <v>-1.7591427845164157E-2</v>
      </c>
      <c r="X473" s="2">
        <f ca="1"/>
        <v>-2.4842756304010973E-2</v>
      </c>
      <c r="Y473" s="2">
        <f ca="1"/>
        <v>-2.4476973135726832E-2</v>
      </c>
      <c r="Z473" s="2">
        <f ca="1"/>
        <v>-3.4447205779385121E-2</v>
      </c>
      <c r="AA473" s="2">
        <f ca="1"/>
        <v>-2.4530638558950021E-3</v>
      </c>
      <c r="AB473" s="2">
        <f ca="1"/>
        <v>-1.5014166075633811E-2</v>
      </c>
      <c r="AC473" s="2">
        <f ca="1"/>
        <v>-3.9310553371636678E-3</v>
      </c>
      <c r="AD473" s="2">
        <f ca="1"/>
        <v>8.1132401173830415E-3</v>
      </c>
      <c r="AE473" s="2" t="str">
        <f ca="1"/>
        <v/>
      </c>
      <c r="AF473" s="2">
        <f ca="1"/>
        <v>6.7099628436303642E-3</v>
      </c>
      <c r="AG473" s="26" t="str">
        <f ca="1"/>
        <v/>
      </c>
      <c r="AH473" s="26">
        <f ca="1"/>
        <v>3.7000000000000002E-3</v>
      </c>
    </row>
    <row r="474" spans="1:34">
      <c r="A474" s="5">
        <f ca="1"/>
        <v>43220</v>
      </c>
      <c r="B474" s="2">
        <f ca="1"/>
        <v>2.3912905774360494E-2</v>
      </c>
      <c r="C474" s="2">
        <f ca="1"/>
        <v>-4.2365263610425969E-3</v>
      </c>
      <c r="D474" s="2">
        <f ca="1"/>
        <v>1.0114049094269417E-2</v>
      </c>
      <c r="E474" s="2">
        <f ca="1"/>
        <v>-7.4387050702213768E-3</v>
      </c>
      <c r="F474" s="2">
        <f ca="1"/>
        <v>1.6105918867925288E-2</v>
      </c>
      <c r="G474" s="2">
        <f ca="1"/>
        <v>3.1920728721146617E-2</v>
      </c>
      <c r="H474" s="2">
        <f ca="1"/>
        <v>8.0372778024455568E-3</v>
      </c>
      <c r="I474" s="2">
        <f ca="1"/>
        <v>2.0045330218046723E-2</v>
      </c>
      <c r="J474" s="2">
        <f ca="1"/>
        <v>-5.3978470440219474E-3</v>
      </c>
      <c r="K474" s="2">
        <f ca="1"/>
        <v>7.0928913938171775E-4</v>
      </c>
      <c r="L474" s="2">
        <f ca="1"/>
        <v>1.3613735131495755E-2</v>
      </c>
      <c r="M474" s="2">
        <f ca="1"/>
        <v>-2.1105395066613902E-3</v>
      </c>
      <c r="N474" s="2">
        <f ca="1"/>
        <v>-6.1044291714394639E-3</v>
      </c>
      <c r="O474" s="2">
        <f ca="1"/>
        <v>1.6927258229996946E-2</v>
      </c>
      <c r="P474" s="2">
        <f ca="1"/>
        <v>-2.0090575571472789E-2</v>
      </c>
      <c r="Q474" s="2">
        <f ca="1"/>
        <v>-1.4891115228248064E-2</v>
      </c>
      <c r="R474" s="2">
        <f ca="1"/>
        <v>7.6987608928635286E-3</v>
      </c>
      <c r="S474" s="2">
        <f ca="1"/>
        <v>7.3809492427929699E-4</v>
      </c>
      <c r="T474" s="2">
        <f ca="1"/>
        <v>3.8357811700169826E-3</v>
      </c>
      <c r="U474" s="2">
        <f ca="1"/>
        <v>3.3987594321290043E-3</v>
      </c>
      <c r="V474" s="2">
        <f ca="1"/>
        <v>3.4938807887269253E-3</v>
      </c>
      <c r="W474" s="2">
        <f ca="1"/>
        <v>3.3013109707553424E-3</v>
      </c>
      <c r="X474" s="2">
        <f ca="1"/>
        <v>2.7488018043419268E-3</v>
      </c>
      <c r="Y474" s="2">
        <f ca="1"/>
        <v>4.1674743167279442E-3</v>
      </c>
      <c r="Z474" s="2">
        <f ca="1"/>
        <v>5.0037764350453831E-3</v>
      </c>
      <c r="AA474" s="2">
        <f ca="1"/>
        <v>2.1182360870403219E-3</v>
      </c>
      <c r="AB474" s="2">
        <f ca="1"/>
        <v>2.7496460851573722E-3</v>
      </c>
      <c r="AC474" s="2">
        <f ca="1"/>
        <v>1.1536126290224684E-2</v>
      </c>
      <c r="AD474" s="2">
        <f ca="1"/>
        <v>-2.6541095890410944E-2</v>
      </c>
      <c r="AE474" s="2" t="str">
        <f ca="1"/>
        <v/>
      </c>
      <c r="AF474" s="2">
        <f ca="1"/>
        <v>-9.4049874291595465E-3</v>
      </c>
      <c r="AG474" s="26" t="str">
        <f ca="1"/>
        <v/>
      </c>
      <c r="AH474" s="26">
        <f ca="1"/>
        <v>-2.7000000000000001E-3</v>
      </c>
    </row>
    <row r="475" spans="1:34">
      <c r="A475" s="5">
        <f ca="1"/>
        <v>43251</v>
      </c>
      <c r="B475" s="2">
        <f ca="1"/>
        <v>-2.1124756332671416E-2</v>
      </c>
      <c r="C475" s="2">
        <f ca="1"/>
        <v>-3.5198166304271146E-2</v>
      </c>
      <c r="D475" s="2">
        <f ca="1"/>
        <v>2.1109451624663333E-3</v>
      </c>
      <c r="E475" s="2">
        <f ca="1"/>
        <v>7.1347203069728263E-3</v>
      </c>
      <c r="F475" s="2">
        <f ca="1"/>
        <v>-8.9900511524176928E-4</v>
      </c>
      <c r="G475" s="2">
        <f ca="1"/>
        <v>-4.1736403990293186E-2</v>
      </c>
      <c r="H475" s="2">
        <f ca="1"/>
        <v>2.4211589095876344E-2</v>
      </c>
      <c r="I475" s="2">
        <f ca="1"/>
        <v>-8.47297802374904E-3</v>
      </c>
      <c r="J475" s="2">
        <f ca="1"/>
        <v>-7.9091104704423192E-3</v>
      </c>
      <c r="K475" s="2">
        <f ca="1"/>
        <v>1.612807388355608E-3</v>
      </c>
      <c r="L475" s="2">
        <f ca="1"/>
        <v>-1.1629369819998956E-2</v>
      </c>
      <c r="M475" s="2">
        <f ca="1"/>
        <v>-1.5116986120290769E-2</v>
      </c>
      <c r="N475" s="2">
        <f ca="1"/>
        <v>2.1350262436311798E-2</v>
      </c>
      <c r="O475" s="2">
        <f ca="1"/>
        <v>1.2646417410458252E-4</v>
      </c>
      <c r="P475" s="2">
        <f ca="1"/>
        <v>-2.6214377794234477E-2</v>
      </c>
      <c r="Q475" s="2">
        <f ca="1"/>
        <v>3.5936240590906554E-2</v>
      </c>
      <c r="R475" s="2">
        <f ca="1"/>
        <v>3.4969268947496475E-2</v>
      </c>
      <c r="S475" s="2">
        <f ca="1"/>
        <v>1.0989503075322416E-2</v>
      </c>
      <c r="T475" s="2">
        <f ca="1"/>
        <v>2.4077323120156993E-2</v>
      </c>
      <c r="U475" s="2">
        <f ca="1"/>
        <v>2.5526182793750178E-2</v>
      </c>
      <c r="V475" s="2">
        <f ca="1"/>
        <v>4.3831456580752735E-2</v>
      </c>
      <c r="W475" s="2">
        <f ca="1"/>
        <v>5.9361642473231124E-3</v>
      </c>
      <c r="X475" s="2">
        <f ca="1"/>
        <v>4.3860265691993833E-2</v>
      </c>
      <c r="Y475" s="2">
        <f ca="1"/>
        <v>6.0804941607952093E-3</v>
      </c>
      <c r="Z475" s="2">
        <f ca="1"/>
        <v>3.4476279943635509E-2</v>
      </c>
      <c r="AA475" s="2">
        <f ca="1"/>
        <v>9.9923136049193638E-3</v>
      </c>
      <c r="AB475" s="2">
        <f ca="1"/>
        <v>2.1870915444612973E-2</v>
      </c>
      <c r="AC475" s="2">
        <f ca="1"/>
        <v>-1.5156062424970092E-2</v>
      </c>
      <c r="AD475" s="2">
        <f ca="1"/>
        <v>-2.3218997361477544E-2</v>
      </c>
      <c r="AE475" s="2" t="str">
        <f ca="1"/>
        <v/>
      </c>
      <c r="AF475" s="2">
        <f ca="1"/>
        <v>6.6213089022248211E-3</v>
      </c>
      <c r="AG475" s="26" t="str">
        <f ca="1"/>
        <v/>
      </c>
      <c r="AH475" s="26">
        <f ca="1"/>
        <v>-1.4499999999999999E-2</v>
      </c>
    </row>
    <row r="476" spans="1:34">
      <c r="A476" s="5">
        <f ca="1"/>
        <v>43280</v>
      </c>
      <c r="B476" s="2">
        <f ca="1"/>
        <v>-1.1917461937535317E-2</v>
      </c>
      <c r="C476" s="2">
        <f ca="1"/>
        <v>-4.0879837928874119E-2</v>
      </c>
      <c r="D476" s="2">
        <f ca="1"/>
        <v>-5.0168695907290553E-3</v>
      </c>
      <c r="E476" s="2">
        <f ca="1"/>
        <v>-1.2303051950629134E-3</v>
      </c>
      <c r="F476" s="2">
        <f ca="1"/>
        <v>-1.1550582183729235E-2</v>
      </c>
      <c r="G476" s="2">
        <f ca="1"/>
        <v>-1.2297957411543671E-2</v>
      </c>
      <c r="H476" s="2">
        <f ca="1"/>
        <v>-7.5527678985619819E-3</v>
      </c>
      <c r="I476" s="2">
        <f ca="1"/>
        <v>-1.7962249534862831E-2</v>
      </c>
      <c r="J476" s="2">
        <f ca="1"/>
        <v>-4.7756336865185822E-2</v>
      </c>
      <c r="K476" s="2">
        <f ca="1"/>
        <v>3.5636499233030732E-3</v>
      </c>
      <c r="L476" s="2">
        <f ca="1"/>
        <v>-7.1584949849803703E-3</v>
      </c>
      <c r="M476" s="2">
        <f ca="1"/>
        <v>-3.4482943747114352E-2</v>
      </c>
      <c r="N476" s="2">
        <f ca="1"/>
        <v>-4.7722709897643446E-3</v>
      </c>
      <c r="O476" s="2">
        <f ca="1"/>
        <v>-9.9865964926083902E-3</v>
      </c>
      <c r="P476" s="2">
        <f ca="1"/>
        <v>-3.3694098427608836E-2</v>
      </c>
      <c r="Q476" s="2">
        <f ca="1"/>
        <v>5.2338435374149426E-3</v>
      </c>
      <c r="R476" s="2">
        <f ca="1"/>
        <v>-1.3893806672106651E-3</v>
      </c>
      <c r="S476" s="2">
        <f ca="1"/>
        <v>1.6802715948380249E-2</v>
      </c>
      <c r="T476" s="2">
        <f ca="1"/>
        <v>6.1554106921509642E-3</v>
      </c>
      <c r="U476" s="2">
        <f ca="1"/>
        <v>6.4666236472556609E-3</v>
      </c>
      <c r="V476" s="2">
        <f ca="1"/>
        <v>9.6286276261043444E-3</v>
      </c>
      <c r="W476" s="2">
        <f ca="1"/>
        <v>2.4769381153314641E-3</v>
      </c>
      <c r="X476" s="2">
        <f ca="1"/>
        <v>1.1532595033242053E-2</v>
      </c>
      <c r="Y476" s="2">
        <f ca="1"/>
        <v>2.028358206826016E-3</v>
      </c>
      <c r="Z476" s="2">
        <f ca="1"/>
        <v>-7.2782238882304357E-4</v>
      </c>
      <c r="AA476" s="2">
        <f ca="1"/>
        <v>1.6954025855109935E-2</v>
      </c>
      <c r="AB476" s="2">
        <f ca="1"/>
        <v>1.4797471107514929E-2</v>
      </c>
      <c r="AC476" s="2">
        <f ca="1"/>
        <v>-1.7030309387048644E-2</v>
      </c>
      <c r="AD476" s="2">
        <f ca="1"/>
        <v>-4.6519931675628977E-2</v>
      </c>
      <c r="AE476" s="2" t="str">
        <f ca="1"/>
        <v/>
      </c>
      <c r="AF476" s="2">
        <f ca="1"/>
        <v>1.0317581731460286E-3</v>
      </c>
      <c r="AG476" s="26" t="str">
        <f ca="1"/>
        <v/>
      </c>
      <c r="AH476" s="26">
        <f ca="1"/>
        <v>-3.5099999999999999E-2</v>
      </c>
    </row>
    <row r="477" spans="1:34">
      <c r="A477" s="5">
        <f ca="1"/>
        <v>43312</v>
      </c>
      <c r="B477" s="2">
        <f ca="1"/>
        <v>2.468345218303547E-2</v>
      </c>
      <c r="C477" s="2">
        <f ca="1"/>
        <v>2.2848635740915852E-2</v>
      </c>
      <c r="D477" s="2">
        <f ca="1"/>
        <v>3.0482003499046641E-2</v>
      </c>
      <c r="E477" s="2">
        <f ca="1"/>
        <v>2.384169117062794E-4</v>
      </c>
      <c r="F477" s="2">
        <f ca="1"/>
        <v>2.0711964157692227E-2</v>
      </c>
      <c r="G477" s="2">
        <f ca="1"/>
        <v>2.8824096212361146E-2</v>
      </c>
      <c r="H477" s="2">
        <f ca="1"/>
        <v>1.730929345947297E-2</v>
      </c>
      <c r="I477" s="2">
        <f ca="1"/>
        <v>1.0053949740815931E-2</v>
      </c>
      <c r="J477" s="2">
        <f ca="1"/>
        <v>-5.2111642127445816E-5</v>
      </c>
      <c r="K477" s="2">
        <f ca="1"/>
        <v>3.1262271201469363E-2</v>
      </c>
      <c r="L477" s="2">
        <f ca="1"/>
        <v>2.2830300916904262E-2</v>
      </c>
      <c r="M477" s="2">
        <f ca="1"/>
        <v>2.6489771634147494E-2</v>
      </c>
      <c r="N477" s="2">
        <f ca="1"/>
        <v>3.1633848595940907E-2</v>
      </c>
      <c r="O477" s="2">
        <f ca="1"/>
        <v>2.9234537625985248E-2</v>
      </c>
      <c r="P477" s="2">
        <f ca="1"/>
        <v>1.8363599265456061E-2</v>
      </c>
      <c r="Q477" s="2">
        <f ca="1"/>
        <v>3.5993587981271453E-2</v>
      </c>
      <c r="R477" s="2">
        <f ca="1"/>
        <v>1.8672894818994253E-2</v>
      </c>
      <c r="S477" s="2">
        <f ca="1"/>
        <v>3.3629207494567728E-2</v>
      </c>
      <c r="T477" s="2">
        <f ca="1"/>
        <v>3.7215446092751715E-2</v>
      </c>
      <c r="U477" s="2">
        <f ca="1"/>
        <v>3.4511436025309129E-2</v>
      </c>
      <c r="V477" s="2">
        <f ca="1"/>
        <v>2.9356171079837914E-2</v>
      </c>
      <c r="W477" s="2">
        <f ca="1"/>
        <v>3.9578990440006234E-2</v>
      </c>
      <c r="X477" s="2">
        <f ca="1"/>
        <v>2.5098458046859333E-2</v>
      </c>
      <c r="Y477" s="2">
        <f ca="1"/>
        <v>4.6518347298468779E-2</v>
      </c>
      <c r="Z477" s="2">
        <f ca="1"/>
        <v>1.7593436645396421E-2</v>
      </c>
      <c r="AA477" s="2">
        <f ca="1"/>
        <v>3.2919488337095522E-2</v>
      </c>
      <c r="AB477" s="2">
        <f ca="1"/>
        <v>3.5921421889616355E-2</v>
      </c>
      <c r="AC477" s="2">
        <f ca="1"/>
        <v>2.4459523433801575E-2</v>
      </c>
      <c r="AD477" s="2">
        <f ca="1"/>
        <v>3.0279946676823509E-2</v>
      </c>
      <c r="AE477" s="2">
        <f ca="1"/>
        <v>-2.1956087824351326E-2</v>
      </c>
      <c r="AF477" s="2">
        <f ca="1"/>
        <v>-2.8861598631716519E-4</v>
      </c>
      <c r="AG477" s="26" t="str">
        <f ca="1"/>
        <v/>
      </c>
      <c r="AH477" s="26">
        <f ca="1"/>
        <v>-2.46E-2</v>
      </c>
    </row>
    <row r="478" spans="1:34">
      <c r="A478" s="5">
        <f ca="1"/>
        <v>43343</v>
      </c>
      <c r="B478" s="2">
        <f ca="1"/>
        <v>-1.918745544209189E-2</v>
      </c>
      <c r="C478" s="2">
        <f ca="1"/>
        <v>-2.6746172601967193E-2</v>
      </c>
      <c r="D478" s="2">
        <f ca="1"/>
        <v>8.3047748401663315E-3</v>
      </c>
      <c r="E478" s="2">
        <f ca="1"/>
        <v>6.435722231050392E-3</v>
      </c>
      <c r="F478" s="2">
        <f ca="1"/>
        <v>-2.7106420238957414E-3</v>
      </c>
      <c r="G478" s="2">
        <f ca="1"/>
        <v>-3.6245810636718327E-2</v>
      </c>
      <c r="H478" s="2">
        <f ca="1"/>
        <v>3.8495041543821953E-2</v>
      </c>
      <c r="I478" s="2">
        <f ca="1"/>
        <v>7.8985994846996928E-3</v>
      </c>
      <c r="J478" s="2">
        <f ca="1"/>
        <v>-2.2183381813303524E-2</v>
      </c>
      <c r="K478" s="2">
        <f ca="1"/>
        <v>1.5922927951719557E-2</v>
      </c>
      <c r="L478" s="2">
        <f ca="1"/>
        <v>-7.2998556072516978E-3</v>
      </c>
      <c r="M478" s="2">
        <f ca="1"/>
        <v>-5.2056530900777874E-3</v>
      </c>
      <c r="N478" s="2">
        <f ca="1"/>
        <v>2.7279638042204062E-2</v>
      </c>
      <c r="O478" s="2">
        <f ca="1"/>
        <v>-1.2271698154832479E-3</v>
      </c>
      <c r="P478" s="2">
        <f ca="1"/>
        <v>-2.2884048430031216E-2</v>
      </c>
      <c r="Q478" s="2">
        <f ca="1"/>
        <v>4.1524285440167244E-2</v>
      </c>
      <c r="R478" s="2">
        <f ca="1"/>
        <v>5.8661733103302229E-2</v>
      </c>
      <c r="S478" s="2">
        <f ca="1"/>
        <v>3.0804700282611983E-2</v>
      </c>
      <c r="T478" s="2">
        <f ca="1"/>
        <v>3.2583152063085104E-2</v>
      </c>
      <c r="U478" s="2">
        <f ca="1"/>
        <v>3.4457390694843416E-2</v>
      </c>
      <c r="V478" s="2">
        <f ca="1"/>
        <v>5.4676701181169095E-2</v>
      </c>
      <c r="W478" s="2">
        <f ca="1"/>
        <v>1.4780248511535886E-2</v>
      </c>
      <c r="X478" s="2">
        <f ca="1"/>
        <v>4.668880640750165E-2</v>
      </c>
      <c r="Y478" s="2">
        <f ca="1"/>
        <v>1.8958218295600994E-2</v>
      </c>
      <c r="Z478" s="2">
        <f ca="1"/>
        <v>5.8675983158649254E-2</v>
      </c>
      <c r="AA478" s="2">
        <f ca="1"/>
        <v>3.059551994172301E-2</v>
      </c>
      <c r="AB478" s="2">
        <f ca="1"/>
        <v>3.0883149720064968E-2</v>
      </c>
      <c r="AC478" s="2">
        <f ca="1"/>
        <v>-1.8638324091189318E-2</v>
      </c>
      <c r="AD478" s="2">
        <f ca="1"/>
        <v>-3.3086876155267911E-2</v>
      </c>
      <c r="AE478" s="2">
        <f ca="1"/>
        <v>-2.0408163265306124E-2</v>
      </c>
      <c r="AF478" s="2">
        <f ca="1"/>
        <v>5.6851297261094101E-3</v>
      </c>
      <c r="AG478" s="26" t="str">
        <f ca="1"/>
        <v/>
      </c>
      <c r="AH478" s="26">
        <f ca="1"/>
        <v>-1.8100000000000002E-2</v>
      </c>
    </row>
    <row r="479" spans="1:34">
      <c r="A479" s="5">
        <f ca="1"/>
        <v>43371</v>
      </c>
      <c r="B479" s="2">
        <f ca="1"/>
        <v>9.1080917844892119E-3</v>
      </c>
      <c r="C479" s="2">
        <f ca="1"/>
        <v>-4.9764386083013794E-3</v>
      </c>
      <c r="D479" s="2">
        <f ca="1"/>
        <v>4.7619047619046461E-3</v>
      </c>
      <c r="E479" s="2">
        <f ca="1"/>
        <v>-6.4389752901239218E-3</v>
      </c>
      <c r="F479" s="2">
        <f ca="1"/>
        <v>-2.1982929124998007E-3</v>
      </c>
      <c r="G479" s="2">
        <f ca="1"/>
        <v>2.1257138811535455E-2</v>
      </c>
      <c r="H479" s="2">
        <f ca="1"/>
        <v>7.8809470040879116E-3</v>
      </c>
      <c r="I479" s="2">
        <f ca="1"/>
        <v>1.1833746413295437E-2</v>
      </c>
      <c r="J479" s="2">
        <f ca="1"/>
        <v>-7.5874341837085784E-3</v>
      </c>
      <c r="K479" s="2">
        <f ca="1"/>
        <v>1.1207924941965415E-2</v>
      </c>
      <c r="L479" s="2">
        <f ca="1"/>
        <v>7.0151515151515654E-3</v>
      </c>
      <c r="M479" s="2">
        <f ca="1"/>
        <v>7.9500778672012256E-4</v>
      </c>
      <c r="N479" s="2">
        <f ca="1"/>
        <v>-1.4131282737100514E-3</v>
      </c>
      <c r="O479" s="2">
        <f ca="1"/>
        <v>-3.4458194589400844E-3</v>
      </c>
      <c r="P479" s="2">
        <f ca="1"/>
        <v>-2.7250091541559895E-2</v>
      </c>
      <c r="Q479" s="2">
        <f ca="1"/>
        <v>7.0439650036063593E-3</v>
      </c>
      <c r="R479" s="2">
        <f ca="1"/>
        <v>9.3382460679658878E-3</v>
      </c>
      <c r="S479" s="2">
        <f ca="1"/>
        <v>1.2529881723688319E-2</v>
      </c>
      <c r="T479" s="2">
        <f ca="1"/>
        <v>5.6917711361859471E-3</v>
      </c>
      <c r="U479" s="2">
        <f ca="1"/>
        <v>3.7971599495599845E-3</v>
      </c>
      <c r="V479" s="2">
        <f ca="1"/>
        <v>5.5884668073947399E-3</v>
      </c>
      <c r="W479" s="2">
        <f ca="1"/>
        <v>1.9834770333747708E-3</v>
      </c>
      <c r="X479" s="2">
        <f ca="1"/>
        <v>4.7741694662186834E-3</v>
      </c>
      <c r="Y479" s="2">
        <f ca="1"/>
        <v>6.2427745664740686E-3</v>
      </c>
      <c r="Z479" s="2">
        <f ca="1"/>
        <v>9.1895615696098824E-3</v>
      </c>
      <c r="AA479" s="2">
        <f ca="1"/>
        <v>1.2458437194184789E-2</v>
      </c>
      <c r="AB479" s="2">
        <f ca="1"/>
        <v>1.5949765309707768E-2</v>
      </c>
      <c r="AC479" s="2">
        <f ca="1"/>
        <v>5.8075655313138633E-3</v>
      </c>
      <c r="AD479" s="2">
        <f ca="1"/>
        <v>-1.0131905945326076E-2</v>
      </c>
      <c r="AE479" s="2">
        <f ca="1"/>
        <v>-7.4999999999999893E-3</v>
      </c>
      <c r="AF479" s="2">
        <f ca="1"/>
        <v>-6.1907656889055853E-3</v>
      </c>
      <c r="AG479" s="26" t="str">
        <f ca="1"/>
        <v/>
      </c>
      <c r="AH479" s="26">
        <f ca="1"/>
        <v>-8.3999999999999995E-3</v>
      </c>
    </row>
    <row r="480" spans="1:34">
      <c r="A480" s="5">
        <f ca="1"/>
        <v>43404</v>
      </c>
      <c r="B480" s="2">
        <f ca="1"/>
        <v>-7.9522051041393177E-2</v>
      </c>
      <c r="C480" s="2">
        <f ca="1"/>
        <v>-8.7000830699929046E-2</v>
      </c>
      <c r="D480" s="2">
        <f ca="1"/>
        <v>-7.4719396257110424E-2</v>
      </c>
      <c r="E480" s="2">
        <f ca="1"/>
        <v>-7.9009966876400217E-3</v>
      </c>
      <c r="F480" s="2">
        <f ca="1"/>
        <v>-9.2049408531061264E-2</v>
      </c>
      <c r="G480" s="2">
        <f ca="1"/>
        <v>-6.6322079932788325E-2</v>
      </c>
      <c r="H480" s="2">
        <f ca="1"/>
        <v>-9.9351133344612666E-2</v>
      </c>
      <c r="I480" s="2">
        <f ca="1"/>
        <v>-0.10227018267782743</v>
      </c>
      <c r="J480" s="2">
        <f ca="1"/>
        <v>-9.2847166794005426E-2</v>
      </c>
      <c r="K480" s="2">
        <f ca="1"/>
        <v>-4.6730089394959928E-2</v>
      </c>
      <c r="L480" s="2">
        <f ca="1"/>
        <v>-6.1086619622948195E-2</v>
      </c>
      <c r="M480" s="2">
        <f ca="1"/>
        <v>-6.9056324540785266E-2</v>
      </c>
      <c r="N480" s="2">
        <f ca="1"/>
        <v>-7.5492839541445006E-2</v>
      </c>
      <c r="O480" s="2">
        <f ca="1"/>
        <v>-8.1974344055634155E-2</v>
      </c>
      <c r="P480" s="2">
        <f ca="1"/>
        <v>-8.1126862356864837E-2</v>
      </c>
      <c r="Q480" s="2">
        <f ca="1"/>
        <v>-7.0593089381843416E-2</v>
      </c>
      <c r="R480" s="2">
        <f ca="1"/>
        <v>-9.7978260099847836E-2</v>
      </c>
      <c r="S480" s="2">
        <f ca="1"/>
        <v>-4.0219374085545427E-2</v>
      </c>
      <c r="T480" s="2">
        <f ca="1"/>
        <v>-6.8352269352356956E-2</v>
      </c>
      <c r="U480" s="2">
        <f ca="1"/>
        <v>-7.0763290817193888E-2</v>
      </c>
      <c r="V480" s="2">
        <f ca="1"/>
        <v>-8.9426630329675044E-2</v>
      </c>
      <c r="W480" s="2">
        <f ca="1"/>
        <v>-5.1781595576129269E-2</v>
      </c>
      <c r="X480" s="2">
        <f ca="1"/>
        <v>-9.0660705414803811E-2</v>
      </c>
      <c r="Y480" s="2">
        <f ca="1"/>
        <v>-4.9783158655583713E-2</v>
      </c>
      <c r="Z480" s="2">
        <f ca="1"/>
        <v>-9.8571428571428615E-2</v>
      </c>
      <c r="AA480" s="2">
        <f ca="1"/>
        <v>-4.0497896213183726E-2</v>
      </c>
      <c r="AB480" s="2">
        <f ca="1"/>
        <v>-4.3659043659043655E-2</v>
      </c>
      <c r="AC480" s="2">
        <f ca="1"/>
        <v>-8.2709113607989965E-2</v>
      </c>
      <c r="AD480" s="2">
        <f ca="1"/>
        <v>-8.7292390884511434E-2</v>
      </c>
      <c r="AE480" s="2">
        <f ca="1"/>
        <v>2.0990764063811923E-2</v>
      </c>
      <c r="AF480" s="2">
        <f ca="1"/>
        <v>-6.4441694058116651E-3</v>
      </c>
      <c r="AG480" s="26" t="str">
        <f ca="1"/>
        <v/>
      </c>
      <c r="AH480" s="26">
        <f ca="1"/>
        <v>1.9699999999999999E-2</v>
      </c>
    </row>
    <row r="481" spans="1:34">
      <c r="A481" s="5">
        <f ca="1"/>
        <v>43434</v>
      </c>
      <c r="B481" s="2">
        <f ca="1"/>
        <v>-1.1186493987697648E-3</v>
      </c>
      <c r="C481" s="2">
        <f ca="1"/>
        <v>4.1285995685207862E-2</v>
      </c>
      <c r="D481" s="2">
        <f ca="1"/>
        <v>1.5099576825202082E-2</v>
      </c>
      <c r="E481" s="2">
        <f ca="1"/>
        <v>5.9666826846067958E-3</v>
      </c>
      <c r="F481" s="2">
        <f ca="1"/>
        <v>3.0606016317477366E-3</v>
      </c>
      <c r="G481" s="2">
        <f ca="1"/>
        <v>-5.3812721475853843E-3</v>
      </c>
      <c r="H481" s="2">
        <f ca="1"/>
        <v>2.0044475584122836E-2</v>
      </c>
      <c r="I481" s="2">
        <f ca="1"/>
        <v>-8.773984222822627E-3</v>
      </c>
      <c r="J481" s="2">
        <f ca="1"/>
        <v>4.4031691971436672E-2</v>
      </c>
      <c r="K481" s="2">
        <f ca="1"/>
        <v>3.1628369790621294E-2</v>
      </c>
      <c r="L481" s="2">
        <f ca="1"/>
        <v>1.627592690522359E-2</v>
      </c>
      <c r="M481" s="2">
        <f ca="1"/>
        <v>3.761542957334886E-2</v>
      </c>
      <c r="N481" s="2">
        <f ca="1"/>
        <v>8.8992114806106769E-3</v>
      </c>
      <c r="O481" s="2">
        <f ca="1"/>
        <v>2.7795969735289524E-3</v>
      </c>
      <c r="P481" s="2">
        <f ca="1"/>
        <v>4.8724734336722593E-2</v>
      </c>
      <c r="Q481" s="2">
        <f ca="1"/>
        <v>1.189414213499855E-2</v>
      </c>
      <c r="R481" s="2">
        <f ca="1"/>
        <v>1.3840585967859781E-2</v>
      </c>
      <c r="S481" s="2">
        <f ca="1"/>
        <v>3.733391407210887E-2</v>
      </c>
      <c r="T481" s="2">
        <f ca="1"/>
        <v>2.0375403544815294E-2</v>
      </c>
      <c r="U481" s="2">
        <f ca="1"/>
        <v>2.0350671517801892E-2</v>
      </c>
      <c r="V481" s="2">
        <f ca="1"/>
        <v>1.0621738529415104E-2</v>
      </c>
      <c r="W481" s="2">
        <f ca="1"/>
        <v>2.9855853179990195E-2</v>
      </c>
      <c r="X481" s="2">
        <f ca="1"/>
        <v>5.7361376673040355E-3</v>
      </c>
      <c r="Y481" s="2">
        <f ca="1"/>
        <v>3.2708947418465369E-2</v>
      </c>
      <c r="Z481" s="2">
        <f ca="1"/>
        <v>1.4169851775892731E-2</v>
      </c>
      <c r="AA481" s="2">
        <f ca="1"/>
        <v>3.2340581034167835E-2</v>
      </c>
      <c r="AB481" s="2">
        <f ca="1"/>
        <v>1.3992753623188412E-2</v>
      </c>
      <c r="AC481" s="2">
        <f ca="1"/>
        <v>3.4025178632187208E-3</v>
      </c>
      <c r="AD481" s="2">
        <f ca="1"/>
        <v>4.6762589928057555E-2</v>
      </c>
      <c r="AE481" s="2">
        <f ca="1"/>
        <v>4.93421052631583E-3</v>
      </c>
      <c r="AF481" s="2">
        <f ca="1"/>
        <v>5.2363195238494279E-3</v>
      </c>
      <c r="AG481" s="26" t="str">
        <f ca="1"/>
        <v/>
      </c>
      <c r="AH481" s="26">
        <f ca="1"/>
        <v>4.3E-3</v>
      </c>
    </row>
    <row r="482" spans="1:34">
      <c r="A482" s="5">
        <f ca="1"/>
        <v>43465</v>
      </c>
      <c r="B482" s="2">
        <f ca="1"/>
        <v>-4.8329976597366112E-2</v>
      </c>
      <c r="C482" s="2">
        <f ca="1"/>
        <v>-2.5889209676474966E-2</v>
      </c>
      <c r="D482" s="2">
        <f ca="1"/>
        <v>-7.0029639682894496E-2</v>
      </c>
      <c r="E482" s="2">
        <f ca="1"/>
        <v>1.8371083953664189E-2</v>
      </c>
      <c r="F482" s="2">
        <f ca="1"/>
        <v>-4.8051417468506205E-2</v>
      </c>
      <c r="G482" s="2">
        <f ca="1"/>
        <v>-4.8605501211738289E-2</v>
      </c>
      <c r="H482" s="2">
        <f ca="1"/>
        <v>-7.1634065004230682E-2</v>
      </c>
      <c r="I482" s="2">
        <f ca="1"/>
        <v>-4.5049665662020025E-2</v>
      </c>
      <c r="J482" s="2">
        <f ca="1"/>
        <v>-2.2969438714645594E-2</v>
      </c>
      <c r="K482" s="2">
        <f ca="1"/>
        <v>-4.9418639994488166E-2</v>
      </c>
      <c r="L482" s="2">
        <f ca="1"/>
        <v>-2.8892649903288218E-2</v>
      </c>
      <c r="M482" s="2">
        <f ca="1"/>
        <v>-1.0031768204758441E-2</v>
      </c>
      <c r="N482" s="2">
        <f ca="1"/>
        <v>-6.85507801282665E-2</v>
      </c>
      <c r="O482" s="2">
        <f ca="1"/>
        <v>-3.7106036164014145E-2</v>
      </c>
      <c r="P482" s="2">
        <f ca="1"/>
        <v>-2.4835937499999971E-2</v>
      </c>
      <c r="Q482" s="2">
        <f ca="1"/>
        <v>-8.2830807944936788E-2</v>
      </c>
      <c r="R482" s="2">
        <f ca="1"/>
        <v>-7.6830155952362533E-2</v>
      </c>
      <c r="S482" s="2">
        <f ca="1"/>
        <v>-7.1000002385672528E-2</v>
      </c>
      <c r="T482" s="2">
        <f ca="1"/>
        <v>-9.0345824079075043E-2</v>
      </c>
      <c r="U482" s="2">
        <f ca="1"/>
        <v>-9.1077026751057916E-2</v>
      </c>
      <c r="V482" s="2">
        <f ca="1"/>
        <v>-8.5977956781271112E-2</v>
      </c>
      <c r="W482" s="2">
        <f ca="1"/>
        <v>-9.6025400439349276E-2</v>
      </c>
      <c r="X482" s="2">
        <f ca="1"/>
        <v>-8.4074918038528318E-2</v>
      </c>
      <c r="Y482" s="2">
        <f ca="1"/>
        <v>-9.1228639392109762E-2</v>
      </c>
      <c r="Z482" s="2">
        <f ca="1"/>
        <v>-7.5055696476711953E-2</v>
      </c>
      <c r="AA482" s="2">
        <f ca="1"/>
        <v>-6.6779998062557785E-2</v>
      </c>
      <c r="AB482" s="2">
        <f ca="1"/>
        <v>-9.808816841550376E-2</v>
      </c>
      <c r="AC482" s="2">
        <f ca="1"/>
        <v>-5.484533312559773E-2</v>
      </c>
      <c r="AD482" s="2">
        <f ca="1"/>
        <v>-2.9551707424687199E-2</v>
      </c>
      <c r="AE482" s="2">
        <f ca="1"/>
        <v>4.9099836333878856E-2</v>
      </c>
      <c r="AF482" s="2">
        <f ca="1"/>
        <v>1.9801963370733738E-2</v>
      </c>
      <c r="AG482" s="26" t="str">
        <f ca="1"/>
        <v/>
      </c>
      <c r="AH482" s="26">
        <f ca="1"/>
        <v>5.0099999999999999E-2</v>
      </c>
    </row>
    <row r="483" spans="1:34">
      <c r="A483" s="5">
        <f ca="1"/>
        <v>43496</v>
      </c>
      <c r="B483" s="2">
        <f ca="1"/>
        <v>6.5873191987822988E-2</v>
      </c>
      <c r="C483" s="2">
        <f ca="1"/>
        <v>8.7633799560744519E-2</v>
      </c>
      <c r="D483" s="2">
        <f ca="1"/>
        <v>7.9267372578100084E-2</v>
      </c>
      <c r="E483" s="2">
        <f ca="1"/>
        <v>1.0622495846770368E-2</v>
      </c>
      <c r="F483" s="2">
        <f ca="1"/>
        <v>6.4678853901873362E-2</v>
      </c>
      <c r="G483" s="2">
        <f ca="1"/>
        <v>6.7046845079632003E-2</v>
      </c>
      <c r="H483" s="2">
        <f ca="1"/>
        <v>6.3961655175371793E-2</v>
      </c>
      <c r="I483" s="2">
        <f ca="1"/>
        <v>5.7960810976627863E-2</v>
      </c>
      <c r="J483" s="2">
        <f ca="1"/>
        <v>7.1592529646242006E-2</v>
      </c>
      <c r="K483" s="2">
        <f ca="1"/>
        <v>4.96557310652085E-2</v>
      </c>
      <c r="L483" s="2">
        <f ca="1"/>
        <v>4.5101997737593373E-2</v>
      </c>
      <c r="M483" s="2">
        <f ca="1"/>
        <v>5.6772211316889976E-2</v>
      </c>
      <c r="N483" s="2">
        <f ca="1"/>
        <v>7.5599767748963403E-2</v>
      </c>
      <c r="O483" s="2">
        <f ca="1"/>
        <v>6.2200134402300468E-2</v>
      </c>
      <c r="P483" s="2">
        <f ca="1"/>
        <v>7.4706980395926964E-2</v>
      </c>
      <c r="Q483" s="2">
        <f ca="1"/>
        <v>8.0518953068591984E-2</v>
      </c>
      <c r="R483" s="2">
        <f ca="1"/>
        <v>6.6675054521053517E-2</v>
      </c>
      <c r="S483" s="2">
        <f ca="1"/>
        <v>5.7656750760128307E-2</v>
      </c>
      <c r="T483" s="2">
        <f ca="1"/>
        <v>8.0134372485466718E-2</v>
      </c>
      <c r="U483" s="2">
        <f ca="1"/>
        <v>8.3803352063037281E-2</v>
      </c>
      <c r="V483" s="2">
        <f ca="1"/>
        <v>8.9886283037544562E-2</v>
      </c>
      <c r="W483" s="2">
        <f ca="1"/>
        <v>7.7834106823107319E-2</v>
      </c>
      <c r="X483" s="2">
        <f ca="1"/>
        <v>9.201220873967092E-2</v>
      </c>
      <c r="Y483" s="2">
        <f ca="1"/>
        <v>6.9525267993874457E-2</v>
      </c>
      <c r="Z483" s="2">
        <f ca="1"/>
        <v>6.4551531477601509E-2</v>
      </c>
      <c r="AA483" s="2">
        <f ca="1"/>
        <v>5.6488549618320588E-2</v>
      </c>
      <c r="AB483" s="2">
        <f ca="1"/>
        <v>6.9673306772908408E-2</v>
      </c>
      <c r="AC483" s="2">
        <f ca="1"/>
        <v>6.6909090909090974E-2</v>
      </c>
      <c r="AD483" s="2">
        <f ca="1"/>
        <v>9.6076352067868478E-2</v>
      </c>
      <c r="AE483" s="2">
        <f ca="1"/>
        <v>2.8471138845553839E-2</v>
      </c>
      <c r="AF483" s="2">
        <f ca="1"/>
        <v>9.108836510470503E-3</v>
      </c>
      <c r="AG483" s="26" t="str">
        <f ca="1"/>
        <v/>
      </c>
      <c r="AH483" s="26">
        <f ca="1"/>
        <v>0.03</v>
      </c>
    </row>
    <row r="484" spans="1:34">
      <c r="A484" s="5">
        <f ca="1"/>
        <v>43524</v>
      </c>
      <c r="B484" s="2">
        <f ca="1"/>
        <v>2.5608627711884113E-2</v>
      </c>
      <c r="C484" s="2">
        <f ca="1"/>
        <v>2.3381570221232164E-3</v>
      </c>
      <c r="D484" s="2">
        <f ca="1"/>
        <v>2.7200904399861465E-2</v>
      </c>
      <c r="E484" s="2">
        <f ca="1"/>
        <v>-5.8017540636465606E-4</v>
      </c>
      <c r="F484" s="2">
        <f ca="1"/>
        <v>3.4527409999636022E-2</v>
      </c>
      <c r="G484" s="2">
        <f ca="1"/>
        <v>1.6751770727646179E-2</v>
      </c>
      <c r="H484" s="2">
        <f ca="1"/>
        <v>3.5697008788196476E-2</v>
      </c>
      <c r="I484" s="2">
        <f ca="1"/>
        <v>2.6898352102794287E-2</v>
      </c>
      <c r="J484" s="2">
        <f ca="1"/>
        <v>1.0533590622211018E-3</v>
      </c>
      <c r="K484" s="2">
        <f ca="1"/>
        <v>2.7672399086928662E-2</v>
      </c>
      <c r="L484" s="2">
        <f ca="1"/>
        <v>1.8416091811157345E-2</v>
      </c>
      <c r="M484" s="2">
        <f ca="1"/>
        <v>3.6827058196444067E-3</v>
      </c>
      <c r="N484" s="2">
        <f ca="1"/>
        <v>3.785410595710112E-2</v>
      </c>
      <c r="O484" s="2">
        <f ca="1"/>
        <v>4.3088557682404785E-2</v>
      </c>
      <c r="P484" s="2">
        <f ca="1"/>
        <v>-4.5472843021791728E-4</v>
      </c>
      <c r="Q484" s="2">
        <f ca="1"/>
        <v>4.7355738108861123E-2</v>
      </c>
      <c r="R484" s="2">
        <f ca="1"/>
        <v>3.5952158151750839E-2</v>
      </c>
      <c r="S484" s="2">
        <f ca="1"/>
        <v>3.7857524401495667E-2</v>
      </c>
      <c r="T484" s="2">
        <f ca="1"/>
        <v>3.2107949895332943E-2</v>
      </c>
      <c r="U484" s="2">
        <f ca="1"/>
        <v>3.3858394727582265E-2</v>
      </c>
      <c r="V484" s="2">
        <f ca="1"/>
        <v>3.5779695137431247E-2</v>
      </c>
      <c r="W484" s="2">
        <f ca="1"/>
        <v>3.1951856403769914E-2</v>
      </c>
      <c r="X484" s="2">
        <f ca="1"/>
        <v>3.6880496284681819E-2</v>
      </c>
      <c r="Y484" s="2">
        <f ca="1"/>
        <v>2.863688430698753E-2</v>
      </c>
      <c r="Z484" s="2">
        <f ca="1"/>
        <v>3.3926897844423522E-2</v>
      </c>
      <c r="AA484" s="2">
        <f ca="1"/>
        <v>3.8294797687861142E-2</v>
      </c>
      <c r="AB484" s="2">
        <f ca="1"/>
        <v>4.6691099788444872E-2</v>
      </c>
      <c r="AC484" s="2">
        <f ca="1"/>
        <v>2.7436946148602665E-2</v>
      </c>
      <c r="AD484" s="2">
        <f ca="1"/>
        <v>-1.0835913312693506E-2</v>
      </c>
      <c r="AE484" s="2">
        <f ca="1"/>
        <v>-4.929844520288303E-3</v>
      </c>
      <c r="AF484" s="2">
        <f ca="1"/>
        <v>-1.1297798419456372E-3</v>
      </c>
      <c r="AG484" s="26" t="str">
        <f ca="1"/>
        <v/>
      </c>
      <c r="AH484" s="26">
        <f ca="1"/>
        <v>-2.7000000000000001E-3</v>
      </c>
    </row>
    <row r="485" spans="1:34">
      <c r="A485" s="5">
        <f ca="1"/>
        <v>43553</v>
      </c>
      <c r="B485" s="2">
        <f ca="1"/>
        <v>7.3972722217981995E-3</v>
      </c>
      <c r="C485" s="2">
        <f ca="1"/>
        <v>8.5885875696629869E-3</v>
      </c>
      <c r="D485" s="2">
        <f ca="1"/>
        <v>1.319801198564194E-2</v>
      </c>
      <c r="E485" s="2">
        <f ca="1"/>
        <v>1.9200441189276031E-2</v>
      </c>
      <c r="F485" s="2">
        <f ca="1"/>
        <v>1.8469421701329019E-2</v>
      </c>
      <c r="G485" s="2">
        <f ca="1"/>
        <v>-3.8365406388321879E-3</v>
      </c>
      <c r="H485" s="2">
        <f ca="1"/>
        <v>2.5884047252982413E-2</v>
      </c>
      <c r="I485" s="2">
        <f ca="1"/>
        <v>1.9944824010813062E-2</v>
      </c>
      <c r="J485" s="2">
        <f ca="1"/>
        <v>1.7752087680219557E-2</v>
      </c>
      <c r="K485" s="2">
        <f ca="1"/>
        <v>2.0978993340315763E-2</v>
      </c>
      <c r="L485" s="2">
        <f ca="1"/>
        <v>1.5062446605101445E-2</v>
      </c>
      <c r="M485" s="2">
        <f ca="1"/>
        <v>2.1189054646302738E-3</v>
      </c>
      <c r="N485" s="2">
        <f ca="1"/>
        <v>3.0300938072486551E-2</v>
      </c>
      <c r="O485" s="2">
        <f ca="1"/>
        <v>2.2799722408724857E-2</v>
      </c>
      <c r="P485" s="2">
        <f ca="1"/>
        <v>2.2366409367192461E-2</v>
      </c>
      <c r="Q485" s="2">
        <f ca="1"/>
        <v>3.2602020878691358E-2</v>
      </c>
      <c r="R485" s="2">
        <f ca="1"/>
        <v>2.1576426473155625E-2</v>
      </c>
      <c r="S485" s="2">
        <f ca="1"/>
        <v>2.6737505029804504E-2</v>
      </c>
      <c r="T485" s="2">
        <f ca="1"/>
        <v>1.9432294815315457E-2</v>
      </c>
      <c r="U485" s="2">
        <f ca="1"/>
        <v>1.7409519479010916E-2</v>
      </c>
      <c r="V485" s="2">
        <f ca="1"/>
        <v>2.8463089810800809E-2</v>
      </c>
      <c r="W485" s="2">
        <f ca="1"/>
        <v>6.3579173224342315E-3</v>
      </c>
      <c r="X485" s="2">
        <f ca="1"/>
        <v>3.1264192569169416E-2</v>
      </c>
      <c r="Y485" s="2">
        <f ca="1"/>
        <v>5.6513387516323047E-3</v>
      </c>
      <c r="Z485" s="2">
        <f ca="1"/>
        <v>2.1184264209323424E-2</v>
      </c>
      <c r="AA485" s="2">
        <f ca="1"/>
        <v>2.7159018832607386E-2</v>
      </c>
      <c r="AB485" s="2">
        <f ca="1"/>
        <v>2.6278492779465267E-2</v>
      </c>
      <c r="AC485" s="2">
        <f ca="1"/>
        <v>7.9615193232709068E-3</v>
      </c>
      <c r="AD485" s="2">
        <f ca="1"/>
        <v>1.1541471048513385E-2</v>
      </c>
      <c r="AE485" s="2">
        <f ca="1"/>
        <v>-1.6006097560975541E-2</v>
      </c>
      <c r="AF485" s="2">
        <f ca="1"/>
        <v>2.1228550943729989E-2</v>
      </c>
      <c r="AG485" s="26" t="str">
        <f ca="1"/>
        <v/>
      </c>
      <c r="AH485" s="26">
        <f ca="1"/>
        <v>-1.7600000000000001E-2</v>
      </c>
    </row>
    <row r="486" spans="1:34">
      <c r="A486" s="5">
        <f ca="1"/>
        <v>43585</v>
      </c>
      <c r="B486" s="2">
        <f ca="1"/>
        <v>2.9094559637895041E-2</v>
      </c>
      <c r="C486" s="2">
        <f ca="1"/>
        <v>2.1240270307775661E-2</v>
      </c>
      <c r="D486" s="2">
        <f ca="1"/>
        <v>3.4294849343513692E-2</v>
      </c>
      <c r="E486" s="2">
        <f ca="1"/>
        <v>2.563092418467383E-4</v>
      </c>
      <c r="F486" s="2">
        <f ca="1"/>
        <v>3.3830727913846712E-2</v>
      </c>
      <c r="G486" s="2">
        <f ca="1"/>
        <v>2.4168393103931179E-2</v>
      </c>
      <c r="H486" s="2">
        <f ca="1"/>
        <v>3.1780585434333188E-2</v>
      </c>
      <c r="I486" s="2">
        <f ca="1"/>
        <v>9.1964956740526408E-3</v>
      </c>
      <c r="J486" s="2">
        <f ca="1"/>
        <v>1.5579406261653151E-2</v>
      </c>
      <c r="K486" s="2">
        <f ca="1"/>
        <v>9.4339257441264975E-3</v>
      </c>
      <c r="L486" s="2">
        <f ca="1"/>
        <v>-3.4567406442554343E-4</v>
      </c>
      <c r="M486" s="2">
        <f ca="1"/>
        <v>1.3526968288975125E-2</v>
      </c>
      <c r="N486" s="2">
        <f ca="1"/>
        <v>3.6714216148358091E-2</v>
      </c>
      <c r="O486" s="2">
        <f ca="1"/>
        <v>2.49034642541924E-2</v>
      </c>
      <c r="P486" s="2">
        <f ca="1"/>
        <v>2.8661258790230952E-2</v>
      </c>
      <c r="Q486" s="2">
        <f ca="1"/>
        <v>4.4848971647911968E-2</v>
      </c>
      <c r="R486" s="2">
        <f ca="1"/>
        <v>2.3160342835488807E-2</v>
      </c>
      <c r="S486" s="2">
        <f ca="1"/>
        <v>2.2010522214449803E-2</v>
      </c>
      <c r="T486" s="2">
        <f ca="1"/>
        <v>4.048926956402301E-2</v>
      </c>
      <c r="U486" s="2">
        <f ca="1"/>
        <v>4.0384113529162748E-2</v>
      </c>
      <c r="V486" s="2">
        <f ca="1"/>
        <v>4.5180156714053211E-2</v>
      </c>
      <c r="W486" s="2">
        <f ca="1"/>
        <v>3.5471184959449141E-2</v>
      </c>
      <c r="X486" s="2">
        <f ca="1"/>
        <v>4.7052806546477685E-2</v>
      </c>
      <c r="Y486" s="2">
        <f ca="1"/>
        <v>3.3633745238316595E-2</v>
      </c>
      <c r="Z486" s="2">
        <f ca="1"/>
        <v>2.255303975753244E-2</v>
      </c>
      <c r="AA486" s="2">
        <f ca="1"/>
        <v>2.1768707482993151E-2</v>
      </c>
      <c r="AB486" s="2">
        <f ca="1"/>
        <v>2.9609526754905635E-2</v>
      </c>
      <c r="AC486" s="2">
        <f ca="1"/>
        <v>2.9455323350337303E-2</v>
      </c>
      <c r="AD486" s="2">
        <f ca="1"/>
        <v>2.1852639721523879E-2</v>
      </c>
      <c r="AE486" s="2">
        <f ca="1"/>
        <v>-6.9713400464755894E-3</v>
      </c>
      <c r="AF486" s="2">
        <f ca="1"/>
        <v>-1.993195917978201E-3</v>
      </c>
      <c r="AG486" s="26" t="str">
        <f ca="1"/>
        <v/>
      </c>
      <c r="AH486" s="26">
        <f ca="1"/>
        <v>-5.6000000000000008E-3</v>
      </c>
    </row>
    <row r="487" spans="1:34">
      <c r="A487" s="5">
        <f ca="1"/>
        <v>43616</v>
      </c>
      <c r="B487" s="2">
        <f ca="1"/>
        <v>-4.6598268555439415E-2</v>
      </c>
      <c r="C487" s="2">
        <f ca="1"/>
        <v>-7.2245052583033348E-2</v>
      </c>
      <c r="D487" s="2">
        <f ca="1"/>
        <v>-5.84861566094153E-2</v>
      </c>
      <c r="E487" s="2">
        <f ca="1"/>
        <v>1.775198470131031E-2</v>
      </c>
      <c r="F487" s="2">
        <f ca="1"/>
        <v>-3.7760533376620692E-2</v>
      </c>
      <c r="G487" s="2">
        <f ca="1"/>
        <v>-5.5915339628851354E-2</v>
      </c>
      <c r="H487" s="2">
        <f ca="1"/>
        <v>-3.5209810942621045E-2</v>
      </c>
      <c r="I487" s="2">
        <f ca="1"/>
        <v>-1.7826049416471101E-2</v>
      </c>
      <c r="J487" s="2">
        <f ca="1"/>
        <v>-3.5773889006748112E-2</v>
      </c>
      <c r="K487" s="2">
        <f ca="1"/>
        <v>-1.0243135450222441E-2</v>
      </c>
      <c r="L487" s="2">
        <f ca="1"/>
        <v>-1.0113209816528966E-2</v>
      </c>
      <c r="M487" s="2">
        <f ca="1"/>
        <v>-4.6683461938639211E-2</v>
      </c>
      <c r="N487" s="2">
        <f ca="1"/>
        <v>-6.3790911637327433E-2</v>
      </c>
      <c r="O487" s="2">
        <f ca="1"/>
        <v>-3.7191628385124374E-2</v>
      </c>
      <c r="P487" s="2">
        <f ca="1"/>
        <v>-7.4971811109614026E-2</v>
      </c>
      <c r="Q487" s="2">
        <f ca="1"/>
        <v>-6.7604925860768897E-2</v>
      </c>
      <c r="R487" s="2">
        <f ca="1"/>
        <v>-2.267965621039867E-2</v>
      </c>
      <c r="S487" s="2">
        <f ca="1"/>
        <v>-1.6025290887566601E-2</v>
      </c>
      <c r="T487" s="2">
        <f ca="1"/>
        <v>-6.3548871586239356E-2</v>
      </c>
      <c r="U487" s="2">
        <f ca="1"/>
        <v>-6.3724198215551767E-2</v>
      </c>
      <c r="V487" s="2">
        <f ca="1"/>
        <v>-6.3173296542085158E-2</v>
      </c>
      <c r="W487" s="2">
        <f ca="1"/>
        <v>-6.4297073993838674E-2</v>
      </c>
      <c r="X487" s="2">
        <f ca="1"/>
        <v>-6.3377701795091085E-2</v>
      </c>
      <c r="Y487" s="2">
        <f ca="1"/>
        <v>-6.3280898876404548E-2</v>
      </c>
      <c r="Z487" s="2">
        <f ca="1"/>
        <v>-2.1968442158486607E-2</v>
      </c>
      <c r="AA487" s="2">
        <f ca="1"/>
        <v>-1.6145139813581903E-2</v>
      </c>
      <c r="AB487" s="2">
        <f ca="1"/>
        <v>-5.2986837664529197E-2</v>
      </c>
      <c r="AC487" s="2">
        <f ca="1"/>
        <v>-5.0671355498721309E-2</v>
      </c>
      <c r="AD487" s="2">
        <f ca="1"/>
        <v>-7.0401211203633712E-2</v>
      </c>
      <c r="AE487" s="2">
        <f ca="1"/>
        <v>1.7160686427457009E-2</v>
      </c>
      <c r="AF487" s="2">
        <f ca="1"/>
        <v>1.9109668277270276E-2</v>
      </c>
      <c r="AG487" s="26" t="str">
        <f ca="1"/>
        <v/>
      </c>
      <c r="AH487" s="26">
        <f ca="1"/>
        <v>1.5600000000000001E-2</v>
      </c>
    </row>
    <row r="488" spans="1:34">
      <c r="A488" s="5">
        <f ca="1"/>
        <v>43644</v>
      </c>
      <c r="B488" s="2">
        <f ca="1"/>
        <v>5.9650227225454239E-2</v>
      </c>
      <c r="C488" s="2">
        <f ca="1"/>
        <v>6.3224283095659653E-2</v>
      </c>
      <c r="D488" s="2">
        <f ca="1"/>
        <v>6.5946486040136407E-2</v>
      </c>
      <c r="E488" s="2">
        <f ca="1"/>
        <v>1.2556066356456062E-2</v>
      </c>
      <c r="F488" s="2">
        <f ca="1"/>
        <v>6.5175392186297462E-2</v>
      </c>
      <c r="G488" s="2">
        <f ca="1"/>
        <v>5.3752887248907526E-2</v>
      </c>
      <c r="H488" s="2">
        <f ca="1"/>
        <v>6.2655734112142966E-2</v>
      </c>
      <c r="I488" s="2">
        <f ca="1"/>
        <v>6.7104014885956076E-2</v>
      </c>
      <c r="J488" s="2">
        <f ca="1"/>
        <v>5.6084845458300114E-2</v>
      </c>
      <c r="K488" s="2">
        <f ca="1"/>
        <v>4.3558617376176473E-2</v>
      </c>
      <c r="L488" s="2">
        <f ca="1"/>
        <v>4.1974858624058906E-2</v>
      </c>
      <c r="M488" s="2">
        <f ca="1"/>
        <v>4.0454293628808861E-2</v>
      </c>
      <c r="N488" s="2">
        <f ca="1"/>
        <v>6.8970596358146369E-2</v>
      </c>
      <c r="O488" s="2">
        <f ca="1"/>
        <v>7.0025631063619184E-2</v>
      </c>
      <c r="P488" s="2">
        <f ca="1"/>
        <v>5.5205035226654195E-2</v>
      </c>
      <c r="Q488" s="2">
        <f ca="1"/>
        <v>6.9240526399238875E-2</v>
      </c>
      <c r="R488" s="2">
        <f ca="1"/>
        <v>6.2369266779365003E-2</v>
      </c>
      <c r="S488" s="2">
        <f ca="1"/>
        <v>5.0438084707705756E-2</v>
      </c>
      <c r="T488" s="2">
        <f ca="1"/>
        <v>7.0477167435376215E-2</v>
      </c>
      <c r="U488" s="2">
        <f ca="1"/>
        <v>7.020415447041245E-2</v>
      </c>
      <c r="V488" s="2">
        <f ca="1"/>
        <v>6.867630462833324E-2</v>
      </c>
      <c r="W488" s="2">
        <f ca="1"/>
        <v>7.1784078840537585E-2</v>
      </c>
      <c r="X488" s="2">
        <f ca="1"/>
        <v>6.7825796506764804E-2</v>
      </c>
      <c r="Y488" s="2">
        <f ca="1"/>
        <v>7.1133820387302066E-2</v>
      </c>
      <c r="Z488" s="2">
        <f ca="1"/>
        <v>6.1208800189111651E-2</v>
      </c>
      <c r="AA488" s="2">
        <f ca="1"/>
        <v>4.9851973745166596E-2</v>
      </c>
      <c r="AB488" s="2">
        <f ca="1"/>
        <v>6.2979451581298543E-2</v>
      </c>
      <c r="AC488" s="2">
        <f ca="1"/>
        <v>5.4570100596360097E-2</v>
      </c>
      <c r="AD488" s="2">
        <f ca="1"/>
        <v>5.769289572507863E-2</v>
      </c>
      <c r="AE488" s="2">
        <f ca="1"/>
        <v>8.0521472392638099E-2</v>
      </c>
      <c r="AF488" s="2">
        <f ca="1"/>
        <v>1.0981643845338347E-2</v>
      </c>
      <c r="AG488" s="26" t="str">
        <f ca="1"/>
        <v/>
      </c>
      <c r="AH488" s="26">
        <f ca="1"/>
        <v>8.2599999999999993E-2</v>
      </c>
    </row>
    <row r="489" spans="1:34">
      <c r="A489" s="5">
        <f ca="1"/>
        <v>43677</v>
      </c>
      <c r="B489" s="2">
        <f ca="1"/>
        <v>-1.2588106896487103E-2</v>
      </c>
      <c r="C489" s="2">
        <f ca="1"/>
        <v>-1.1400352321397241E-2</v>
      </c>
      <c r="D489" s="2">
        <f ca="1"/>
        <v>3.2742846630917713E-3</v>
      </c>
      <c r="E489" s="2">
        <f ca="1"/>
        <v>2.2010305243332423E-3</v>
      </c>
      <c r="F489" s="2">
        <f ca="1"/>
        <v>-3.5595544818644094E-3</v>
      </c>
      <c r="G489" s="2">
        <f ca="1"/>
        <v>-2.2347278609758929E-2</v>
      </c>
      <c r="H489" s="2">
        <f ca="1"/>
        <v>1.0087695701296605E-2</v>
      </c>
      <c r="I489" s="2">
        <f ca="1"/>
        <v>-8.258704076834076E-3</v>
      </c>
      <c r="J489" s="2">
        <f ca="1"/>
        <v>7.4706901820413927E-3</v>
      </c>
      <c r="K489" s="2">
        <f ca="1"/>
        <v>2.524774348292689E-3</v>
      </c>
      <c r="L489" s="2">
        <f ca="1"/>
        <v>-9.0324273373045168E-3</v>
      </c>
      <c r="M489" s="2">
        <f ca="1"/>
        <v>-4.1320113736807865E-3</v>
      </c>
      <c r="N489" s="2">
        <f ca="1"/>
        <v>1.686215746051424E-2</v>
      </c>
      <c r="O489" s="2">
        <f ca="1"/>
        <v>-9.7982874547439189E-3</v>
      </c>
      <c r="P489" s="2">
        <f ca="1"/>
        <v>8.0135423780531897E-3</v>
      </c>
      <c r="Q489" s="2">
        <f ca="1"/>
        <v>2.6131797084686367E-2</v>
      </c>
      <c r="R489" s="2">
        <f ca="1"/>
        <v>1.82729364696337E-2</v>
      </c>
      <c r="S489" s="2">
        <f ca="1"/>
        <v>1.6403732415328109E-2</v>
      </c>
      <c r="T489" s="2">
        <f ca="1"/>
        <v>1.4372716389314862E-2</v>
      </c>
      <c r="U489" s="2">
        <f ca="1"/>
        <v>1.5529817471589149E-2</v>
      </c>
      <c r="V489" s="2">
        <f ca="1"/>
        <v>2.2580924549546012E-2</v>
      </c>
      <c r="W489" s="2">
        <f ca="1"/>
        <v>8.289355393945411E-3</v>
      </c>
      <c r="X489" s="2">
        <f ca="1"/>
        <v>2.2951221004957431E-2</v>
      </c>
      <c r="Y489" s="2">
        <f ca="1"/>
        <v>8.2942661377569445E-3</v>
      </c>
      <c r="Z489" s="2">
        <f ca="1"/>
        <v>1.7959527824620607E-2</v>
      </c>
      <c r="AA489" s="2">
        <f ca="1"/>
        <v>1.6685566175279422E-2</v>
      </c>
      <c r="AB489" s="2">
        <f ca="1"/>
        <v>1.5488215488215567E-2</v>
      </c>
      <c r="AC489" s="2">
        <f ca="1"/>
        <v>-1.6775244299674436E-2</v>
      </c>
      <c r="AD489" s="2">
        <f ca="1"/>
        <v>-2.449455676516327E-2</v>
      </c>
      <c r="AE489" s="2">
        <f ca="1"/>
        <v>5.8907026259760091E-4</v>
      </c>
      <c r="AF489" s="2">
        <f ca="1"/>
        <v>1.8162007216056637E-3</v>
      </c>
      <c r="AG489" s="26" t="str">
        <f ca="1"/>
        <v/>
      </c>
      <c r="AH489" s="26">
        <f ca="1"/>
        <v>8.8000000000000005E-3</v>
      </c>
    </row>
    <row r="490" spans="1:34">
      <c r="A490" s="5">
        <f ca="1"/>
        <v>43707</v>
      </c>
      <c r="B490" s="2">
        <f ca="1"/>
        <v>-2.5772149166292259E-2</v>
      </c>
      <c r="C490" s="2">
        <f ca="1"/>
        <v>-4.8470798866664125E-2</v>
      </c>
      <c r="D490" s="2">
        <f ca="1"/>
        <v>-2.3265349371835567E-2</v>
      </c>
      <c r="E490" s="2">
        <f ca="1"/>
        <v>2.5913282395048955E-2</v>
      </c>
      <c r="F490" s="2">
        <f ca="1"/>
        <v>-1.2024738685027568E-2</v>
      </c>
      <c r="G490" s="2">
        <f ca="1"/>
        <v>-4.0934419202743294E-2</v>
      </c>
      <c r="H490" s="2">
        <f ca="1"/>
        <v>-7.5456958463175801E-4</v>
      </c>
      <c r="I490" s="2">
        <f ca="1"/>
        <v>-1.2513714726761178E-2</v>
      </c>
      <c r="J490" s="2">
        <f ca="1"/>
        <v>-2.904069898477098E-2</v>
      </c>
      <c r="K490" s="2">
        <f ca="1"/>
        <v>1.4577183892507962E-2</v>
      </c>
      <c r="L490" s="2">
        <f ca="1"/>
        <v>-1.470912701330953E-4</v>
      </c>
      <c r="M490" s="2">
        <f ca="1"/>
        <v>-2.630650283917747E-2</v>
      </c>
      <c r="N490" s="2">
        <f ca="1"/>
        <v>-1.8001117924048817E-2</v>
      </c>
      <c r="O490" s="2">
        <f ca="1"/>
        <v>-9.4388650147334396E-3</v>
      </c>
      <c r="P490" s="2">
        <f ca="1"/>
        <v>-3.326966737540097E-2</v>
      </c>
      <c r="Q490" s="2">
        <f ca="1"/>
        <v>-1.4060846035180881E-2</v>
      </c>
      <c r="R490" s="2">
        <f ca="1"/>
        <v>2.7853431192408919E-3</v>
      </c>
      <c r="S490" s="2">
        <f ca="1"/>
        <v>1.667377588764473E-2</v>
      </c>
      <c r="T490" s="2">
        <f ca="1"/>
        <v>-1.5840066893013295E-2</v>
      </c>
      <c r="U490" s="2">
        <f ca="1"/>
        <v>-1.8315455349330302E-2</v>
      </c>
      <c r="V490" s="2">
        <f ca="1"/>
        <v>-7.6585637009051414E-3</v>
      </c>
      <c r="W490" s="2">
        <f ca="1"/>
        <v>-2.9405310116563499E-2</v>
      </c>
      <c r="X490" s="2">
        <f ca="1"/>
        <v>-5.7436879262892518E-3</v>
      </c>
      <c r="Y490" s="2">
        <f ca="1"/>
        <v>-2.9685264663805503E-2</v>
      </c>
      <c r="Z490" s="2">
        <f ca="1"/>
        <v>2.650542532924626E-3</v>
      </c>
      <c r="AA490" s="2">
        <f ca="1"/>
        <v>1.5854047163798696E-2</v>
      </c>
      <c r="AB490" s="2">
        <f ca="1"/>
        <v>-1.226790450928388E-2</v>
      </c>
      <c r="AC490" s="2">
        <f ca="1"/>
        <v>-1.7227099552757901E-2</v>
      </c>
      <c r="AD490" s="2">
        <f ca="1"/>
        <v>-3.8062973296133881E-2</v>
      </c>
      <c r="AE490" s="2">
        <f ca="1"/>
        <v>7.8144173410978568E-2</v>
      </c>
      <c r="AF490" s="2">
        <f ca="1"/>
        <v>2.7813019831347888E-2</v>
      </c>
      <c r="AG490" s="26" t="str">
        <f ca="1"/>
        <v/>
      </c>
      <c r="AH490" s="26">
        <f ca="1"/>
        <v>6.7900000000000002E-2</v>
      </c>
    </row>
    <row r="491" spans="1:34">
      <c r="A491" s="5">
        <f ca="1"/>
        <v>43738</v>
      </c>
      <c r="B491" s="2">
        <f ca="1"/>
        <v>2.9154413038714636E-2</v>
      </c>
      <c r="C491" s="2">
        <f ca="1"/>
        <v>1.9419199091167176E-2</v>
      </c>
      <c r="D491" s="2">
        <f ca="1"/>
        <v>2.1500771186400626E-2</v>
      </c>
      <c r="E491" s="2">
        <f ca="1"/>
        <v>-5.324937636874129E-3</v>
      </c>
      <c r="F491" s="2">
        <f ca="1"/>
        <v>1.1730898586271998E-2</v>
      </c>
      <c r="G491" s="2">
        <f ca="1"/>
        <v>4.899283016307427E-2</v>
      </c>
      <c r="H491" s="2">
        <f ca="1"/>
        <v>-7.1560562179064317E-3</v>
      </c>
      <c r="I491" s="2">
        <f ca="1"/>
        <v>6.3913496841128004E-3</v>
      </c>
      <c r="J491" s="2">
        <f ca="1"/>
        <v>1.2399412582059257E-2</v>
      </c>
      <c r="K491" s="2">
        <f ca="1"/>
        <v>1.1783301149492494E-2</v>
      </c>
      <c r="L491" s="2">
        <f ca="1"/>
        <v>1.7903641044501761E-2</v>
      </c>
      <c r="M491" s="2">
        <f ca="1"/>
        <v>4.0635673728488305E-3</v>
      </c>
      <c r="N491" s="2">
        <f ca="1"/>
        <v>1.6942574633140847E-2</v>
      </c>
      <c r="O491" s="2">
        <f ca="1"/>
        <v>1.2317140399421561E-2</v>
      </c>
      <c r="P491" s="2">
        <f ca="1"/>
        <v>3.5122904069962595E-2</v>
      </c>
      <c r="Q491" s="2">
        <f ca="1"/>
        <v>1.3337974753119083E-2</v>
      </c>
      <c r="R491" s="2">
        <f ca="1"/>
        <v>-1.2100226729411251E-2</v>
      </c>
      <c r="S491" s="2">
        <f ca="1"/>
        <v>9.1092018802860966E-3</v>
      </c>
      <c r="T491" s="2">
        <f ca="1"/>
        <v>1.8710721337330285E-2</v>
      </c>
      <c r="U491" s="2">
        <f ca="1"/>
        <v>1.7333440842149495E-2</v>
      </c>
      <c r="V491" s="2">
        <f ca="1"/>
        <v>1.2391769588962479E-4</v>
      </c>
      <c r="W491" s="2">
        <f ca="1"/>
        <v>3.567759444350746E-2</v>
      </c>
      <c r="X491" s="2">
        <f ca="1"/>
        <v>2.8997841685326352E-3</v>
      </c>
      <c r="Y491" s="2">
        <f ca="1"/>
        <v>3.4593633972035569E-2</v>
      </c>
      <c r="Z491" s="2">
        <f ca="1"/>
        <v>-1.1363806444615453E-2</v>
      </c>
      <c r="AA491" s="2">
        <f ca="1"/>
        <v>9.9214001704261284E-3</v>
      </c>
      <c r="AB491" s="2">
        <f ca="1"/>
        <v>4.6101454974820641E-2</v>
      </c>
      <c r="AC491" s="2">
        <f ca="1"/>
        <v>2.9327490308444421E-2</v>
      </c>
      <c r="AD491" s="2">
        <f ca="1"/>
        <v>1.5537600994406526E-2</v>
      </c>
      <c r="AE491" s="2">
        <f ca="1"/>
        <v>-3.2894736842105261E-2</v>
      </c>
      <c r="AF491" s="2">
        <f ca="1"/>
        <v>-6.1176107637054234E-3</v>
      </c>
      <c r="AG491" s="26" t="str">
        <f ca="1"/>
        <v/>
      </c>
      <c r="AH491" s="26">
        <f ca="1"/>
        <v>-3.7599999999999995E-2</v>
      </c>
    </row>
    <row r="492" spans="1:34">
      <c r="A492" s="5">
        <f ca="1"/>
        <v>43769</v>
      </c>
      <c r="B492" s="2">
        <f ca="1"/>
        <v>3.6030243148595931E-2</v>
      </c>
      <c r="C492" s="2">
        <f ca="1"/>
        <v>4.2273202159150335E-2</v>
      </c>
      <c r="D492" s="2">
        <f ca="1"/>
        <v>2.762624821419828E-2</v>
      </c>
      <c r="E492" s="2">
        <f ca="1"/>
        <v>3.0121566861774219E-3</v>
      </c>
      <c r="F492" s="2">
        <f ca="1"/>
        <v>3.5873057793036657E-2</v>
      </c>
      <c r="G492" s="2">
        <f ca="1"/>
        <v>3.6204222934803319E-2</v>
      </c>
      <c r="H492" s="2">
        <f ca="1"/>
        <v>1.4701605723156895E-2</v>
      </c>
      <c r="I492" s="2">
        <f ca="1"/>
        <v>3.0933615666716645E-2</v>
      </c>
      <c r="J492" s="2">
        <f ca="1"/>
        <v>4.1508018100809556E-2</v>
      </c>
      <c r="K492" s="2">
        <f ca="1"/>
        <v>1.0794624334806558E-2</v>
      </c>
      <c r="L492" s="2">
        <f ca="1"/>
        <v>2.5152233398851302E-2</v>
      </c>
      <c r="M492" s="2">
        <f ca="1"/>
        <v>2.4228038896120206E-2</v>
      </c>
      <c r="N492" s="2">
        <f ca="1"/>
        <v>3.7984989187126283E-2</v>
      </c>
      <c r="O492" s="2">
        <f ca="1"/>
        <v>4.7259009044559937E-2</v>
      </c>
      <c r="P492" s="2">
        <f ca="1"/>
        <v>4.0643906655142489E-2</v>
      </c>
      <c r="Q492" s="2">
        <f ca="1"/>
        <v>3.03603391853044E-2</v>
      </c>
      <c r="R492" s="2">
        <f ca="1"/>
        <v>6.2542252422472105E-3</v>
      </c>
      <c r="S492" s="2">
        <f ca="1"/>
        <v>-1.7023829223894514E-3</v>
      </c>
      <c r="T492" s="2">
        <f ca="1"/>
        <v>2.1657302250424736E-2</v>
      </c>
      <c r="U492" s="2">
        <f ca="1"/>
        <v>2.1193515132977413E-2</v>
      </c>
      <c r="V492" s="2">
        <f ca="1"/>
        <v>2.8191575778609274E-2</v>
      </c>
      <c r="W492" s="2">
        <f ca="1"/>
        <v>1.3977575514279694E-2</v>
      </c>
      <c r="X492" s="2">
        <f ca="1"/>
        <v>2.5920134712533207E-2</v>
      </c>
      <c r="Y492" s="2">
        <f ca="1"/>
        <v>1.8993012005016918E-2</v>
      </c>
      <c r="Z492" s="2">
        <f ca="1"/>
        <v>6.457023060796571E-3</v>
      </c>
      <c r="AA492" s="2">
        <f ca="1"/>
        <v>-2.3400936037441234E-3</v>
      </c>
      <c r="AB492" s="2">
        <f ca="1"/>
        <v>6.4453754431195304E-3</v>
      </c>
      <c r="AC492" s="2">
        <f ca="1"/>
        <v>3.5369248403471248E-2</v>
      </c>
      <c r="AD492" s="2">
        <f ca="1"/>
        <v>4.385964912280689E-2</v>
      </c>
      <c r="AE492" s="2">
        <f ca="1"/>
        <v>2.6530612244898003E-2</v>
      </c>
      <c r="AF492" s="2">
        <f ca="1"/>
        <v>2.0795944292293818E-3</v>
      </c>
      <c r="AG492" s="26" t="str">
        <f ca="1"/>
        <v/>
      </c>
      <c r="AH492" s="26">
        <f ca="1"/>
        <v>3.3500000000000002E-2</v>
      </c>
    </row>
    <row r="493" spans="1:34">
      <c r="A493" s="5">
        <f ca="1"/>
        <v>43798</v>
      </c>
      <c r="B493" s="2">
        <f ca="1"/>
        <v>1.1424424912539069E-2</v>
      </c>
      <c r="C493" s="2">
        <f ca="1"/>
        <v>-1.3114425450337979E-3</v>
      </c>
      <c r="D493" s="2">
        <f ca="1"/>
        <v>2.4839094074024907E-2</v>
      </c>
      <c r="E493" s="2">
        <f ca="1"/>
        <v>-5.1174086160995136E-4</v>
      </c>
      <c r="F493" s="2">
        <f ca="1"/>
        <v>1.8032727073718165E-2</v>
      </c>
      <c r="G493" s="2">
        <f ca="1"/>
        <v>4.1840899708354227E-3</v>
      </c>
      <c r="H493" s="2">
        <f ca="1"/>
        <v>2.4585646321191992E-2</v>
      </c>
      <c r="I493" s="2">
        <f ca="1"/>
        <v>1.1219101863769508E-2</v>
      </c>
      <c r="J493" s="2">
        <f ca="1"/>
        <v>-6.7146718472845439E-3</v>
      </c>
      <c r="K493" s="2">
        <f ca="1"/>
        <v>8.9946353424920909E-4</v>
      </c>
      <c r="L493" s="2">
        <f ca="1"/>
        <v>3.1767365141426897E-3</v>
      </c>
      <c r="M493" s="2">
        <f ca="1"/>
        <v>-2.0937012751233493E-2</v>
      </c>
      <c r="N493" s="2">
        <f ca="1"/>
        <v>3.6390672745395987E-2</v>
      </c>
      <c r="O493" s="2">
        <f ca="1"/>
        <v>1.879512261292892E-2</v>
      </c>
      <c r="P493" s="2">
        <f ca="1"/>
        <v>-2.3497574109064608E-2</v>
      </c>
      <c r="Q493" s="2">
        <f ca="1"/>
        <v>4.3630084824577788E-2</v>
      </c>
      <c r="R493" s="2">
        <f ca="1"/>
        <v>3.370554248248931E-2</v>
      </c>
      <c r="S493" s="2">
        <f ca="1"/>
        <v>1.3283825476516509E-2</v>
      </c>
      <c r="T493" s="2">
        <f ca="1"/>
        <v>3.6299902465780312E-2</v>
      </c>
      <c r="U493" s="2">
        <f ca="1"/>
        <v>3.7791818877645052E-2</v>
      </c>
      <c r="V493" s="2">
        <f ca="1"/>
        <v>4.4363096661700921E-2</v>
      </c>
      <c r="W493" s="2">
        <f ca="1"/>
        <v>3.0916451752569594E-2</v>
      </c>
      <c r="X493" s="2">
        <f ca="1"/>
        <v>3.9920276686792801E-2</v>
      </c>
      <c r="Y493" s="2">
        <f ca="1"/>
        <v>3.4376648496571106E-2</v>
      </c>
      <c r="Z493" s="2">
        <f ca="1"/>
        <v>3.2911181469755149E-2</v>
      </c>
      <c r="AA493" s="2">
        <f ca="1"/>
        <v>1.3917122752150148E-2</v>
      </c>
      <c r="AB493" s="2">
        <f ca="1"/>
        <v>4.2907460774895968E-2</v>
      </c>
      <c r="AC493" s="2">
        <f ca="1"/>
        <v>9.3310137592915073E-3</v>
      </c>
      <c r="AD493" s="2">
        <f ca="1"/>
        <v>0</v>
      </c>
      <c r="AE493" s="2">
        <f ca="1"/>
        <v>-3.1809145129224684E-2</v>
      </c>
      <c r="AF493" s="2">
        <f ca="1"/>
        <v>-3.4282641936308778E-4</v>
      </c>
      <c r="AG493" s="26" t="str">
        <f ca="1"/>
        <v/>
      </c>
      <c r="AH493" s="26">
        <f ca="1"/>
        <v>-3.2500000000000001E-2</v>
      </c>
    </row>
    <row r="494" spans="1:34">
      <c r="A494" s="5">
        <f ca="1"/>
        <v>43830</v>
      </c>
      <c r="B494" s="2">
        <f ca="1"/>
        <v>3.2665319697359516E-2</v>
      </c>
      <c r="C494" s="2">
        <f ca="1"/>
        <v>7.526441030959731E-2</v>
      </c>
      <c r="D494" s="2">
        <f ca="1"/>
        <v>3.5631294929331946E-2</v>
      </c>
      <c r="E494" s="2">
        <f ca="1"/>
        <v>-6.9614425905557115E-4</v>
      </c>
      <c r="F494" s="2">
        <f ca="1"/>
        <v>2.8690676742894682E-2</v>
      </c>
      <c r="G494" s="2">
        <f ca="1"/>
        <v>3.6689286131673604E-2</v>
      </c>
      <c r="H494" s="2">
        <f ca="1"/>
        <v>2.780419580419586E-2</v>
      </c>
      <c r="I494" s="2">
        <f ca="1"/>
        <v>3.3424201727835702E-2</v>
      </c>
      <c r="J494" s="2">
        <f ca="1"/>
        <v>6.63108268587837E-2</v>
      </c>
      <c r="K494" s="2">
        <f ca="1"/>
        <v>1.8886024128179628E-2</v>
      </c>
      <c r="L494" s="2">
        <f ca="1"/>
        <v>1.5795908616077818E-2</v>
      </c>
      <c r="M494" s="2">
        <f ca="1"/>
        <v>4.4132966104005932E-2</v>
      </c>
      <c r="N494" s="2">
        <f ca="1"/>
        <v>4.0911169273461133E-2</v>
      </c>
      <c r="O494" s="2">
        <f ca="1"/>
        <v>3.8723851229398996E-2</v>
      </c>
      <c r="P494" s="2">
        <f ca="1"/>
        <v>6.2251927874801487E-2</v>
      </c>
      <c r="Q494" s="2">
        <f ca="1"/>
        <v>3.6647577285093137E-2</v>
      </c>
      <c r="R494" s="2">
        <f ca="1"/>
        <v>1.7961417448805417E-2</v>
      </c>
      <c r="S494" s="2">
        <f ca="1"/>
        <v>1.8945745437889148E-2</v>
      </c>
      <c r="T494" s="2">
        <f ca="1"/>
        <v>3.0115038065407974E-2</v>
      </c>
      <c r="U494" s="2">
        <f ca="1"/>
        <v>2.8878747399105186E-2</v>
      </c>
      <c r="V494" s="2">
        <f ca="1"/>
        <v>3.0171142494332243E-2</v>
      </c>
      <c r="W494" s="2">
        <f ca="1"/>
        <v>2.7509345439750567E-2</v>
      </c>
      <c r="X494" s="2">
        <f ca="1"/>
        <v>2.9758948525030797E-2</v>
      </c>
      <c r="Y494" s="2">
        <f ca="1"/>
        <v>2.6430969661448225E-2</v>
      </c>
      <c r="Z494" s="2">
        <f ca="1"/>
        <v>1.6940123870836564E-2</v>
      </c>
      <c r="AA494" s="2">
        <f ca="1"/>
        <v>1.7700318085637108E-2</v>
      </c>
      <c r="AB494" s="2">
        <f ca="1"/>
        <v>3.3670502222064719E-2</v>
      </c>
      <c r="AC494" s="2">
        <f ca="1"/>
        <v>3.6028807306723837E-2</v>
      </c>
      <c r="AD494" s="2">
        <f ca="1"/>
        <v>7.4639531680548446E-2</v>
      </c>
      <c r="AE494" s="2">
        <f ca="1"/>
        <v>3.627652292950042E-2</v>
      </c>
      <c r="AF494" s="2">
        <f ca="1"/>
        <v>-4.7424245652641925E-4</v>
      </c>
      <c r="AG494" s="26" t="str">
        <f ca="1"/>
        <v/>
      </c>
      <c r="AH494" s="26">
        <f ca="1"/>
        <v>3.9199999999999999E-2</v>
      </c>
    </row>
    <row r="495" spans="1:34">
      <c r="A495" s="5">
        <f ca="1"/>
        <v>43861</v>
      </c>
      <c r="B495" s="2">
        <f ca="1"/>
        <v>-2.0799459562004727E-2</v>
      </c>
      <c r="C495" s="2">
        <f ca="1"/>
        <v>-4.6574671157541013E-2</v>
      </c>
      <c r="D495" s="2">
        <f ca="1"/>
        <v>-1.0794759854907068E-2</v>
      </c>
      <c r="E495" s="2">
        <f ca="1"/>
        <v>1.9244943820224791E-2</v>
      </c>
      <c r="F495" s="2">
        <f ca="1"/>
        <v>-5.6779400515067982E-3</v>
      </c>
      <c r="G495" s="2">
        <f ca="1"/>
        <v>-3.6022444169408967E-2</v>
      </c>
      <c r="H495" s="2">
        <f ca="1"/>
        <v>2.3639652313721563E-2</v>
      </c>
      <c r="I495" s="2">
        <f ca="1"/>
        <v>8.6151439036138647E-3</v>
      </c>
      <c r="J495" s="2">
        <f ca="1"/>
        <v>-2.9450237902273142E-2</v>
      </c>
      <c r="K495" s="2">
        <f ca="1"/>
        <v>1.4265964335089079E-2</v>
      </c>
      <c r="L495" s="2">
        <f ca="1"/>
        <v>3.0528718670019351E-3</v>
      </c>
      <c r="M495" s="2">
        <f ca="1"/>
        <v>-4.0026743694077271E-2</v>
      </c>
      <c r="N495" s="2">
        <f ca="1"/>
        <v>2.5144371864053291E-3</v>
      </c>
      <c r="O495" s="2">
        <f ca="1"/>
        <v>-3.7458251141194217E-3</v>
      </c>
      <c r="P495" s="2">
        <f ca="1"/>
        <v>-3.2087595331985602E-2</v>
      </c>
      <c r="Q495" s="2">
        <f ca="1"/>
        <v>5.962286429797195E-3</v>
      </c>
      <c r="R495" s="2">
        <f ca="1"/>
        <v>3.6912982407889365E-2</v>
      </c>
      <c r="S495" s="2">
        <f ca="1"/>
        <v>2.3323626862107105E-2</v>
      </c>
      <c r="T495" s="2">
        <f ca="1"/>
        <v>-4.3937049911613022E-4</v>
      </c>
      <c r="U495" s="2">
        <f ca="1"/>
        <v>1.0792109982991607E-3</v>
      </c>
      <c r="V495" s="2">
        <f ca="1"/>
        <v>2.2355081139246752E-2</v>
      </c>
      <c r="W495" s="2">
        <f ca="1"/>
        <v>-2.1513127350516494E-2</v>
      </c>
      <c r="X495" s="2">
        <f ca="1"/>
        <v>3.1289454904759359E-2</v>
      </c>
      <c r="Y495" s="2">
        <f ca="1"/>
        <v>-2.5031289111389323E-2</v>
      </c>
      <c r="Z495" s="2">
        <f ca="1"/>
        <v>3.7432303281299754E-2</v>
      </c>
      <c r="AA495" s="2">
        <f ca="1"/>
        <v>2.3475609756097672E-2</v>
      </c>
      <c r="AB495" s="2">
        <f ca="1"/>
        <v>-4.8760454002389264E-2</v>
      </c>
      <c r="AC495" s="2">
        <f ca="1"/>
        <v>-2.7437155119558364E-2</v>
      </c>
      <c r="AD495" s="2">
        <f ca="1"/>
        <v>-5.8965773809523683E-2</v>
      </c>
      <c r="AE495" s="2">
        <f ca="1"/>
        <v>4.5574636723910135E-2</v>
      </c>
      <c r="AF495" s="2">
        <f ca="1"/>
        <v>2.0290113019489294E-2</v>
      </c>
      <c r="AG495" s="26" t="str">
        <f ca="1"/>
        <v/>
      </c>
      <c r="AH495" s="26">
        <f ca="1"/>
        <v>3.9300000000000002E-2</v>
      </c>
    </row>
    <row r="496" spans="1:34">
      <c r="A496" s="5">
        <f ca="1"/>
        <v>43889</v>
      </c>
      <c r="B496" s="2">
        <f ca="1"/>
        <v>-9.0258489276827239E-2</v>
      </c>
      <c r="C496" s="2">
        <f ca="1"/>
        <v>-5.2676236747314649E-2</v>
      </c>
      <c r="D496" s="2">
        <f ca="1"/>
        <v>-8.0382645702639921E-2</v>
      </c>
      <c r="E496" s="2">
        <f ca="1"/>
        <v>1.7999664876400995E-2</v>
      </c>
      <c r="F496" s="2">
        <f ca="1"/>
        <v>-8.624169526512887E-2</v>
      </c>
      <c r="G496" s="2">
        <f ca="1"/>
        <v>-9.4438634046975417E-2</v>
      </c>
      <c r="H496" s="2">
        <f ca="1"/>
        <v>-6.9587945124794506E-2</v>
      </c>
      <c r="I496" s="2">
        <f ca="1"/>
        <v>-7.635158523608665E-2</v>
      </c>
      <c r="J496" s="2">
        <f ca="1"/>
        <v>-5.1010363391461977E-2</v>
      </c>
      <c r="K496" s="2">
        <f ca="1"/>
        <v>-7.6544820232512301E-2</v>
      </c>
      <c r="L496" s="2">
        <f ca="1"/>
        <v>-8.0995094410754642E-2</v>
      </c>
      <c r="M496" s="2">
        <f ca="1"/>
        <v>-5.5815522569973408E-2</v>
      </c>
      <c r="N496" s="2">
        <f ca="1"/>
        <v>-7.3166401625752095E-2</v>
      </c>
      <c r="O496" s="2">
        <f ca="1"/>
        <v>-8.4061845500618251E-2</v>
      </c>
      <c r="P496" s="2">
        <f ca="1"/>
        <v>-5.6665425817926017E-2</v>
      </c>
      <c r="Q496" s="2">
        <f ca="1"/>
        <v>-7.495429026568079E-2</v>
      </c>
      <c r="R496" s="2">
        <f ca="1"/>
        <v>-7.3455532926001252E-2</v>
      </c>
      <c r="S496" s="2">
        <f ca="1"/>
        <v>-8.1054685584852279E-2</v>
      </c>
      <c r="T496" s="2">
        <f ca="1"/>
        <v>-8.2321376935460044E-2</v>
      </c>
      <c r="U496" s="2">
        <f ca="1"/>
        <v>-8.1717451256436535E-2</v>
      </c>
      <c r="V496" s="2">
        <f ca="1"/>
        <v>-6.8101834979307038E-2</v>
      </c>
      <c r="W496" s="2">
        <f ca="1"/>
        <v>-9.6846639764349429E-2</v>
      </c>
      <c r="X496" s="2">
        <f ca="1"/>
        <v>-6.4672379837121458E-2</v>
      </c>
      <c r="Y496" s="2">
        <f ca="1"/>
        <v>-9.7133076593923673E-2</v>
      </c>
      <c r="Z496" s="2">
        <f ca="1"/>
        <v>-7.1856287425149573E-2</v>
      </c>
      <c r="AA496" s="2">
        <f ca="1"/>
        <v>-8.7429252308608846E-2</v>
      </c>
      <c r="AB496" s="2">
        <f ca="1"/>
        <v>-8.2188554831619548E-2</v>
      </c>
      <c r="AC496" s="2">
        <f ca="1"/>
        <v>-7.8959810874704633E-2</v>
      </c>
      <c r="AD496" s="2">
        <f ca="1"/>
        <v>-3.7161494366475666E-2</v>
      </c>
      <c r="AE496" s="2">
        <f ca="1"/>
        <v>-5.6854074542008757E-3</v>
      </c>
      <c r="AF496" s="2">
        <f ca="1"/>
        <v>1.5851395885329609E-2</v>
      </c>
      <c r="AG496" s="26" t="str">
        <f ca="1"/>
        <v/>
      </c>
      <c r="AH496" s="26">
        <f ca="1"/>
        <v>-1.0200000000000001E-2</v>
      </c>
    </row>
    <row r="497" spans="1:34">
      <c r="A497" s="5">
        <f ca="1"/>
        <v>43921</v>
      </c>
      <c r="B497" s="2">
        <f ca="1"/>
        <v>-0.13245996521746362</v>
      </c>
      <c r="C497" s="2">
        <f ca="1"/>
        <v>-0.15377261805310349</v>
      </c>
      <c r="D497" s="2">
        <f ca="1"/>
        <v>-0.13439788826454774</v>
      </c>
      <c r="E497" s="2">
        <f ca="1"/>
        <v>-5.8865825767550123E-3</v>
      </c>
      <c r="F497" s="2">
        <f ca="1"/>
        <v>-9.0992901715685554E-2</v>
      </c>
      <c r="G497" s="2">
        <f ca="1"/>
        <v>-0.17614296744270394</v>
      </c>
      <c r="H497" s="2">
        <f ca="1"/>
        <v>-0.10731572214235792</v>
      </c>
      <c r="I497" s="2">
        <f ca="1"/>
        <v>-8.7068241597323889E-2</v>
      </c>
      <c r="J497" s="2">
        <f ca="1"/>
        <v>-0.17054418783109004</v>
      </c>
      <c r="K497" s="2">
        <f ca="1"/>
        <v>-0.10176414096685835</v>
      </c>
      <c r="L497" s="2">
        <f ca="1"/>
        <v>-9.149031967582176E-2</v>
      </c>
      <c r="M497" s="2">
        <f ca="1"/>
        <v>-0.11580397173910541</v>
      </c>
      <c r="N497" s="2">
        <f ca="1"/>
        <v>-8.9302234593612029E-2</v>
      </c>
      <c r="O497" s="2">
        <f ca="1"/>
        <v>-7.3645135024752131E-2</v>
      </c>
      <c r="P497" s="2">
        <f ca="1"/>
        <v>-0.14390318761783669</v>
      </c>
      <c r="Q497" s="2">
        <f ca="1"/>
        <v>-8.6807383263904608E-2</v>
      </c>
      <c r="R497" s="2">
        <f ca="1"/>
        <v>-0.11406390577714777</v>
      </c>
      <c r="S497" s="2">
        <f ca="1"/>
        <v>-0.11895839379919076</v>
      </c>
      <c r="T497" s="2">
        <f ca="1"/>
        <v>-0.12351202162378283</v>
      </c>
      <c r="U497" s="2">
        <f ca="1"/>
        <v>-0.13214946623178206</v>
      </c>
      <c r="V497" s="2">
        <f ca="1"/>
        <v>-9.8375277490032581E-2</v>
      </c>
      <c r="W497" s="2">
        <f ca="1"/>
        <v>-0.17089436074940317</v>
      </c>
      <c r="X497" s="2">
        <f ca="1"/>
        <v>-0.10606143852343004</v>
      </c>
      <c r="Y497" s="2">
        <f ca="1"/>
        <v>-0.14873555235526703</v>
      </c>
      <c r="Z497" s="2">
        <f ca="1"/>
        <v>-0.11541951205186037</v>
      </c>
      <c r="AA497" s="2">
        <f ca="1"/>
        <v>-0.11310036839009682</v>
      </c>
      <c r="AB497" s="2">
        <f ca="1"/>
        <v>-0.10569981166434417</v>
      </c>
      <c r="AC497" s="2">
        <f ca="1"/>
        <v>-0.14630390143737157</v>
      </c>
      <c r="AD497" s="2">
        <f ca="1"/>
        <v>-0.16916444261958544</v>
      </c>
      <c r="AE497" s="2">
        <f ca="1"/>
        <v>-1.2706480304955257E-3</v>
      </c>
      <c r="AF497" s="2">
        <f ca="1"/>
        <v>-5.2671496907042556E-3</v>
      </c>
      <c r="AG497" s="26" t="str">
        <f ca="1"/>
        <v/>
      </c>
      <c r="AH497" s="26">
        <f ca="1"/>
        <v>1.0700000000000001E-2</v>
      </c>
    </row>
    <row r="498" spans="1:34">
      <c r="A498" s="5">
        <f ca="1"/>
        <v>43951</v>
      </c>
      <c r="B498" s="2">
        <f ca="1"/>
        <v>6.5423494196456225E-2</v>
      </c>
      <c r="C498" s="2">
        <f ca="1"/>
        <v>9.1768609171772222E-2</v>
      </c>
      <c r="D498" s="2">
        <f ca="1"/>
        <v>0.10763099970644628</v>
      </c>
      <c r="E498" s="2">
        <f ca="1"/>
        <v>1.7777390470795722E-2</v>
      </c>
      <c r="F498" s="2">
        <f ca="1"/>
        <v>7.4890097863123312E-2</v>
      </c>
      <c r="G498" s="2">
        <f ca="1"/>
        <v>5.4379546220112894E-2</v>
      </c>
      <c r="H498" s="2">
        <f ca="1"/>
        <v>0.10573333727309453</v>
      </c>
      <c r="I498" s="2">
        <f ca="1"/>
        <v>6.934495924406224E-2</v>
      </c>
      <c r="J498" s="2">
        <f ca="1"/>
        <v>0.1456949010555682</v>
      </c>
      <c r="K498" s="2">
        <f ca="1"/>
        <v>7.5602389589642702E-2</v>
      </c>
      <c r="L498" s="2">
        <f ca="1"/>
        <v>4.4256120527307034E-2</v>
      </c>
      <c r="M498" s="2">
        <f ca="1"/>
        <v>9.4257353468334387E-2</v>
      </c>
      <c r="N498" s="2">
        <f ca="1"/>
        <v>0.11390110849067159</v>
      </c>
      <c r="O498" s="2">
        <f ca="1"/>
        <v>7.1221366971729899E-2</v>
      </c>
      <c r="P498" s="2">
        <f ca="1"/>
        <v>9.76440460947504E-2</v>
      </c>
      <c r="Q498" s="2">
        <f ca="1"/>
        <v>0.11749369185724699</v>
      </c>
      <c r="R498" s="2">
        <f ca="1"/>
        <v>0.11732868650033475</v>
      </c>
      <c r="S498" s="2">
        <f ca="1"/>
        <v>9.2953236347077084E-2</v>
      </c>
      <c r="T498" s="2">
        <f ca="1"/>
        <v>0.12819388857876815</v>
      </c>
      <c r="U498" s="2">
        <f ca="1"/>
        <v>0.13214283510410527</v>
      </c>
      <c r="V498" s="2">
        <f ca="1"/>
        <v>0.14797148422531625</v>
      </c>
      <c r="W498" s="2">
        <f ca="1"/>
        <v>0.11242202599765042</v>
      </c>
      <c r="X498" s="2">
        <f ca="1"/>
        <v>0.15080732656838353</v>
      </c>
      <c r="Y498" s="2">
        <f ca="1"/>
        <v>0.1066696609027622</v>
      </c>
      <c r="Z498" s="2">
        <f ca="1"/>
        <v>0.11701728024042066</v>
      </c>
      <c r="AA498" s="2">
        <f ca="1"/>
        <v>9.3686354378818962E-2</v>
      </c>
      <c r="AB498" s="2">
        <f ca="1"/>
        <v>0.13797079169869331</v>
      </c>
      <c r="AC498" s="2">
        <f ca="1"/>
        <v>6.2938464622168677E-2</v>
      </c>
      <c r="AD498" s="2">
        <f ca="1"/>
        <v>7.8823820113664497E-2</v>
      </c>
      <c r="AE498" s="2">
        <f ca="1"/>
        <v>7.1246819338422335E-2</v>
      </c>
      <c r="AF498" s="2">
        <f ca="1"/>
        <v>1.7195259003994504E-2</v>
      </c>
      <c r="AG498" s="26" t="str">
        <f ca="1"/>
        <v/>
      </c>
      <c r="AH498" s="26">
        <f ca="1"/>
        <v>7.0000000000000007E-2</v>
      </c>
    </row>
    <row r="499" spans="1:34">
      <c r="A499" s="5">
        <f ca="1"/>
        <v>43980</v>
      </c>
      <c r="B499" s="2">
        <f ca="1"/>
        <v>4.4166997868926007E-2</v>
      </c>
      <c r="C499" s="2">
        <f ca="1"/>
        <v>7.8955954323001887E-3</v>
      </c>
      <c r="D499" s="2">
        <f ca="1"/>
        <v>4.4096660641233E-2</v>
      </c>
      <c r="E499" s="2">
        <f ca="1"/>
        <v>4.6535522400838625E-3</v>
      </c>
      <c r="F499" s="2">
        <f ca="1"/>
        <v>5.502337558415038E-2</v>
      </c>
      <c r="G499" s="2">
        <f ca="1"/>
        <v>3.1289736890384723E-2</v>
      </c>
      <c r="H499" s="2">
        <f ca="1"/>
        <v>5.1944523622888747E-2</v>
      </c>
      <c r="I499" s="2">
        <f ca="1"/>
        <v>5.9750937051801456E-2</v>
      </c>
      <c r="J499" s="2">
        <f ca="1"/>
        <v>5.7237768756721714E-2</v>
      </c>
      <c r="K499" s="2">
        <f ca="1"/>
        <v>2.2649478435422456E-2</v>
      </c>
      <c r="L499" s="2">
        <f ca="1"/>
        <v>1.736457163347193E-2</v>
      </c>
      <c r="M499" s="2">
        <f ca="1"/>
        <v>-6.885337685311581E-3</v>
      </c>
      <c r="N499" s="2">
        <f ca="1"/>
        <v>5.2368536292379905E-2</v>
      </c>
      <c r="O499" s="2">
        <f ca="1"/>
        <v>4.740433541391955E-2</v>
      </c>
      <c r="P499" s="2">
        <f ca="1"/>
        <v>1.1354003841695705E-3</v>
      </c>
      <c r="Q499" s="2">
        <f ca="1"/>
        <v>5.9291116409671211E-2</v>
      </c>
      <c r="R499" s="2">
        <f ca="1"/>
        <v>5.9863046239968638E-2</v>
      </c>
      <c r="S499" s="2">
        <f ca="1"/>
        <v>4.3661918766358582E-2</v>
      </c>
      <c r="T499" s="2">
        <f ca="1"/>
        <v>4.7629914633297937E-2</v>
      </c>
      <c r="U499" s="2">
        <f ca="1"/>
        <v>5.2761425700019168E-2</v>
      </c>
      <c r="V499" s="2">
        <f ca="1"/>
        <v>6.7133984007825706E-2</v>
      </c>
      <c r="W499" s="2">
        <f ca="1"/>
        <v>3.4268509219349853E-2</v>
      </c>
      <c r="X499" s="2">
        <f ca="1"/>
        <v>7.0596716947648727E-2</v>
      </c>
      <c r="Y499" s="2">
        <f ca="1"/>
        <v>2.8814935064935092E-2</v>
      </c>
      <c r="Z499" s="2">
        <f ca="1"/>
        <v>5.8685051286362942E-2</v>
      </c>
      <c r="AA499" s="2">
        <f ca="1"/>
        <v>4.3169121381411671E-2</v>
      </c>
      <c r="AB499" s="2">
        <f ca="1"/>
        <v>6.4167510976021719E-2</v>
      </c>
      <c r="AC499" s="2">
        <f ca="1"/>
        <v>5.6571751838581992E-2</v>
      </c>
      <c r="AD499" s="2">
        <f ca="1"/>
        <v>3.1607879065506272E-2</v>
      </c>
      <c r="AE499" s="2">
        <f ca="1"/>
        <v>2.5534441805225638E-2</v>
      </c>
      <c r="AF499" s="2">
        <f ca="1"/>
        <v>6.7282157611313525E-3</v>
      </c>
      <c r="AG499" s="26" t="str">
        <f ca="1"/>
        <v/>
      </c>
      <c r="AH499" s="26">
        <f ca="1"/>
        <v>2.52E-2</v>
      </c>
    </row>
    <row r="500" spans="1:34">
      <c r="A500" s="5">
        <f ca="1"/>
        <v>44012</v>
      </c>
      <c r="B500" s="2">
        <f ca="1"/>
        <v>3.4425274891461542E-2</v>
      </c>
      <c r="C500" s="2">
        <f ca="1"/>
        <v>7.40228630620966E-2</v>
      </c>
      <c r="D500" s="2">
        <f ca="1"/>
        <v>3.2387696524689501E-2</v>
      </c>
      <c r="E500" s="2">
        <f ca="1"/>
        <v>6.3024135815096909E-3</v>
      </c>
      <c r="F500" s="2">
        <f ca="1"/>
        <v>3.2577720559816524E-2</v>
      </c>
      <c r="G500" s="2">
        <f ca="1"/>
        <v>3.6251842854835174E-2</v>
      </c>
      <c r="H500" s="2">
        <f ca="1"/>
        <v>7.2043388613452802E-2</v>
      </c>
      <c r="I500" s="2">
        <f ca="1"/>
        <v>4.0466954781993171E-2</v>
      </c>
      <c r="J500" s="2">
        <f ca="1"/>
        <v>0.14277782529717994</v>
      </c>
      <c r="K500" s="2">
        <f ca="1"/>
        <v>-4.7275959229212762E-4</v>
      </c>
      <c r="L500" s="2">
        <f ca="1"/>
        <v>1.1848734269068961E-2</v>
      </c>
      <c r="M500" s="2">
        <f ca="1"/>
        <v>3.5373072563378266E-2</v>
      </c>
      <c r="N500" s="2">
        <f ca="1"/>
        <v>2.8105243868918505E-2</v>
      </c>
      <c r="O500" s="2">
        <f ca="1"/>
        <v>2.9423395553953836E-2</v>
      </c>
      <c r="P500" s="2">
        <f ca="1"/>
        <v>6.3269507127043961E-2</v>
      </c>
      <c r="Q500" s="2">
        <f ca="1"/>
        <v>1.1673691305034933E-2</v>
      </c>
      <c r="R500" s="2">
        <f ca="1"/>
        <v>4.3582772185245332E-2</v>
      </c>
      <c r="S500" s="2">
        <f ca="1"/>
        <v>-1.0558101410436692E-2</v>
      </c>
      <c r="T500" s="2">
        <f ca="1"/>
        <v>1.9887181725510066E-2</v>
      </c>
      <c r="U500" s="2">
        <f ca="1"/>
        <v>2.2114103144057567E-2</v>
      </c>
      <c r="V500" s="2">
        <f ca="1"/>
        <v>4.3544725866712979E-2</v>
      </c>
      <c r="W500" s="2">
        <f ca="1"/>
        <v>-6.6378167143070913E-3</v>
      </c>
      <c r="X500" s="2">
        <f ca="1"/>
        <v>4.9009460978508008E-2</v>
      </c>
      <c r="Y500" s="2">
        <f ca="1"/>
        <v>-1.0170822959034039E-2</v>
      </c>
      <c r="Z500" s="2">
        <f ca="1"/>
        <v>4.3201990602047068E-2</v>
      </c>
      <c r="AA500" s="2">
        <f ca="1"/>
        <v>-1.1149557533610181E-2</v>
      </c>
      <c r="AB500" s="2">
        <f ca="1"/>
        <v>-5.2574438947597425E-2</v>
      </c>
      <c r="AC500" s="2">
        <f ca="1"/>
        <v>3.2683643215423885E-2</v>
      </c>
      <c r="AD500" s="2">
        <f ca="1"/>
        <v>6.6694383126755491E-2</v>
      </c>
      <c r="AE500" s="2">
        <f ca="1"/>
        <v>2.8372900984366067E-2</v>
      </c>
      <c r="AF500" s="2">
        <f ca="1"/>
        <v>6.5884463953409036E-3</v>
      </c>
      <c r="AG500" s="26" t="str">
        <f ca="1"/>
        <v/>
      </c>
      <c r="AH500" s="26">
        <f ca="1"/>
        <v>3.6600000000000001E-2</v>
      </c>
    </row>
    <row r="501" spans="1:34">
      <c r="A501" s="5">
        <f ca="1"/>
        <v>44043</v>
      </c>
      <c r="B501" s="2">
        <f ca="1"/>
        <v>2.3525509706370094E-2</v>
      </c>
      <c r="C501" s="2">
        <f ca="1"/>
        <v>9.025580083616426E-2</v>
      </c>
      <c r="D501" s="2">
        <f ca="1"/>
        <v>5.3287569325986522E-2</v>
      </c>
      <c r="E501" s="2">
        <f ca="1"/>
        <v>1.4935359155794376E-2</v>
      </c>
      <c r="F501" s="2">
        <f ca="1"/>
        <v>4.5024023048419883E-2</v>
      </c>
      <c r="G501" s="2">
        <f ca="1"/>
        <v>2.2031256166383764E-3</v>
      </c>
      <c r="H501" s="2">
        <f ca="1"/>
        <v>8.3173056037155343E-2</v>
      </c>
      <c r="I501" s="2">
        <f ca="1"/>
        <v>5.1033253333634336E-2</v>
      </c>
      <c r="J501" s="2">
        <f ca="1"/>
        <v>0.12141630994341134</v>
      </c>
      <c r="K501" s="2">
        <f ca="1"/>
        <v>3.9371121537762871E-2</v>
      </c>
      <c r="L501" s="2">
        <f ca="1"/>
        <v>1.3282586646723066E-2</v>
      </c>
      <c r="M501" s="2">
        <f ca="1"/>
        <v>5.2996205867871529E-2</v>
      </c>
      <c r="N501" s="2">
        <f ca="1"/>
        <v>5.7206300639421309E-2</v>
      </c>
      <c r="O501" s="2">
        <f ca="1"/>
        <v>3.4906224623269443E-2</v>
      </c>
      <c r="P501" s="2">
        <f ca="1"/>
        <v>0.1070353594389246</v>
      </c>
      <c r="Q501" s="2">
        <f ca="1"/>
        <v>4.5894574444008816E-2</v>
      </c>
      <c r="R501" s="2">
        <f ca="1"/>
        <v>6.8394611352515663E-2</v>
      </c>
      <c r="S501" s="2">
        <f ca="1"/>
        <v>4.5061015654174523E-2</v>
      </c>
      <c r="T501" s="2">
        <f ca="1"/>
        <v>5.6381904914747115E-2</v>
      </c>
      <c r="U501" s="2">
        <f ca="1"/>
        <v>5.8555127037461102E-2</v>
      </c>
      <c r="V501" s="2">
        <f ca="1"/>
        <v>7.6939048981981367E-2</v>
      </c>
      <c r="W501" s="2">
        <f ca="1"/>
        <v>3.9533309061054116E-2</v>
      </c>
      <c r="X501" s="2">
        <f ca="1"/>
        <v>7.5609876787569821E-2</v>
      </c>
      <c r="Y501" s="2">
        <f ca="1"/>
        <v>3.735314790641641E-2</v>
      </c>
      <c r="Z501" s="2">
        <f ca="1"/>
        <v>7.0152671755725052E-2</v>
      </c>
      <c r="AA501" s="2">
        <f ca="1"/>
        <v>4.5686953653306911E-2</v>
      </c>
      <c r="AB501" s="2">
        <f ca="1"/>
        <v>2.3537323470074083E-2</v>
      </c>
      <c r="AC501" s="2">
        <f ca="1"/>
        <v>2.0993701889433201E-2</v>
      </c>
      <c r="AD501" s="2">
        <f ca="1"/>
        <v>8.6344537815126063E-2</v>
      </c>
      <c r="AE501" s="2">
        <f ca="1"/>
        <v>0.10867117117117114</v>
      </c>
      <c r="AF501" s="2">
        <f ca="1"/>
        <v>1.3329800428035389E-2</v>
      </c>
      <c r="AG501" s="26" t="str">
        <f ca="1"/>
        <v/>
      </c>
      <c r="AH501" s="26">
        <f ca="1"/>
        <v>9.01E-2</v>
      </c>
    </row>
    <row r="502" spans="1:34">
      <c r="A502" s="5">
        <f ca="1"/>
        <v>44074</v>
      </c>
      <c r="B502" s="2">
        <f ca="1"/>
        <v>5.1538672685128628E-2</v>
      </c>
      <c r="C502" s="2">
        <f ca="1"/>
        <v>2.2352722806490945E-2</v>
      </c>
      <c r="D502" s="2">
        <f ca="1"/>
        <v>6.1582675004125655E-2</v>
      </c>
      <c r="E502" s="2">
        <f ca="1"/>
        <v>-8.0733317200578948E-3</v>
      </c>
      <c r="F502" s="2">
        <f ca="1"/>
        <v>4.4615893935333342E-2</v>
      </c>
      <c r="G502" s="2">
        <f ca="1"/>
        <v>5.8698967210839233E-2</v>
      </c>
      <c r="H502" s="2">
        <f ca="1"/>
        <v>8.108157379487875E-2</v>
      </c>
      <c r="I502" s="2">
        <f ca="1"/>
        <v>3.4461976349563835E-2</v>
      </c>
      <c r="J502" s="2">
        <f ca="1"/>
        <v>4.0682137804479351E-2</v>
      </c>
      <c r="K502" s="2">
        <f ca="1"/>
        <v>2.2560387352786013E-2</v>
      </c>
      <c r="L502" s="2">
        <f ca="1"/>
        <v>3.624672035427759E-2</v>
      </c>
      <c r="M502" s="2">
        <f ca="1"/>
        <v>1.8241429388725125E-2</v>
      </c>
      <c r="N502" s="2">
        <f ca="1"/>
        <v>6.7348759448144085E-2</v>
      </c>
      <c r="O502" s="2">
        <f ca="1"/>
        <v>4.5590484401833269E-2</v>
      </c>
      <c r="P502" s="2">
        <f ca="1"/>
        <v>1.3079831849588641E-2</v>
      </c>
      <c r="Q502" s="2">
        <f ca="1"/>
        <v>8.0897972369612076E-2</v>
      </c>
      <c r="R502" s="2">
        <f ca="1"/>
        <v>9.6745435422924478E-2</v>
      </c>
      <c r="S502" s="2">
        <f ca="1"/>
        <v>2.8699516574869285E-2</v>
      </c>
      <c r="T502" s="2">
        <f ca="1"/>
        <v>7.1882575086809813E-2</v>
      </c>
      <c r="U502" s="2">
        <f ca="1"/>
        <v>7.3397611523535744E-2</v>
      </c>
      <c r="V502" s="2">
        <f ca="1"/>
        <v>0.10319245527726147</v>
      </c>
      <c r="W502" s="2">
        <f ca="1"/>
        <v>4.1350426314429478E-2</v>
      </c>
      <c r="X502" s="2">
        <f ca="1"/>
        <v>0.10093389152136911</v>
      </c>
      <c r="Y502" s="2">
        <f ca="1"/>
        <v>4.1815893911528255E-2</v>
      </c>
      <c r="Z502" s="2">
        <f ca="1"/>
        <v>9.4799914401883151E-2</v>
      </c>
      <c r="AA502" s="2">
        <f ca="1"/>
        <v>2.7287066246056885E-2</v>
      </c>
      <c r="AB502" s="2">
        <f ca="1"/>
        <v>5.9461235216819994E-2</v>
      </c>
      <c r="AC502" s="2">
        <f ca="1"/>
        <v>5.2604523646333147E-2</v>
      </c>
      <c r="AD502" s="2">
        <f ca="1"/>
        <v>3.0748404563914096E-2</v>
      </c>
      <c r="AE502" s="2">
        <f ca="1"/>
        <v>-4.0629761300153295E-3</v>
      </c>
      <c r="AF502" s="2">
        <f ca="1"/>
        <v>-8.2337056231587512E-3</v>
      </c>
      <c r="AG502" s="26" t="str">
        <f ca="1"/>
        <v/>
      </c>
      <c r="AH502" s="26">
        <f ca="1"/>
        <v>3.9000000000000003E-3</v>
      </c>
    </row>
    <row r="503" spans="1:34">
      <c r="A503" s="5">
        <f ca="1"/>
        <v>44104</v>
      </c>
      <c r="B503" s="2">
        <f ca="1"/>
        <v>-2.5543211076096584E-2</v>
      </c>
      <c r="C503" s="2">
        <f ca="1"/>
        <v>-1.5806978711569022E-2</v>
      </c>
      <c r="D503" s="2">
        <f ca="1"/>
        <v>-3.1872975267453911E-2</v>
      </c>
      <c r="E503" s="2">
        <f ca="1"/>
        <v>-5.4680894915927166E-4</v>
      </c>
      <c r="F503" s="2">
        <f ca="1"/>
        <v>-6.289873864476451E-3</v>
      </c>
      <c r="G503" s="2">
        <f ca="1"/>
        <v>-4.5257708855804206E-2</v>
      </c>
      <c r="H503" s="2">
        <f ca="1"/>
        <v>-3.1813966037672343E-2</v>
      </c>
      <c r="I503" s="2">
        <f ca="1"/>
        <v>4.0174752762200104E-4</v>
      </c>
      <c r="J503" s="2">
        <f ca="1"/>
        <v>-5.0687030546627716E-2</v>
      </c>
      <c r="K503" s="2">
        <f ca="1"/>
        <v>-1.33045193355218E-2</v>
      </c>
      <c r="L503" s="2">
        <f ca="1"/>
        <v>-1.4611110298027646E-2</v>
      </c>
      <c r="M503" s="2">
        <f ca="1"/>
        <v>-1.595353862776876E-2</v>
      </c>
      <c r="N503" s="2">
        <f ca="1"/>
        <v>-2.500271482491848E-2</v>
      </c>
      <c r="O503" s="2">
        <f ca="1"/>
        <v>-1.4806825969238733E-3</v>
      </c>
      <c r="P503" s="2">
        <f ca="1"/>
        <v>-6.1558304508413262E-3</v>
      </c>
      <c r="Q503" s="2">
        <f ca="1"/>
        <v>-2.897414714332848E-2</v>
      </c>
      <c r="R503" s="2">
        <f ca="1"/>
        <v>-3.8741074464467909E-2</v>
      </c>
      <c r="S503" s="2">
        <f ca="1"/>
        <v>-1.6160361896282182E-2</v>
      </c>
      <c r="T503" s="2">
        <f ca="1"/>
        <v>-3.7996784479016582E-2</v>
      </c>
      <c r="U503" s="2">
        <f ca="1"/>
        <v>-3.6547757449672695E-2</v>
      </c>
      <c r="V503" s="2">
        <f ca="1"/>
        <v>-4.7050253895376586E-2</v>
      </c>
      <c r="W503" s="2">
        <f ca="1"/>
        <v>-2.4563780920676057E-2</v>
      </c>
      <c r="X503" s="2">
        <f ca="1"/>
        <v>-4.7155679340869353E-2</v>
      </c>
      <c r="Y503" s="2">
        <f ca="1"/>
        <v>-2.2235756515003046E-2</v>
      </c>
      <c r="Z503" s="2">
        <f ca="1"/>
        <v>-3.7976291554243785E-2</v>
      </c>
      <c r="AA503" s="2">
        <f ca="1"/>
        <v>-1.6549051289480667E-2</v>
      </c>
      <c r="AB503" s="2">
        <f ca="1"/>
        <v>-3.5671768924664449E-2</v>
      </c>
      <c r="AC503" s="2">
        <f ca="1"/>
        <v>-1.8720494872212303E-2</v>
      </c>
      <c r="AD503" s="2">
        <f ca="1"/>
        <v>-9.3808630393996742E-3</v>
      </c>
      <c r="AE503" s="2">
        <f ca="1"/>
        <v>-4.1305456399795965E-2</v>
      </c>
      <c r="AF503" s="2">
        <f ca="1"/>
        <v>-9.7466824495546492E-4</v>
      </c>
      <c r="AG503" s="26" t="str">
        <f ca="1"/>
        <v/>
      </c>
      <c r="AH503" s="26">
        <f ca="1"/>
        <v>-4.2099999999999999E-2</v>
      </c>
    </row>
    <row r="504" spans="1:34">
      <c r="A504" s="5">
        <f ca="1"/>
        <v>44134</v>
      </c>
      <c r="B504" s="2">
        <f ca="1"/>
        <v>-3.9822048530369983E-2</v>
      </c>
      <c r="C504" s="2">
        <f ca="1"/>
        <v>2.075900479235103E-2</v>
      </c>
      <c r="D504" s="2">
        <f ca="1"/>
        <v>-2.4065040920969286E-2</v>
      </c>
      <c r="E504" s="2">
        <f ca="1"/>
        <v>-4.4652439050052511E-3</v>
      </c>
      <c r="F504" s="2">
        <f ca="1"/>
        <v>-3.9511995099701991E-2</v>
      </c>
      <c r="G504" s="2">
        <f ca="1"/>
        <v>-4.0153961828997851E-2</v>
      </c>
      <c r="H504" s="2">
        <f ca="1"/>
        <v>-3.0877271207223233E-2</v>
      </c>
      <c r="I504" s="2">
        <f ca="1"/>
        <v>-3.6390229156046575E-2</v>
      </c>
      <c r="J504" s="2">
        <f ca="1"/>
        <v>3.7851263297080329E-2</v>
      </c>
      <c r="K504" s="2">
        <f ca="1"/>
        <v>-2.5943098378105198E-2</v>
      </c>
      <c r="L504" s="2">
        <f ca="1"/>
        <v>-3.9879001514956464E-2</v>
      </c>
      <c r="M504" s="2">
        <f ca="1"/>
        <v>2.783466101555302E-3</v>
      </c>
      <c r="N504" s="2">
        <f ca="1"/>
        <v>-2.7101917384715513E-2</v>
      </c>
      <c r="O504" s="2">
        <f ca="1"/>
        <v>-3.7729013559672925E-2</v>
      </c>
      <c r="P504" s="2">
        <f ca="1"/>
        <v>1.8798175239892922E-2</v>
      </c>
      <c r="Q504" s="2">
        <f ca="1"/>
        <v>-3.9162565152373041E-2</v>
      </c>
      <c r="R504" s="2">
        <f ca="1"/>
        <v>-4.1833395971967273E-2</v>
      </c>
      <c r="S504" s="2">
        <f ca="1"/>
        <v>-3.4371436340098517E-2</v>
      </c>
      <c r="T504" s="2">
        <f ca="1"/>
        <v>-2.6593811705850064E-2</v>
      </c>
      <c r="U504" s="2">
        <f ca="1"/>
        <v>-2.4114520154708823E-2</v>
      </c>
      <c r="V504" s="2">
        <f ca="1"/>
        <v>-3.3961509645570744E-2</v>
      </c>
      <c r="W504" s="2">
        <f ca="1"/>
        <v>-1.3142606640012258E-2</v>
      </c>
      <c r="X504" s="2">
        <f ca="1"/>
        <v>-3.0051403716884126E-2</v>
      </c>
      <c r="Y504" s="2">
        <f ca="1"/>
        <v>-1.8180078461391306E-2</v>
      </c>
      <c r="Z504" s="2">
        <f ca="1"/>
        <v>-4.1858887381275495E-2</v>
      </c>
      <c r="AA504" s="2">
        <f ca="1"/>
        <v>-3.2480778283383034E-2</v>
      </c>
      <c r="AB504" s="2">
        <f ca="1"/>
        <v>1.6170763260025908E-2</v>
      </c>
      <c r="AC504" s="2">
        <f ca="1"/>
        <v>-3.5169210351692119E-2</v>
      </c>
      <c r="AD504" s="2">
        <f ca="1"/>
        <v>1.2689393939393936E-2</v>
      </c>
      <c r="AE504" s="2">
        <f ca="1"/>
        <v>-4.7872340425531837E-3</v>
      </c>
      <c r="AF504" s="2">
        <f ca="1"/>
        <v>-5.5878990754989937E-3</v>
      </c>
      <c r="AG504" s="26" t="str">
        <f ca="1"/>
        <v/>
      </c>
      <c r="AH504" s="26">
        <f ca="1"/>
        <v>-4.0000000000000001E-3</v>
      </c>
    </row>
    <row r="505" spans="1:34">
      <c r="A505" s="5">
        <f ca="1"/>
        <v>44165</v>
      </c>
      <c r="B505" s="2">
        <f ca="1"/>
        <v>0.15513113544635229</v>
      </c>
      <c r="C505" s="2">
        <f ca="1"/>
        <v>9.254816011073945E-2</v>
      </c>
      <c r="D505" s="2">
        <f ca="1"/>
        <v>0.1236332357509551</v>
      </c>
      <c r="E505" s="2">
        <f ca="1"/>
        <v>9.8117961378470855E-3</v>
      </c>
      <c r="F505" s="2">
        <f ca="1"/>
        <v>0.1229260947862543</v>
      </c>
      <c r="G505" s="2">
        <f ca="1"/>
        <v>0.1895192385745596</v>
      </c>
      <c r="H505" s="2">
        <f ca="1"/>
        <v>8.3304577869795338E-2</v>
      </c>
      <c r="I505" s="2">
        <f ca="1"/>
        <v>0.10856156009762137</v>
      </c>
      <c r="J505" s="2">
        <f ca="1"/>
        <v>6.8615273873266769E-2</v>
      </c>
      <c r="K505" s="2">
        <f ca="1"/>
        <v>6.761126854475745E-2</v>
      </c>
      <c r="L505" s="2">
        <f ca="1"/>
        <v>9.7230458255771354E-2</v>
      </c>
      <c r="M505" s="2">
        <f ca="1"/>
        <v>7.5109222902318071E-2</v>
      </c>
      <c r="N505" s="2">
        <f ca="1"/>
        <v>0.10138798788589419</v>
      </c>
      <c r="O505" s="2">
        <f ca="1"/>
        <v>0.11980899777616154</v>
      </c>
      <c r="P505" s="2">
        <f ca="1"/>
        <v>6.3672508299235722E-2</v>
      </c>
      <c r="Q505" s="2">
        <f ca="1"/>
        <v>0.10822066014300477</v>
      </c>
      <c r="R505" s="2">
        <f ca="1"/>
        <v>0.10334096664224776</v>
      </c>
      <c r="S505" s="2">
        <f ca="1"/>
        <v>8.2154647255733043E-2</v>
      </c>
      <c r="T505" s="2">
        <f ca="1"/>
        <v>0.10946187532221589</v>
      </c>
      <c r="U505" s="2">
        <f ca="1"/>
        <v>0.11775720049831714</v>
      </c>
      <c r="V505" s="2">
        <f ca="1"/>
        <v>0.10239170433020911</v>
      </c>
      <c r="W505" s="2">
        <f ca="1"/>
        <v>0.13451409660790434</v>
      </c>
      <c r="X505" s="2">
        <f ca="1"/>
        <v>0.10372786157539504</v>
      </c>
      <c r="Y505" s="2">
        <f ca="1"/>
        <v>0.1275704122405224</v>
      </c>
      <c r="Z505" s="2">
        <f ca="1"/>
        <v>0.10628053529703328</v>
      </c>
      <c r="AA505" s="2">
        <f ca="1"/>
        <v>8.0927667855984556E-2</v>
      </c>
      <c r="AB505" s="2">
        <f ca="1"/>
        <v>0.19796308084022904</v>
      </c>
      <c r="AC505" s="2">
        <f ca="1"/>
        <v>0.13892709766162317</v>
      </c>
      <c r="AD505" s="2">
        <f ca="1"/>
        <v>9.6315691041705703E-2</v>
      </c>
      <c r="AE505" s="2">
        <f ca="1"/>
        <v>-5.3981827899519053E-2</v>
      </c>
      <c r="AF505" s="2">
        <f ca="1"/>
        <v>1.2065104010835704E-2</v>
      </c>
      <c r="AG505" s="26" t="str">
        <f ca="1"/>
        <v/>
      </c>
      <c r="AH505" s="26">
        <f ca="1"/>
        <v>-5.5399999999999998E-2</v>
      </c>
    </row>
    <row r="506" spans="1:34">
      <c r="A506" s="5">
        <f ca="1"/>
        <v>44196</v>
      </c>
      <c r="B506" s="2">
        <f ca="1"/>
        <v>4.6657916711579289E-2</v>
      </c>
      <c r="C506" s="2">
        <f ca="1"/>
        <v>7.3988435237682976E-2</v>
      </c>
      <c r="D506" s="2">
        <f ca="1"/>
        <v>4.6797126970048994E-2</v>
      </c>
      <c r="E506" s="2">
        <f ca="1"/>
        <v>1.3773009088511319E-3</v>
      </c>
      <c r="F506" s="2">
        <f ca="1"/>
        <v>4.8871034935802186E-2</v>
      </c>
      <c r="G506" s="2">
        <f ca="1"/>
        <v>4.4493067018114049E-2</v>
      </c>
      <c r="H506" s="2">
        <f ca="1"/>
        <v>5.1333182916146858E-2</v>
      </c>
      <c r="I506" s="2">
        <f ca="1"/>
        <v>5.7037348393102247E-2</v>
      </c>
      <c r="J506" s="2">
        <f ca="1"/>
        <v>0.10338060326705723</v>
      </c>
      <c r="K506" s="2">
        <f ca="1"/>
        <v>2.4444236260743081E-2</v>
      </c>
      <c r="L506" s="2">
        <f ca="1"/>
        <v>2.5462081800110108E-2</v>
      </c>
      <c r="M506" s="2">
        <f ca="1"/>
        <v>5.5302918425649099E-2</v>
      </c>
      <c r="N506" s="2">
        <f ca="1"/>
        <v>4.2861867489802655E-2</v>
      </c>
      <c r="O506" s="2">
        <f ca="1"/>
        <v>5.2696533952563802E-2</v>
      </c>
      <c r="P506" s="2">
        <f ca="1"/>
        <v>8.9528406307270783E-2</v>
      </c>
      <c r="Q506" s="2">
        <f ca="1"/>
        <v>3.3350785911406403E-2</v>
      </c>
      <c r="R506" s="2">
        <f ca="1"/>
        <v>3.4805270848527053E-2</v>
      </c>
      <c r="S506" s="2">
        <f ca="1"/>
        <v>2.3290270088683149E-2</v>
      </c>
      <c r="T506" s="2">
        <f ca="1"/>
        <v>3.8410740794221479E-2</v>
      </c>
      <c r="U506" s="2">
        <f ca="1"/>
        <v>4.2275439539143103E-2</v>
      </c>
      <c r="V506" s="2">
        <f ca="1"/>
        <v>4.5991190035745699E-2</v>
      </c>
      <c r="W506" s="2">
        <f ca="1"/>
        <v>3.8339292586031457E-2</v>
      </c>
      <c r="X506" s="2">
        <f ca="1"/>
        <v>4.1590805017878783E-2</v>
      </c>
      <c r="Y506" s="2">
        <f ca="1"/>
        <v>3.5093937417889062E-2</v>
      </c>
      <c r="Z506" s="2">
        <f ca="1"/>
        <v>3.4356493640400623E-2</v>
      </c>
      <c r="AA506" s="2">
        <f ca="1"/>
        <v>2.3096067395410484E-2</v>
      </c>
      <c r="AB506" s="2">
        <f ca="1"/>
        <v>6.0696891091789891E-2</v>
      </c>
      <c r="AC506" s="2">
        <f ca="1"/>
        <v>5.2475005414945833E-2</v>
      </c>
      <c r="AD506" s="2">
        <f ca="1"/>
        <v>7.1105811494000415E-2</v>
      </c>
      <c r="AE506" s="2">
        <f ca="1"/>
        <v>7.0056497175141355E-2</v>
      </c>
      <c r="AF506" s="2">
        <f ca="1"/>
        <v>8.6493600838446431E-4</v>
      </c>
      <c r="AG506" s="26" t="str">
        <f ca="1"/>
        <v/>
      </c>
      <c r="AH506" s="26">
        <f ca="1"/>
        <v>6.7199999999999996E-2</v>
      </c>
    </row>
    <row r="507" spans="1:34">
      <c r="A507" s="5">
        <f ca="1"/>
        <v>44225</v>
      </c>
      <c r="B507" s="2">
        <f ca="1"/>
        <v>-1.0573834319082756E-2</v>
      </c>
      <c r="C507" s="2">
        <f ca="1"/>
        <v>3.0918004207601182E-2</v>
      </c>
      <c r="D507" s="2">
        <f ca="1"/>
        <v>-4.3066334621506257E-3</v>
      </c>
      <c r="E507" s="2">
        <f ca="1"/>
        <v>-7.1696724943771765E-3</v>
      </c>
      <c r="F507" s="2">
        <f ca="1"/>
        <v>-1.3565168206474775E-2</v>
      </c>
      <c r="G507" s="2">
        <f ca="1"/>
        <v>-7.649940299921441E-3</v>
      </c>
      <c r="H507" s="2">
        <f ca="1"/>
        <v>3.672657840337059E-2</v>
      </c>
      <c r="I507" s="2">
        <f ca="1"/>
        <v>-6.9674019032070714E-3</v>
      </c>
      <c r="J507" s="2">
        <f ca="1"/>
        <v>6.8410483762183671E-2</v>
      </c>
      <c r="K507" s="2">
        <f ca="1"/>
        <v>-1.5844092504030523E-2</v>
      </c>
      <c r="L507" s="2">
        <f ca="1"/>
        <v>-1.0471804037487849E-2</v>
      </c>
      <c r="M507" s="2">
        <f ca="1"/>
        <v>7.9234484855211645E-3</v>
      </c>
      <c r="N507" s="2">
        <f ca="1"/>
        <v>-6.7171459378482139E-3</v>
      </c>
      <c r="O507" s="2">
        <f ca="1"/>
        <v>-1.6262355958731239E-2</v>
      </c>
      <c r="P507" s="2">
        <f ca="1"/>
        <v>3.0493796319427134E-2</v>
      </c>
      <c r="Q507" s="2">
        <f ca="1"/>
        <v>-2.4642553663132255E-2</v>
      </c>
      <c r="R507" s="2">
        <f ca="1"/>
        <v>1.6778150513297247E-2</v>
      </c>
      <c r="S507" s="2">
        <f ca="1"/>
        <v>-2.6748998525540992E-2</v>
      </c>
      <c r="T507" s="2">
        <f ca="1"/>
        <v>-1.0177426660337914E-2</v>
      </c>
      <c r="U507" s="2">
        <f ca="1"/>
        <v>-8.2363146382318647E-3</v>
      </c>
      <c r="V507" s="2">
        <f ca="1"/>
        <v>-7.3988644428672982E-3</v>
      </c>
      <c r="W507" s="2">
        <f ca="1"/>
        <v>-9.1577129866537692E-3</v>
      </c>
      <c r="X507" s="2">
        <f ca="1"/>
        <v>-1.0144469882371627E-2</v>
      </c>
      <c r="Y507" s="2">
        <f ca="1"/>
        <v>-7.9018157363819671E-3</v>
      </c>
      <c r="Z507" s="2">
        <f ca="1"/>
        <v>1.5934031868063896E-2</v>
      </c>
      <c r="AA507" s="2">
        <f ca="1"/>
        <v>-2.7253977607542647E-2</v>
      </c>
      <c r="AB507" s="2">
        <f ca="1"/>
        <v>2.2652907123081056E-2</v>
      </c>
      <c r="AC507" s="2">
        <f ca="1"/>
        <v>-7.3816760746852122E-3</v>
      </c>
      <c r="AD507" s="2">
        <f ca="1"/>
        <v>2.8852353320438374E-2</v>
      </c>
      <c r="AE507" s="2">
        <f ca="1"/>
        <v>-3.1678986272439355E-2</v>
      </c>
      <c r="AF507" s="2">
        <f ca="1"/>
        <v>-7.4456383788814966E-3</v>
      </c>
      <c r="AG507" s="26" t="str">
        <f ca="1"/>
        <v/>
      </c>
      <c r="AH507" s="26">
        <f ca="1"/>
        <v>-2.52E-2</v>
      </c>
    </row>
    <row r="508" spans="1:34">
      <c r="A508" s="5">
        <f ca="1"/>
        <v>44253</v>
      </c>
      <c r="B508" s="2">
        <f ca="1"/>
        <v>2.2567958692154257E-2</v>
      </c>
      <c r="C508" s="2">
        <f ca="1"/>
        <v>7.7050957256427233E-3</v>
      </c>
      <c r="D508" s="2">
        <f ca="1"/>
        <v>2.3461373281214743E-2</v>
      </c>
      <c r="E508" s="2">
        <f ca="1"/>
        <v>-1.4438685064866695E-2</v>
      </c>
      <c r="F508" s="2">
        <f ca="1"/>
        <v>-3.4251807764541877E-3</v>
      </c>
      <c r="G508" s="2">
        <f ca="1"/>
        <v>4.7884637067139905E-2</v>
      </c>
      <c r="H508" s="2">
        <f ca="1"/>
        <v>-2.127296859588669E-2</v>
      </c>
      <c r="I508" s="2">
        <f ca="1"/>
        <v>-6.5761998657271371E-3</v>
      </c>
      <c r="J508" s="2">
        <f ca="1"/>
        <v>-3.87160258575414E-2</v>
      </c>
      <c r="K508" s="2">
        <f ca="1"/>
        <v>-1.1625265853104458E-2</v>
      </c>
      <c r="L508" s="2">
        <f ca="1"/>
        <v>-1.8025194516487413E-2</v>
      </c>
      <c r="M508" s="2">
        <f ca="1"/>
        <v>1.0953919808497959E-2</v>
      </c>
      <c r="N508" s="2">
        <f ca="1"/>
        <v>1.1849703073260115E-2</v>
      </c>
      <c r="O508" s="2">
        <f ca="1"/>
        <v>-7.8018031461289643E-3</v>
      </c>
      <c r="P508" s="2">
        <f ca="1"/>
        <v>-1.4227379490163169E-2</v>
      </c>
      <c r="Q508" s="2">
        <f ca="1"/>
        <v>2.3073593073593128E-2</v>
      </c>
      <c r="R508" s="2">
        <f ca="1"/>
        <v>-5.8532125590662551E-3</v>
      </c>
      <c r="S508" s="2">
        <f ca="1"/>
        <v>-3.8020812007557364E-3</v>
      </c>
      <c r="T508" s="2">
        <f ca="1"/>
        <v>2.7575729094914635E-2</v>
      </c>
      <c r="U508" s="2">
        <f ca="1"/>
        <v>2.8980807667920844E-2</v>
      </c>
      <c r="V508" s="2">
        <f ca="1"/>
        <v>-2.3154797511910544E-4</v>
      </c>
      <c r="W508" s="2">
        <f ca="1"/>
        <v>6.0432691023234279E-2</v>
      </c>
      <c r="X508" s="2">
        <f ca="1"/>
        <v>8.4539617976632335E-3</v>
      </c>
      <c r="Y508" s="2">
        <f ca="1"/>
        <v>4.9991526859854432E-2</v>
      </c>
      <c r="Z508" s="2">
        <f ca="1"/>
        <v>-5.8586598315636422E-3</v>
      </c>
      <c r="AA508" s="2">
        <f ca="1"/>
        <v>-3.7861578070572718E-3</v>
      </c>
      <c r="AB508" s="2">
        <f ca="1"/>
        <v>4.1841004184100229E-2</v>
      </c>
      <c r="AC508" s="2">
        <f ca="1"/>
        <v>2.551764362787981E-2</v>
      </c>
      <c r="AD508" s="2">
        <f ca="1"/>
        <v>1.4099953000156798E-2</v>
      </c>
      <c r="AE508" s="2">
        <f ca="1"/>
        <v>-6.2704471101417594E-2</v>
      </c>
      <c r="AF508" s="2">
        <f ca="1"/>
        <v>-1.5183153971306478E-2</v>
      </c>
      <c r="AG508" s="26" t="str">
        <f ca="1"/>
        <v/>
      </c>
      <c r="AH508" s="26">
        <f ca="1"/>
        <v>-6.4100000000000004E-2</v>
      </c>
    </row>
    <row r="509" spans="1:34">
      <c r="A509" s="5">
        <f ca="1"/>
        <v>44286</v>
      </c>
      <c r="B509" s="2">
        <f ca="1"/>
        <v>2.3957095840948659E-2</v>
      </c>
      <c r="C509" s="2">
        <f ca="1"/>
        <v>-1.4857059942401264E-2</v>
      </c>
      <c r="D509" s="2">
        <f ca="1"/>
        <v>2.7240702663758175E-2</v>
      </c>
      <c r="E509" s="2">
        <f ca="1"/>
        <v>-1.2488357586581112E-2</v>
      </c>
      <c r="F509" s="2">
        <f ca="1"/>
        <v>1.2300817505372416E-2</v>
      </c>
      <c r="G509" s="2">
        <f ca="1"/>
        <v>3.4786781447154635E-2</v>
      </c>
      <c r="H509" s="2">
        <f ca="1"/>
        <v>-2.4907932716233684E-2</v>
      </c>
      <c r="I509" s="2">
        <f ca="1"/>
        <v>9.3429223671396746E-3</v>
      </c>
      <c r="J509" s="2">
        <f ca="1"/>
        <v>-6.2499534555607243E-2</v>
      </c>
      <c r="K509" s="2">
        <f ca="1"/>
        <v>4.7291745010376245E-2</v>
      </c>
      <c r="L509" s="2">
        <f ca="1"/>
        <v>2.3610089233497434E-2</v>
      </c>
      <c r="M509" s="2">
        <f ca="1"/>
        <v>9.405056757102178E-3</v>
      </c>
      <c r="N509" s="2">
        <f ca="1"/>
        <v>2.8040725314485239E-2</v>
      </c>
      <c r="O509" s="2">
        <f ca="1"/>
        <v>2.2737896358440968E-2</v>
      </c>
      <c r="P509" s="2">
        <f ca="1"/>
        <v>8.7711148879429587E-3</v>
      </c>
      <c r="Q509" s="2">
        <f ca="1"/>
        <v>4.0676702069140591E-2</v>
      </c>
      <c r="R509" s="2">
        <f ca="1"/>
        <v>-1.2387606895276293E-2</v>
      </c>
      <c r="S509" s="2">
        <f ca="1"/>
        <v>5.5281870012741506E-2</v>
      </c>
      <c r="T509" s="2">
        <f ca="1"/>
        <v>4.3791496810008032E-2</v>
      </c>
      <c r="U509" s="2">
        <f ca="1"/>
        <v>3.784314262143177E-2</v>
      </c>
      <c r="V509" s="2">
        <f ca="1"/>
        <v>1.7180098727979033E-2</v>
      </c>
      <c r="W509" s="2">
        <f ca="1"/>
        <v>5.8844338046186648E-2</v>
      </c>
      <c r="X509" s="2">
        <f ca="1"/>
        <v>1.7951011238450453E-2</v>
      </c>
      <c r="Y509" s="2">
        <f ca="1"/>
        <v>6.6599253011807982E-2</v>
      </c>
      <c r="Z509" s="2">
        <f ca="1"/>
        <v>-1.1939080275916312E-2</v>
      </c>
      <c r="AA509" s="2">
        <f ca="1"/>
        <v>5.6051978818282992E-2</v>
      </c>
      <c r="AB509" s="2">
        <f ca="1"/>
        <v>4.5012647375585337E-2</v>
      </c>
      <c r="AC509" s="2">
        <f ca="1"/>
        <v>2.4456135361865416E-2</v>
      </c>
      <c r="AD509" s="2">
        <f ca="1"/>
        <v>-5.7160512899739526E-3</v>
      </c>
      <c r="AE509" s="2">
        <f ca="1"/>
        <v>-1.1052937754508508E-2</v>
      </c>
      <c r="AF509" s="2">
        <f ca="1"/>
        <v>-1.1465015161497123E-2</v>
      </c>
      <c r="AG509" s="26" t="str">
        <f ca="1"/>
        <v/>
      </c>
      <c r="AH509" s="26">
        <f ca="1"/>
        <v>-8.6999999999999994E-3</v>
      </c>
    </row>
    <row r="510" spans="1:34">
      <c r="A510" s="5">
        <f ca="1"/>
        <v>44316</v>
      </c>
      <c r="B510" s="2">
        <f ca="1"/>
        <v>3.0924616021576687E-2</v>
      </c>
      <c r="C510" s="2">
        <f ca="1"/>
        <v>2.5032739801031611E-2</v>
      </c>
      <c r="D510" s="2">
        <f ca="1"/>
        <v>4.4135587493647606E-2</v>
      </c>
      <c r="E510" s="2">
        <f ca="1"/>
        <v>7.9001449369417096E-3</v>
      </c>
      <c r="F510" s="2">
        <f ca="1"/>
        <v>4.2967779696170355E-2</v>
      </c>
      <c r="G510" s="2">
        <f ca="1"/>
        <v>1.9926166774441385E-2</v>
      </c>
      <c r="H510" s="2">
        <f ca="1"/>
        <v>6.0625972899175727E-2</v>
      </c>
      <c r="I510" s="2">
        <f ca="1"/>
        <v>4.3122911765287403E-2</v>
      </c>
      <c r="J510" s="2">
        <f ca="1"/>
        <v>5.6337316196382603E-2</v>
      </c>
      <c r="K510" s="2">
        <f ca="1"/>
        <v>2.7708143547732777E-2</v>
      </c>
      <c r="L510" s="2">
        <f ca="1"/>
        <v>1.6453643207976647E-2</v>
      </c>
      <c r="M510" s="2">
        <f ca="1"/>
        <v>1.117997269515709E-2</v>
      </c>
      <c r="N510" s="2">
        <f ca="1"/>
        <v>4.8012698152863083E-2</v>
      </c>
      <c r="O510" s="2">
        <f ca="1"/>
        <v>5.0766051308546833E-2</v>
      </c>
      <c r="P510" s="2">
        <f ca="1"/>
        <v>1.8933648262113103E-2</v>
      </c>
      <c r="Q510" s="2">
        <f ca="1"/>
        <v>4.6570726463689573E-2</v>
      </c>
      <c r="R510" s="2">
        <f ca="1"/>
        <v>7.1158726825083771E-2</v>
      </c>
      <c r="S510" s="2">
        <f ca="1"/>
        <v>4.0558485974790857E-2</v>
      </c>
      <c r="T510" s="2">
        <f ca="1"/>
        <v>5.3368116087619974E-2</v>
      </c>
      <c r="U510" s="2">
        <f ca="1"/>
        <v>5.3830736762158556E-2</v>
      </c>
      <c r="V510" s="2">
        <f ca="1"/>
        <v>6.8038801296646773E-2</v>
      </c>
      <c r="W510" s="2">
        <f ca="1"/>
        <v>3.9990967980032446E-2</v>
      </c>
      <c r="X510" s="2">
        <f ca="1"/>
        <v>6.9133208839091048E-2</v>
      </c>
      <c r="Y510" s="2">
        <f ca="1"/>
        <v>3.4383082306404904E-2</v>
      </c>
      <c r="Z510" s="2">
        <f ca="1"/>
        <v>7.0558249409424234E-2</v>
      </c>
      <c r="AA510" s="2">
        <f ca="1"/>
        <v>3.9890157537216399E-2</v>
      </c>
      <c r="AB510" s="2">
        <f ca="1"/>
        <v>5.055542960779872E-2</v>
      </c>
      <c r="AC510" s="2">
        <f ca="1"/>
        <v>3.1367106176266625E-2</v>
      </c>
      <c r="AD510" s="2">
        <f ca="1"/>
        <v>1.7246737103791283E-2</v>
      </c>
      <c r="AE510" s="2">
        <f ca="1"/>
        <v>3.5294117647058906E-2</v>
      </c>
      <c r="AF510" s="2">
        <f ca="1"/>
        <v>7.3168980959286501E-3</v>
      </c>
      <c r="AG510" s="26" t="str">
        <f ca="1"/>
        <v/>
      </c>
      <c r="AH510" s="26">
        <f ca="1"/>
        <v>3.15E-2</v>
      </c>
    </row>
    <row r="511" spans="1:34">
      <c r="A511" s="5">
        <f ca="1"/>
        <v>44347</v>
      </c>
      <c r="B511" s="2">
        <f ca="1"/>
        <v>3.3557205410699807E-2</v>
      </c>
      <c r="C511" s="2">
        <f ca="1"/>
        <v>2.3421808083616297E-2</v>
      </c>
      <c r="D511" s="2">
        <f ca="1"/>
        <v>1.61000697581276E-2</v>
      </c>
      <c r="E511" s="2">
        <f ca="1"/>
        <v>3.2666411974535104E-3</v>
      </c>
      <c r="F511" s="2">
        <f ca="1"/>
        <v>3.0949298061779953E-2</v>
      </c>
      <c r="G511" s="2">
        <f ca="1"/>
        <v>3.5845627904969195E-2</v>
      </c>
      <c r="H511" s="2">
        <f ca="1"/>
        <v>-1.4595400929919278E-2</v>
      </c>
      <c r="I511" s="2">
        <f ca="1"/>
        <v>8.824499357494589E-3</v>
      </c>
      <c r="J511" s="2">
        <f ca="1"/>
        <v>1.6166477529088542E-2</v>
      </c>
      <c r="K511" s="2">
        <f ca="1"/>
        <v>1.8915474002950471E-2</v>
      </c>
      <c r="L511" s="2">
        <f ca="1"/>
        <v>2.7877881281022639E-2</v>
      </c>
      <c r="M511" s="2">
        <f ca="1"/>
        <v>2.4952211272571936E-2</v>
      </c>
      <c r="N511" s="2">
        <f ca="1"/>
        <v>1.6185896541913804E-2</v>
      </c>
      <c r="O511" s="2">
        <f ca="1"/>
        <v>3.690780801736835E-2</v>
      </c>
      <c r="P511" s="2">
        <f ca="1"/>
        <v>4.4085981487290503E-2</v>
      </c>
      <c r="Q511" s="2">
        <f ca="1"/>
        <v>9.1007320893075044E-3</v>
      </c>
      <c r="R511" s="2">
        <f ca="1"/>
        <v>-1.6346855710651163E-2</v>
      </c>
      <c r="S511" s="2">
        <f ca="1"/>
        <v>8.3095679452446884E-3</v>
      </c>
      <c r="T511" s="2">
        <f ca="1"/>
        <v>6.9854223559762899E-3</v>
      </c>
      <c r="U511" s="2">
        <f ca="1"/>
        <v>4.7466719708551246E-3</v>
      </c>
      <c r="V511" s="2">
        <f ca="1"/>
        <v>-1.3831382518216383E-2</v>
      </c>
      <c r="W511" s="2">
        <f ca="1"/>
        <v>2.3344593884750089E-2</v>
      </c>
      <c r="X511" s="2">
        <f ca="1"/>
        <v>-1.4300789636476097E-2</v>
      </c>
      <c r="Y511" s="2">
        <f ca="1"/>
        <v>2.919546992204735E-2</v>
      </c>
      <c r="Z511" s="2">
        <f ca="1"/>
        <v>-1.0568491957493846E-2</v>
      </c>
      <c r="AA511" s="2">
        <f ca="1"/>
        <v>8.756080611535752E-3</v>
      </c>
      <c r="AB511" s="2">
        <f ca="1"/>
        <v>9.2792403970652047E-3</v>
      </c>
      <c r="AC511" s="2">
        <f ca="1"/>
        <v>3.3508276140492392E-2</v>
      </c>
      <c r="AD511" s="2">
        <f ca="1"/>
        <v>1.8023522223919449E-2</v>
      </c>
      <c r="AE511" s="2">
        <f ca="1"/>
        <v>7.5568181818181715E-2</v>
      </c>
      <c r="AF511" s="2">
        <f ca="1"/>
        <v>2.0335084700535285E-3</v>
      </c>
      <c r="AG511" s="26" t="str">
        <f ca="1"/>
        <v/>
      </c>
      <c r="AH511" s="26">
        <f ca="1"/>
        <v>7.6299999999999993E-2</v>
      </c>
    </row>
    <row r="512" spans="1:34">
      <c r="A512" s="5">
        <f ca="1"/>
        <v>44377</v>
      </c>
      <c r="B512" s="2">
        <f ca="1"/>
        <v>-1.0982438550411151E-2</v>
      </c>
      <c r="C512" s="2">
        <f ca="1"/>
        <v>2.0602697579869792E-3</v>
      </c>
      <c r="D512" s="2">
        <f ca="1"/>
        <v>1.3506723015920744E-2</v>
      </c>
      <c r="E512" s="2">
        <f ca="1"/>
        <v>7.0254404805709667E-3</v>
      </c>
      <c r="F512" s="2">
        <f ca="1"/>
        <v>6.278044609079413E-4</v>
      </c>
      <c r="G512" s="2">
        <f ca="1"/>
        <v>-2.2676201231619789E-2</v>
      </c>
      <c r="H512" s="2">
        <f ca="1"/>
        <v>1.5071005862981457E-2</v>
      </c>
      <c r="I512" s="2">
        <f ca="1"/>
        <v>-1.9597528609736549E-2</v>
      </c>
      <c r="J512" s="2">
        <f ca="1"/>
        <v>6.3458842271539459E-2</v>
      </c>
      <c r="K512" s="2">
        <f ca="1"/>
        <v>6.9532859832548482E-3</v>
      </c>
      <c r="L512" s="2">
        <f ca="1"/>
        <v>7.2016052567749015E-3</v>
      </c>
      <c r="M512" s="2">
        <f ca="1"/>
        <v>-4.7983341632338548E-3</v>
      </c>
      <c r="N512" s="2">
        <f ca="1"/>
        <v>3.3368558292733184E-2</v>
      </c>
      <c r="O512" s="2">
        <f ca="1"/>
        <v>7.4485722050072027E-3</v>
      </c>
      <c r="P512" s="2">
        <f ca="1"/>
        <v>-8.4785033022878528E-3</v>
      </c>
      <c r="Q512" s="2">
        <f ca="1"/>
        <v>4.8457227557431398E-2</v>
      </c>
      <c r="R512" s="2">
        <f ca="1"/>
        <v>1.9140111862786729E-2</v>
      </c>
      <c r="S512" s="2">
        <f ca="1"/>
        <v>1.8285245588666753E-2</v>
      </c>
      <c r="T512" s="2">
        <f ca="1"/>
        <v>2.3341852212757159E-2</v>
      </c>
      <c r="U512" s="2">
        <f ca="1"/>
        <v>2.5057604096544398E-2</v>
      </c>
      <c r="V512" s="2">
        <f ca="1"/>
        <v>6.2737714894264357E-2</v>
      </c>
      <c r="W512" s="2">
        <f ca="1"/>
        <v>-1.1451426569061691E-2</v>
      </c>
      <c r="X512" s="2">
        <f ca="1"/>
        <v>6.0203000312858218E-2</v>
      </c>
      <c r="Y512" s="2">
        <f ca="1"/>
        <v>-1.2471267764516273E-2</v>
      </c>
      <c r="Z512" s="2">
        <f ca="1"/>
        <v>1.8595906554168241E-2</v>
      </c>
      <c r="AA512" s="2">
        <f ca="1"/>
        <v>1.7138948398945E-2</v>
      </c>
      <c r="AB512" s="2">
        <f ca="1"/>
        <v>2.3174327840416831E-3</v>
      </c>
      <c r="AC512" s="2">
        <f ca="1"/>
        <v>-1.1434447708279005E-2</v>
      </c>
      <c r="AD512" s="2">
        <f ca="1"/>
        <v>1.2127502158558267E-2</v>
      </c>
      <c r="AE512" s="2">
        <f ca="1"/>
        <v>-6.9730586370839953E-2</v>
      </c>
      <c r="AF512" s="2">
        <f ca="1"/>
        <v>8.2788446257956866E-3</v>
      </c>
      <c r="AG512" s="26" t="str">
        <f ca="1"/>
        <v/>
      </c>
      <c r="AH512" s="26">
        <f ca="1"/>
        <v>-6.88E-2</v>
      </c>
    </row>
    <row r="513" spans="1:34">
      <c r="A513" s="5">
        <f ca="1"/>
        <v>44407</v>
      </c>
      <c r="B513" s="2">
        <f ca="1"/>
        <v>7.6276643005740788E-3</v>
      </c>
      <c r="C513" s="2">
        <f ca="1"/>
        <v>-6.6712965501276256E-2</v>
      </c>
      <c r="D513" s="2">
        <f ca="1"/>
        <v>7.1800881494096047E-3</v>
      </c>
      <c r="E513" s="2">
        <f ca="1"/>
        <v>1.1182678744412979E-2</v>
      </c>
      <c r="F513" s="2">
        <f ca="1"/>
        <v>1.7238661263323577E-2</v>
      </c>
      <c r="G513" s="2">
        <f ca="1"/>
        <v>-2.2838484794802578E-3</v>
      </c>
      <c r="H513" s="2">
        <f ca="1"/>
        <v>2.916530110919112E-4</v>
      </c>
      <c r="I513" s="2">
        <f ca="1"/>
        <v>1.6560420046757045E-2</v>
      </c>
      <c r="J513" s="2">
        <f ca="1"/>
        <v>-6.2503677040401509E-2</v>
      </c>
      <c r="K513" s="2">
        <f ca="1"/>
        <v>1.6105994343352931E-2</v>
      </c>
      <c r="L513" s="2">
        <f ca="1"/>
        <v>2.2032681226684284E-2</v>
      </c>
      <c r="M513" s="2">
        <f ca="1"/>
        <v>-3.8949283602456267E-2</v>
      </c>
      <c r="N513" s="2">
        <f ca="1"/>
        <v>2.151497282738617E-2</v>
      </c>
      <c r="O513" s="2">
        <f ca="1"/>
        <v>2.4495951134822679E-2</v>
      </c>
      <c r="P513" s="2">
        <f ca="1"/>
        <v>-3.8081493883336634E-2</v>
      </c>
      <c r="Q513" s="2">
        <f ca="1"/>
        <v>3.5341422607586E-2</v>
      </c>
      <c r="R513" s="2">
        <f ca="1"/>
        <v>9.3644034846704898E-3</v>
      </c>
      <c r="S513" s="2">
        <f ca="1"/>
        <v>3.4894782708325411E-2</v>
      </c>
      <c r="T513" s="2">
        <f ca="1"/>
        <v>2.3753177796301306E-2</v>
      </c>
      <c r="U513" s="2">
        <f ca="1"/>
        <v>2.0774108900065601E-2</v>
      </c>
      <c r="V513" s="2">
        <f ca="1"/>
        <v>3.2956245683857854E-2</v>
      </c>
      <c r="W513" s="2">
        <f ca="1"/>
        <v>7.992268048374454E-3</v>
      </c>
      <c r="X513" s="2">
        <f ca="1"/>
        <v>3.1832920748927837E-2</v>
      </c>
      <c r="Y513" s="2">
        <f ca="1"/>
        <v>1.0112032591299181E-2</v>
      </c>
      <c r="Z513" s="2">
        <f ca="1"/>
        <v>9.2256241711352552E-3</v>
      </c>
      <c r="AA513" s="2">
        <f ca="1"/>
        <v>3.5457138975682548E-2</v>
      </c>
      <c r="AB513" s="2">
        <f ca="1"/>
        <v>8.552490912979129E-4</v>
      </c>
      <c r="AC513" s="2">
        <f ca="1"/>
        <v>9.2172054501735573E-3</v>
      </c>
      <c r="AD513" s="2">
        <f ca="1"/>
        <v>-5.6426332288401174E-2</v>
      </c>
      <c r="AE513" s="2">
        <f ca="1"/>
        <v>2.4417944349801234E-2</v>
      </c>
      <c r="AF513" s="2">
        <f ca="1"/>
        <v>1.1162193974837861E-2</v>
      </c>
      <c r="AG513" s="26" t="str">
        <f ca="1"/>
        <v/>
      </c>
      <c r="AH513" s="26">
        <f ca="1"/>
        <v>2.3099999999999999E-2</v>
      </c>
    </row>
    <row r="514" spans="1:34">
      <c r="A514" s="5">
        <f ca="1"/>
        <v>44439</v>
      </c>
      <c r="B514" s="2">
        <f ca="1"/>
        <v>1.7730809831286356E-2</v>
      </c>
      <c r="C514" s="2">
        <f ca="1"/>
        <v>2.6491514360313339E-2</v>
      </c>
      <c r="D514" s="2">
        <f ca="1"/>
        <v>2.5340814066779453E-2</v>
      </c>
      <c r="E514" s="2">
        <f ca="1"/>
        <v>-1.9033933343418378E-3</v>
      </c>
      <c r="F514" s="2">
        <f ca="1"/>
        <v>2.3638889135403077E-2</v>
      </c>
      <c r="G514" s="2">
        <f ca="1"/>
        <v>1.1448328907932966E-2</v>
      </c>
      <c r="H514" s="2">
        <f ca="1"/>
        <v>3.4564331317406237E-2</v>
      </c>
      <c r="I514" s="2">
        <f ca="1"/>
        <v>1.1329176997812034E-2</v>
      </c>
      <c r="J514" s="2">
        <f ca="1"/>
        <v>1.8754318628403637E-2</v>
      </c>
      <c r="K514" s="2">
        <f ca="1"/>
        <v>2.2227600952035069E-2</v>
      </c>
      <c r="L514" s="2">
        <f ca="1"/>
        <v>1.8798731899580205E-2</v>
      </c>
      <c r="M514" s="2">
        <f ca="1"/>
        <v>4.0352695622541956E-2</v>
      </c>
      <c r="N514" s="2">
        <f ca="1"/>
        <v>3.0693064157968901E-2</v>
      </c>
      <c r="O514" s="2">
        <f ca="1"/>
        <v>2.730125744820713E-2</v>
      </c>
      <c r="P514" s="2">
        <f ca="1"/>
        <v>3.625219568710996E-2</v>
      </c>
      <c r="Q514" s="2">
        <f ca="1"/>
        <v>3.1069338535201246E-2</v>
      </c>
      <c r="R514" s="2">
        <f ca="1"/>
        <v>4.1613458247635675E-2</v>
      </c>
      <c r="S514" s="2">
        <f ca="1"/>
        <v>1.9508611131147213E-2</v>
      </c>
      <c r="T514" s="2">
        <f ca="1"/>
        <v>3.0406581082312322E-2</v>
      </c>
      <c r="U514" s="2">
        <f ca="1"/>
        <v>2.894207097291928E-2</v>
      </c>
      <c r="V514" s="2">
        <f ca="1"/>
        <v>3.7388943295233054E-2</v>
      </c>
      <c r="W514" s="2">
        <f ca="1"/>
        <v>1.9830945414417354E-2</v>
      </c>
      <c r="X514" s="2">
        <f ca="1"/>
        <v>3.6730418328039464E-2</v>
      </c>
      <c r="Y514" s="2">
        <f ca="1"/>
        <v>2.0885848037450618E-2</v>
      </c>
      <c r="Z514" s="2">
        <f ca="1"/>
        <v>4.1192938353425204E-2</v>
      </c>
      <c r="AA514" s="2">
        <f ca="1"/>
        <v>1.8761479926528615E-2</v>
      </c>
      <c r="AB514" s="2">
        <f ca="1"/>
        <v>3.1189916684469111E-2</v>
      </c>
      <c r="AC514" s="2">
        <f ca="1"/>
        <v>1.5883520847121198E-2</v>
      </c>
      <c r="AD514" s="2">
        <f ca="1"/>
        <v>1.392184780889116E-2</v>
      </c>
      <c r="AE514" s="2">
        <f ca="1"/>
        <v>1.1086474501108411E-3</v>
      </c>
      <c r="AF514" s="2">
        <f ca="1"/>
        <v>-2.0096459050954396E-3</v>
      </c>
      <c r="AG514" s="26" t="str">
        <f ca="1"/>
        <v/>
      </c>
      <c r="AH514" s="26">
        <f ca="1"/>
        <v>1.8E-3</v>
      </c>
    </row>
    <row r="515" spans="1:34">
      <c r="A515" s="5">
        <f ca="1"/>
        <v>44469</v>
      </c>
      <c r="B515" s="2">
        <f ca="1"/>
        <v>-2.8281731427082814E-2</v>
      </c>
      <c r="C515" s="2">
        <f ca="1"/>
        <v>-3.939055758512254E-2</v>
      </c>
      <c r="D515" s="2">
        <f ca="1"/>
        <v>-4.0881412914304111E-2</v>
      </c>
      <c r="E515" s="2">
        <f ca="1"/>
        <v>-8.6594848090660263E-3</v>
      </c>
      <c r="F515" s="2">
        <f ca="1"/>
        <v>-3.8684569857040552E-2</v>
      </c>
      <c r="G515" s="2">
        <f ca="1"/>
        <v>-1.7033845526293639E-2</v>
      </c>
      <c r="H515" s="2">
        <f ca="1"/>
        <v>-3.6986138188114963E-2</v>
      </c>
      <c r="I515" s="2">
        <f ca="1"/>
        <v>-3.2796602166143864E-2</v>
      </c>
      <c r="J515" s="2">
        <f ca="1"/>
        <v>-6.10526943291749E-2</v>
      </c>
      <c r="K515" s="2">
        <f ca="1"/>
        <v>-3.5101086758545216E-2</v>
      </c>
      <c r="L515" s="2">
        <f ca="1"/>
        <v>-3.7067718495593122E-2</v>
      </c>
      <c r="M515" s="2">
        <f ca="1"/>
        <v>-1.8047158266344607E-2</v>
      </c>
      <c r="N515" s="2">
        <f ca="1"/>
        <v>-6.3884698248676791E-2</v>
      </c>
      <c r="O515" s="2">
        <f ca="1"/>
        <v>-5.2411766931907675E-2</v>
      </c>
      <c r="P515" s="2">
        <f ca="1"/>
        <v>-2.8945483772908336E-2</v>
      </c>
      <c r="Q515" s="2">
        <f ca="1"/>
        <v>-6.4097382270991585E-2</v>
      </c>
      <c r="R515" s="2">
        <f ca="1"/>
        <v>-3.4789274091605982E-2</v>
      </c>
      <c r="S515" s="2">
        <f ca="1"/>
        <v>-4.9722184287987324E-2</v>
      </c>
      <c r="T515" s="2">
        <f ca="1"/>
        <v>-4.6523872045349662E-2</v>
      </c>
      <c r="U515" s="2">
        <f ca="1"/>
        <v>-4.5933943476999403E-2</v>
      </c>
      <c r="V515" s="2">
        <f ca="1"/>
        <v>-5.6005848142550108E-2</v>
      </c>
      <c r="W515" s="2">
        <f ca="1"/>
        <v>-3.4807533520502421E-2</v>
      </c>
      <c r="X515" s="2">
        <f ca="1"/>
        <v>-5.3250426808572081E-2</v>
      </c>
      <c r="Y515" s="2">
        <f ca="1"/>
        <v>-3.9434172376318022E-2</v>
      </c>
      <c r="Z515" s="2">
        <f ca="1"/>
        <v>-3.4675467021807266E-2</v>
      </c>
      <c r="AA515" s="2">
        <f ca="1"/>
        <v>-4.9869326355304298E-2</v>
      </c>
      <c r="AB515" s="2">
        <f ca="1"/>
        <v>-3.7554102775270312E-2</v>
      </c>
      <c r="AC515" s="2">
        <f ca="1"/>
        <v>-3.2573289902280207E-2</v>
      </c>
      <c r="AD515" s="2">
        <f ca="1"/>
        <v>-3.6355125604618621E-2</v>
      </c>
      <c r="AE515" s="2">
        <f ca="1"/>
        <v>-3.322259136212613E-2</v>
      </c>
      <c r="AF515" s="2">
        <f ca="1"/>
        <v>-9.1693376258073431E-3</v>
      </c>
      <c r="AG515" s="26" t="str">
        <f ca="1"/>
        <v/>
      </c>
      <c r="AH515" s="26">
        <f ca="1"/>
        <v>-3.3300000000000003E-2</v>
      </c>
    </row>
    <row r="516" spans="1:34">
      <c r="A516" s="5">
        <f ca="1"/>
        <v>44498</v>
      </c>
      <c r="B516" s="2">
        <f ca="1"/>
        <v>2.4839151884613463E-2</v>
      </c>
      <c r="C516" s="2">
        <f ca="1"/>
        <v>1.0012312662182917E-2</v>
      </c>
      <c r="D516" s="2">
        <f ca="1"/>
        <v>5.1299936877018101E-2</v>
      </c>
      <c r="E516" s="2">
        <f ca="1"/>
        <v>-2.7602490169270822E-4</v>
      </c>
      <c r="F516" s="2">
        <f ca="1"/>
        <v>3.2830466164896176E-2</v>
      </c>
      <c r="G516" s="2">
        <f ca="1"/>
        <v>1.6356791925718952E-2</v>
      </c>
      <c r="H516" s="2">
        <f ca="1"/>
        <v>6.7545021466090108E-2</v>
      </c>
      <c r="I516" s="2">
        <f ca="1"/>
        <v>3.4521522955463742E-2</v>
      </c>
      <c r="J516" s="2">
        <f ca="1"/>
        <v>5.1468321516171638E-3</v>
      </c>
      <c r="K516" s="2">
        <f ca="1"/>
        <v>2.5483157520520234E-2</v>
      </c>
      <c r="L516" s="2">
        <f ca="1"/>
        <v>1.1323490237692984E-2</v>
      </c>
      <c r="M516" s="2">
        <f ca="1"/>
        <v>5.5919498160726458E-3</v>
      </c>
      <c r="N516" s="2">
        <f ca="1"/>
        <v>6.2229324939430737E-2</v>
      </c>
      <c r="O516" s="2">
        <f ca="1"/>
        <v>3.5664236650644096E-2</v>
      </c>
      <c r="P516" s="2">
        <f ca="1"/>
        <v>-7.8685845567752748E-3</v>
      </c>
      <c r="Q516" s="2">
        <f ca="1"/>
        <v>6.9475009303458041E-2</v>
      </c>
      <c r="R516" s="2">
        <f ca="1"/>
        <v>8.5735516080343729E-2</v>
      </c>
      <c r="S516" s="2">
        <f ca="1"/>
        <v>5.4694168714083696E-2</v>
      </c>
      <c r="T516" s="2">
        <f ca="1"/>
        <v>7.0062256342675433E-2</v>
      </c>
      <c r="U516" s="2">
        <f ca="1"/>
        <v>6.9386967606063221E-2</v>
      </c>
      <c r="V516" s="2">
        <f ca="1"/>
        <v>8.6615577511192476E-2</v>
      </c>
      <c r="W516" s="2">
        <f ca="1"/>
        <v>5.077743586880927E-2</v>
      </c>
      <c r="X516" s="2">
        <f ca="1"/>
        <v>8.2641210324981784E-2</v>
      </c>
      <c r="Y516" s="2">
        <f ca="1"/>
        <v>5.4443377410061333E-2</v>
      </c>
      <c r="Z516" s="2">
        <f ca="1"/>
        <v>8.5876993166287163E-2</v>
      </c>
      <c r="AA516" s="2">
        <f ca="1"/>
        <v>5.5102040816326525E-2</v>
      </c>
      <c r="AB516" s="2">
        <f ca="1"/>
        <v>5.7235421166306935E-2</v>
      </c>
      <c r="AC516" s="2">
        <f ca="1"/>
        <v>3.0437710437710503E-2</v>
      </c>
      <c r="AD516" s="2">
        <f ca="1"/>
        <v>1.0848445595854883E-2</v>
      </c>
      <c r="AE516" s="2">
        <f ca="1"/>
        <v>1.546391752577317E-2</v>
      </c>
      <c r="AF516" s="2">
        <f ca="1"/>
        <v>-9.467483198219544E-5</v>
      </c>
      <c r="AG516" s="26" t="str">
        <f ca="1"/>
        <v/>
      </c>
      <c r="AH516" s="26">
        <f ca="1"/>
        <v>1.6299999999999999E-2</v>
      </c>
    </row>
    <row r="517" spans="1:34">
      <c r="A517" s="5">
        <f ca="1"/>
        <v>44530</v>
      </c>
      <c r="B517" s="2">
        <f ca="1"/>
        <v>-4.6402088062342868E-2</v>
      </c>
      <c r="C517" s="2">
        <f ca="1"/>
        <v>-4.0671400903808948E-2</v>
      </c>
      <c r="D517" s="2">
        <f ca="1"/>
        <v>-2.377595567592973E-2</v>
      </c>
      <c r="E517" s="2">
        <f ca="1"/>
        <v>2.9606534676175022E-3</v>
      </c>
      <c r="F517" s="2">
        <f ca="1"/>
        <v>-3.3799399803793803E-2</v>
      </c>
      <c r="G517" s="2">
        <f ca="1"/>
        <v>-5.996312182702257E-2</v>
      </c>
      <c r="H517" s="2">
        <f ca="1"/>
        <v>-3.7369892126689681E-2</v>
      </c>
      <c r="I517" s="2">
        <f ca="1"/>
        <v>-4.4721661647365601E-2</v>
      </c>
      <c r="J517" s="2">
        <f ca="1"/>
        <v>-2.5604495016026053E-2</v>
      </c>
      <c r="K517" s="2">
        <f ca="1"/>
        <v>-1.8987167018962723E-2</v>
      </c>
      <c r="L517" s="2">
        <f ca="1"/>
        <v>-2.5903983833219724E-2</v>
      </c>
      <c r="M517" s="2">
        <f ca="1"/>
        <v>-2.1741233707896251E-2</v>
      </c>
      <c r="N517" s="2">
        <f ca="1"/>
        <v>-5.723651161728651E-3</v>
      </c>
      <c r="O517" s="2">
        <f ca="1"/>
        <v>-3.2907709430622135E-2</v>
      </c>
      <c r="P517" s="2">
        <f ca="1"/>
        <v>-1.5829892827347403E-3</v>
      </c>
      <c r="Q517" s="2">
        <f ca="1"/>
        <v>-1.0847012024074313E-3</v>
      </c>
      <c r="R517" s="2">
        <f ca="1"/>
        <v>-3.945274738436011E-2</v>
      </c>
      <c r="S517" s="2">
        <f ca="1"/>
        <v>-1.9735826878942035E-2</v>
      </c>
      <c r="T517" s="2">
        <f ca="1"/>
        <v>-6.9502620811799478E-3</v>
      </c>
      <c r="U517" s="2">
        <f ca="1"/>
        <v>-1.3414214090382737E-2</v>
      </c>
      <c r="V517" s="2">
        <f ca="1"/>
        <v>6.1142622484591418E-3</v>
      </c>
      <c r="W517" s="2">
        <f ca="1"/>
        <v>-3.524004017971983E-2</v>
      </c>
      <c r="X517" s="2">
        <f ca="1"/>
        <v>7.1303517427980072E-3</v>
      </c>
      <c r="Y517" s="2">
        <f ca="1"/>
        <v>-3.0404932044276325E-2</v>
      </c>
      <c r="Z517" s="2">
        <f ca="1"/>
        <v>-3.9490245437381978E-2</v>
      </c>
      <c r="AA517" s="2">
        <f ca="1"/>
        <v>-2.0502901353965146E-2</v>
      </c>
      <c r="AB517" s="2">
        <f ca="1"/>
        <v>-2.4514811031665053E-2</v>
      </c>
      <c r="AC517" s="2">
        <f ca="1"/>
        <v>-4.6137759769964613E-2</v>
      </c>
      <c r="AD517" s="2">
        <f ca="1"/>
        <v>-3.7001441614608346E-2</v>
      </c>
      <c r="AE517" s="2">
        <f ca="1"/>
        <v>-6.7681895093063176E-3</v>
      </c>
      <c r="AF517" s="2">
        <f ca="1"/>
        <v>2.7053247810971039E-3</v>
      </c>
      <c r="AG517" s="26" t="str">
        <f ca="1"/>
        <v/>
      </c>
      <c r="AH517" s="26">
        <f ca="1"/>
        <v>-5.7999999999999996E-3</v>
      </c>
    </row>
    <row r="518" spans="1:34">
      <c r="A518" s="5">
        <f ca="1"/>
        <v>44561</v>
      </c>
      <c r="B518" s="2">
        <f ca="1"/>
        <v>5.1302647174553288E-2</v>
      </c>
      <c r="C518" s="2">
        <f ca="1"/>
        <v>1.9249031570461331E-2</v>
      </c>
      <c r="D518" s="2">
        <f ca="1"/>
        <v>4.0320384106211943E-2</v>
      </c>
      <c r="E518" s="2">
        <f ca="1"/>
        <v>-2.5580430123920937E-3</v>
      </c>
      <c r="F518" s="2">
        <f ca="1"/>
        <v>4.3299189913117174E-2</v>
      </c>
      <c r="G518" s="2">
        <f ca="1"/>
        <v>5.9705995729468837E-2</v>
      </c>
      <c r="H518" s="2">
        <f ca="1"/>
        <v>8.1264055334716E-3</v>
      </c>
      <c r="I518" s="2">
        <f ca="1"/>
        <v>5.0742706190994927E-2</v>
      </c>
      <c r="J518" s="2">
        <f ca="1"/>
        <v>2.2169659114481245E-2</v>
      </c>
      <c r="K518" s="2">
        <f ca="1"/>
        <v>5.7538590478096695E-2</v>
      </c>
      <c r="L518" s="2">
        <f ca="1"/>
        <v>4.057857943941804E-2</v>
      </c>
      <c r="M518" s="2">
        <f ca="1"/>
        <v>3.3776974012640369E-2</v>
      </c>
      <c r="N518" s="2">
        <f ca="1"/>
        <v>3.4914697191616169E-2</v>
      </c>
      <c r="O518" s="2">
        <f ca="1"/>
        <v>5.307198782079163E-2</v>
      </c>
      <c r="P518" s="2">
        <f ca="1"/>
        <v>4.7816724873052933E-2</v>
      </c>
      <c r="Q518" s="2">
        <f ca="1"/>
        <v>3.9741023220609906E-2</v>
      </c>
      <c r="R518" s="2">
        <f ca="1"/>
        <v>-5.0832173671026834E-3</v>
      </c>
      <c r="S518" s="2">
        <f ca="1"/>
        <v>6.7902144278240373E-2</v>
      </c>
      <c r="T518" s="2">
        <f ca="1"/>
        <v>4.4748638531051411E-2</v>
      </c>
      <c r="U518" s="2">
        <f ca="1"/>
        <v>4.0505419808632349E-2</v>
      </c>
      <c r="V518" s="2">
        <f ca="1"/>
        <v>2.1142567112171228E-2</v>
      </c>
      <c r="W518" s="2">
        <f ca="1"/>
        <v>6.3085953004911335E-2</v>
      </c>
      <c r="X518" s="2">
        <f ca="1"/>
        <v>1.5717801389557241E-2</v>
      </c>
      <c r="Y518" s="2">
        <f ca="1"/>
        <v>6.9482855801702326E-2</v>
      </c>
      <c r="Z518" s="2">
        <f ca="1"/>
        <v>-4.8016920968688391E-3</v>
      </c>
      <c r="AA518" s="2">
        <f ca="1"/>
        <v>6.841932857461229E-2</v>
      </c>
      <c r="AB518" s="2">
        <f ca="1"/>
        <v>6.3816922443623914E-2</v>
      </c>
      <c r="AC518" s="2">
        <f ca="1"/>
        <v>4.220574087131275E-2</v>
      </c>
      <c r="AD518" s="2">
        <f ca="1"/>
        <v>1.8532814309548354E-2</v>
      </c>
      <c r="AE518" s="2">
        <f ca="1"/>
        <v>3.2367972742759814E-2</v>
      </c>
      <c r="AF518" s="2">
        <f ca="1"/>
        <v>-3.5947592007527125E-3</v>
      </c>
      <c r="AG518" s="26" t="str">
        <f ca="1"/>
        <v/>
      </c>
      <c r="AH518" s="26">
        <f ca="1"/>
        <v>3.1E-2</v>
      </c>
    </row>
    <row r="519" spans="1:34">
      <c r="A519" s="5">
        <f ca="1"/>
        <v>44592</v>
      </c>
      <c r="B519" s="2">
        <f ca="1"/>
        <v>-4.8247834942371906E-2</v>
      </c>
      <c r="C519" s="2">
        <f ca="1"/>
        <v>-1.8855340726664508E-2</v>
      </c>
      <c r="D519" s="2">
        <f ca="1"/>
        <v>-4.8925799979907279E-2</v>
      </c>
      <c r="E519" s="2">
        <f ca="1"/>
        <v>-2.1544366789235367E-2</v>
      </c>
      <c r="F519" s="2">
        <f ca="1"/>
        <v>-0.1049655037447806</v>
      </c>
      <c r="G519" s="2">
        <f ca="1"/>
        <v>1.0563720467254145E-2</v>
      </c>
      <c r="H519" s="2">
        <f ca="1"/>
        <v>-8.0416790434088864E-2</v>
      </c>
      <c r="I519" s="2">
        <f ca="1"/>
        <v>-7.969108415012266E-2</v>
      </c>
      <c r="J519" s="2">
        <f ca="1"/>
        <v>-5.9897235273724467E-2</v>
      </c>
      <c r="K519" s="2">
        <f ca="1"/>
        <v>-4.8990587490795989E-2</v>
      </c>
      <c r="L519" s="2">
        <f ca="1"/>
        <v>-5.8046953876825853E-2</v>
      </c>
      <c r="M519" s="2">
        <f ca="1"/>
        <v>-1.9899228267108798E-2</v>
      </c>
      <c r="N519" s="2">
        <f ca="1"/>
        <v>-7.233327004963247E-2</v>
      </c>
      <c r="O519" s="2">
        <f ca="1"/>
        <v>-9.5209820959894553E-2</v>
      </c>
      <c r="P519" s="2">
        <f ca="1"/>
        <v>-5.0419437784673324E-2</v>
      </c>
      <c r="Q519" s="2">
        <f ca="1"/>
        <v>-7.4673813911068906E-2</v>
      </c>
      <c r="R519" s="2">
        <f ca="1"/>
        <v>-9.0501788104072597E-2</v>
      </c>
      <c r="S519" s="2">
        <f ca="1"/>
        <v>-5.8961531826806905E-2</v>
      </c>
      <c r="T519" s="2">
        <f ca="1"/>
        <v>-5.1748589071432767E-2</v>
      </c>
      <c r="U519" s="2">
        <f ca="1"/>
        <v>-5.6380745150727087E-2</v>
      </c>
      <c r="V519" s="2">
        <f ca="1"/>
        <v>-8.5824809945813305E-2</v>
      </c>
      <c r="W519" s="2">
        <f ca="1"/>
        <v>-2.3293617855174125E-2</v>
      </c>
      <c r="X519" s="2">
        <f ca="1"/>
        <v>-9.4141477095668377E-2</v>
      </c>
      <c r="Y519" s="2">
        <f ca="1"/>
        <v>-1.074026238868884E-2</v>
      </c>
      <c r="Z519" s="2">
        <f ca="1"/>
        <v>-9.0309096909030787E-2</v>
      </c>
      <c r="AA519" s="2">
        <f ca="1"/>
        <v>-5.9826946847960562E-2</v>
      </c>
      <c r="AB519" s="2">
        <f ca="1"/>
        <v>-6.1143984220907215E-2</v>
      </c>
      <c r="AC519" s="2">
        <f ca="1"/>
        <v>-4.0594855305466221E-2</v>
      </c>
      <c r="AD519" s="2">
        <f ca="1"/>
        <v>-4.6775810223856022E-3</v>
      </c>
      <c r="AE519" s="2">
        <f ca="1"/>
        <v>-1.6501650165016542E-2</v>
      </c>
      <c r="AF519" s="2">
        <f ca="1"/>
        <v>-1.9985974754558312E-2</v>
      </c>
      <c r="AG519" s="26" t="str">
        <f ca="1"/>
        <v/>
      </c>
      <c r="AH519" s="26">
        <f ca="1"/>
        <v>-1.84E-2</v>
      </c>
    </row>
    <row r="520" spans="1:34">
      <c r="A520" s="5">
        <f ca="1"/>
        <v>44620</v>
      </c>
      <c r="B520" s="2">
        <f ca="1"/>
        <v>-1.7582108149818611E-2</v>
      </c>
      <c r="C520" s="2">
        <f ca="1"/>
        <v>-2.9769326150892766E-2</v>
      </c>
      <c r="D520" s="2">
        <f ca="1"/>
        <v>-2.5527678725760714E-2</v>
      </c>
      <c r="E520" s="2">
        <f ca="1"/>
        <v>-1.1156917201874689E-2</v>
      </c>
      <c r="F520" s="2">
        <f ca="1"/>
        <v>-2.2113378356435759E-2</v>
      </c>
      <c r="G520" s="2">
        <f ca="1"/>
        <v>-1.3440157367968558E-2</v>
      </c>
      <c r="H520" s="2">
        <f ca="1"/>
        <v>-2.2598583788302852E-2</v>
      </c>
      <c r="I520" s="2">
        <f ca="1"/>
        <v>-2.5184314822084428E-2</v>
      </c>
      <c r="J520" s="2">
        <f ca="1"/>
        <v>-3.0658241890028234E-2</v>
      </c>
      <c r="K520" s="2">
        <f ca="1"/>
        <v>-1.5348258706467702E-2</v>
      </c>
      <c r="L520" s="2">
        <f ca="1"/>
        <v>-3.3783325418900818E-3</v>
      </c>
      <c r="M520" s="2">
        <f ca="1"/>
        <v>4.3692885496751342E-3</v>
      </c>
      <c r="N520" s="2">
        <f ca="1"/>
        <v>-3.9588671181467416E-2</v>
      </c>
      <c r="O520" s="2">
        <f ca="1"/>
        <v>-1.0372402144099095E-2</v>
      </c>
      <c r="P520" s="2">
        <f ca="1"/>
        <v>1.0982148625077865E-3</v>
      </c>
      <c r="Q520" s="2">
        <f ca="1"/>
        <v>-5.1278956719970611E-2</v>
      </c>
      <c r="R520" s="2">
        <f ca="1"/>
        <v>-2.6562369279678696E-2</v>
      </c>
      <c r="S520" s="2">
        <f ca="1"/>
        <v>-3.052133743950735E-2</v>
      </c>
      <c r="T520" s="2">
        <f ca="1"/>
        <v>-2.9941781164688954E-2</v>
      </c>
      <c r="U520" s="2">
        <f ca="1"/>
        <v>-2.7441069447333148E-2</v>
      </c>
      <c r="V520" s="2">
        <f ca="1"/>
        <v>-4.2473651181761468E-2</v>
      </c>
      <c r="W520" s="2">
        <f ca="1"/>
        <v>-1.1604391796935192E-2</v>
      </c>
      <c r="X520" s="2">
        <f ca="1"/>
        <v>-4.5856410609240027E-2</v>
      </c>
      <c r="Y520" s="2">
        <f ca="1"/>
        <v>-1.1544011544011624E-2</v>
      </c>
      <c r="Z520" s="2">
        <f ca="1"/>
        <v>-2.678355501813786E-2</v>
      </c>
      <c r="AA520" s="2">
        <f ca="1"/>
        <v>-3.063371022876674E-2</v>
      </c>
      <c r="AB520" s="2">
        <f ca="1"/>
        <v>-3.9705882352941195E-2</v>
      </c>
      <c r="AC520" s="2">
        <f ca="1"/>
        <v>-3.2397709817064468E-2</v>
      </c>
      <c r="AD520" s="2">
        <f ca="1"/>
        <v>-3.9442766028868627E-2</v>
      </c>
      <c r="AE520" s="2">
        <f ca="1"/>
        <v>6.1521252796420671E-2</v>
      </c>
      <c r="AF520" s="2">
        <f ca="1"/>
        <v>-1.1451808984297296E-2</v>
      </c>
      <c r="AG520" s="26" t="str">
        <f ca="1"/>
        <v/>
      </c>
      <c r="AH520" s="26">
        <f ca="1"/>
        <v>5.8899999999999994E-2</v>
      </c>
    </row>
    <row r="521" spans="1:34">
      <c r="A521" s="5">
        <f ca="1"/>
        <v>44651</v>
      </c>
      <c r="B521" s="2">
        <f ca="1"/>
        <v>7.5775216342179146E-3</v>
      </c>
      <c r="C521" s="2">
        <f ca="1"/>
        <v>-2.2240138573983607E-2</v>
      </c>
      <c r="D521" s="2">
        <f ca="1"/>
        <v>2.2249376706051597E-2</v>
      </c>
      <c r="E521" s="2">
        <f ca="1"/>
        <v>-2.7783507190534889E-2</v>
      </c>
      <c r="F521" s="2">
        <f ca="1"/>
        <v>6.9701475495434605E-3</v>
      </c>
      <c r="G521" s="2">
        <f ca="1"/>
        <v>8.1209494360411586E-3</v>
      </c>
      <c r="H521" s="2">
        <f ca="1"/>
        <v>3.9185318627768646E-2</v>
      </c>
      <c r="I521" s="2">
        <f ca="1"/>
        <v>2.4989553208302796E-2</v>
      </c>
      <c r="J521" s="2">
        <f ca="1"/>
        <v>-2.4497064388594031E-2</v>
      </c>
      <c r="K521" s="2">
        <f ca="1"/>
        <v>3.6963469166056195E-2</v>
      </c>
      <c r="L521" s="2">
        <f ca="1"/>
        <v>8.5856385682132035E-3</v>
      </c>
      <c r="M521" s="2">
        <f ca="1"/>
        <v>-7.1594516794862284E-3</v>
      </c>
      <c r="N521" s="2">
        <f ca="1"/>
        <v>2.9129733304921343E-2</v>
      </c>
      <c r="O521" s="2">
        <f ca="1"/>
        <v>1.4563619973513787E-2</v>
      </c>
      <c r="P521" s="2">
        <f ca="1"/>
        <v>-2.1827274682727424E-2</v>
      </c>
      <c r="Q521" s="2">
        <f ca="1"/>
        <v>3.8427198692080611E-2</v>
      </c>
      <c r="R521" s="2">
        <f ca="1"/>
        <v>4.6515860437252123E-2</v>
      </c>
      <c r="S521" s="2">
        <f ca="1"/>
        <v>5.4919837664179377E-2</v>
      </c>
      <c r="T521" s="2">
        <f ca="1"/>
        <v>3.7128537692507853E-2</v>
      </c>
      <c r="U521" s="2">
        <f ca="1"/>
        <v>3.3745345522934567E-2</v>
      </c>
      <c r="V521" s="2">
        <f ca="1"/>
        <v>3.9117575127068212E-2</v>
      </c>
      <c r="W521" s="2">
        <f ca="1"/>
        <v>2.8228853399007214E-2</v>
      </c>
      <c r="X521" s="2">
        <f ca="1"/>
        <v>3.8030314217079281E-2</v>
      </c>
      <c r="Y521" s="2">
        <f ca="1"/>
        <v>3.2874988300969195E-2</v>
      </c>
      <c r="Z521" s="2">
        <f ca="1"/>
        <v>4.7694762126820271E-2</v>
      </c>
      <c r="AA521" s="2">
        <f ca="1"/>
        <v>5.5779376731831302E-2</v>
      </c>
      <c r="AB521" s="2">
        <f ca="1"/>
        <v>4.4029124261882838E-2</v>
      </c>
      <c r="AC521" s="2">
        <f ca="1"/>
        <v>3.1750613364121424E-3</v>
      </c>
      <c r="AD521" s="2">
        <f ca="1"/>
        <v>-2.9355233269264397E-2</v>
      </c>
      <c r="AE521" s="2">
        <f ca="1"/>
        <v>1.3435194942044204E-2</v>
      </c>
      <c r="AF521" s="2">
        <f ca="1"/>
        <v>-2.8133107565671351E-2</v>
      </c>
      <c r="AG521" s="26" t="str">
        <f ca="1"/>
        <v/>
      </c>
      <c r="AH521" s="26">
        <f ca="1"/>
        <v>2.5499999999999998E-2</v>
      </c>
    </row>
    <row r="522" spans="1:34">
      <c r="A522" s="5">
        <f ca="1"/>
        <v>44680</v>
      </c>
      <c r="B522" s="2">
        <f ca="1"/>
        <v>-6.3845412788378533E-2</v>
      </c>
      <c r="C522" s="2">
        <f ca="1"/>
        <v>-5.5473338158354285E-2</v>
      </c>
      <c r="D522" s="2">
        <f ca="1"/>
        <v>-7.9667896726395848E-2</v>
      </c>
      <c r="E522" s="2">
        <f ca="1"/>
        <v>-3.7948342947936767E-2</v>
      </c>
      <c r="F522" s="2">
        <f ca="1"/>
        <v>-7.9298727772418656E-2</v>
      </c>
      <c r="G522" s="2">
        <f ca="1"/>
        <v>-4.9627954192269542E-2</v>
      </c>
      <c r="H522" s="2">
        <f ca="1"/>
        <v>-0.11042621519658281</v>
      </c>
      <c r="I522" s="2">
        <f ca="1"/>
        <v>-7.973918998739267E-2</v>
      </c>
      <c r="J522" s="2">
        <f ca="1"/>
        <v>-6.4503446482811991E-2</v>
      </c>
      <c r="K522" s="2">
        <f ca="1"/>
        <v>-4.2571010052715075E-2</v>
      </c>
      <c r="L522" s="2">
        <f ca="1"/>
        <v>-4.9622064249077641E-2</v>
      </c>
      <c r="M522" s="2">
        <f ca="1"/>
        <v>-3.3314532631647548E-2</v>
      </c>
      <c r="N522" s="2">
        <f ca="1"/>
        <v>-9.0500840336134522E-2</v>
      </c>
      <c r="O522" s="2">
        <f ca="1"/>
        <v>-7.0304596416379095E-2</v>
      </c>
      <c r="P522" s="2">
        <f ca="1"/>
        <v>-7.3342092676785764E-2</v>
      </c>
      <c r="Q522" s="2">
        <f ca="1"/>
        <v>-8.9023895027937588E-2</v>
      </c>
      <c r="R522" s="2">
        <f ca="1"/>
        <v>-0.12579436678912781</v>
      </c>
      <c r="S522" s="2">
        <f ca="1"/>
        <v>-5.257557759647518E-2</v>
      </c>
      <c r="T522" s="2">
        <f ca="1"/>
        <v>-8.7200344205976665E-2</v>
      </c>
      <c r="U522" s="2">
        <f ca="1"/>
        <v>-8.9140761209031458E-2</v>
      </c>
      <c r="V522" s="2">
        <f ca="1"/>
        <v>-0.12076163171446055</v>
      </c>
      <c r="W522" s="2">
        <f ca="1"/>
        <v>-5.6403610999982645E-2</v>
      </c>
      <c r="X522" s="2">
        <f ca="1"/>
        <v>-0.12875521557719069</v>
      </c>
      <c r="Y522" s="2">
        <f ca="1"/>
        <v>-4.7909053999188177E-2</v>
      </c>
      <c r="Z522" s="2">
        <f ca="1"/>
        <v>-0.12681999168003805</v>
      </c>
      <c r="AA522" s="2">
        <f ca="1"/>
        <v>-5.3371148639937971E-2</v>
      </c>
      <c r="AB522" s="2">
        <f ca="1"/>
        <v>-5.0420168067226809E-2</v>
      </c>
      <c r="AC522" s="2">
        <f ca="1"/>
        <v>-6.7616170335203729E-2</v>
      </c>
      <c r="AD522" s="2">
        <f ca="1"/>
        <v>-5.9405940594059355E-2</v>
      </c>
      <c r="AE522" s="2">
        <f ca="1"/>
        <v>-2.0795425006498496E-2</v>
      </c>
      <c r="AF522" s="2">
        <f ca="1"/>
        <v>-3.8057534378997379E-2</v>
      </c>
      <c r="AG522" s="26" t="str">
        <f ca="1"/>
        <v/>
      </c>
      <c r="AH522" s="26">
        <f ca="1"/>
        <v>-1.9199999999999998E-2</v>
      </c>
    </row>
    <row r="523" spans="1:34">
      <c r="A523" s="5">
        <f ca="1"/>
        <v>44712</v>
      </c>
      <c r="B523" s="2">
        <f ca="1"/>
        <v>8.9213038977156815E-3</v>
      </c>
      <c r="C523" s="2">
        <f ca="1"/>
        <v>4.6509322831883347E-3</v>
      </c>
      <c r="D523" s="2">
        <f ca="1"/>
        <v>1.8812100356340284E-3</v>
      </c>
      <c r="E523" s="2">
        <f ca="1"/>
        <v>6.4467393293327763E-3</v>
      </c>
      <c r="F523" s="2">
        <f ca="1"/>
        <v>-1.0975151469504806E-2</v>
      </c>
      <c r="G523" s="2">
        <f ca="1"/>
        <v>2.6698225686324416E-2</v>
      </c>
      <c r="H523" s="2">
        <f ca="1"/>
        <v>2.6286919979110661E-4</v>
      </c>
      <c r="I523" s="2">
        <f ca="1"/>
        <v>1.0746258182141699E-3</v>
      </c>
      <c r="J523" s="2">
        <f ca="1"/>
        <v>-2.401796305710889E-2</v>
      </c>
      <c r="K523" s="2">
        <f ca="1"/>
        <v>-1.0582397658958612E-2</v>
      </c>
      <c r="L523" s="2">
        <f ca="1"/>
        <v>-1.6143463790826113E-2</v>
      </c>
      <c r="M523" s="2">
        <f ca="1"/>
        <v>-1.7045673726034861E-2</v>
      </c>
      <c r="N523" s="2">
        <f ca="1"/>
        <v>-1.2080894092602353E-2</v>
      </c>
      <c r="O523" s="2">
        <f ca="1"/>
        <v>-1.4714632714942465E-2</v>
      </c>
      <c r="P523" s="2">
        <f ca="1"/>
        <v>-2.3018509729472486E-3</v>
      </c>
      <c r="Q523" s="2">
        <f ca="1"/>
        <v>-4.8062436342175118E-3</v>
      </c>
      <c r="R523" s="2">
        <f ca="1"/>
        <v>2.7104763641487544E-3</v>
      </c>
      <c r="S523" s="2">
        <f ca="1"/>
        <v>-1.2039054693422345E-4</v>
      </c>
      <c r="T523" s="2">
        <f ca="1"/>
        <v>1.8463336286849152E-3</v>
      </c>
      <c r="U523" s="2">
        <f ca="1"/>
        <v>-1.5197413007409055E-3</v>
      </c>
      <c r="V523" s="2">
        <f ca="1"/>
        <v>-2.324757625457341E-2</v>
      </c>
      <c r="W523" s="2">
        <f ca="1"/>
        <v>1.9439779679731897E-2</v>
      </c>
      <c r="X523" s="2">
        <f ca="1"/>
        <v>-2.6898671030051263E-2</v>
      </c>
      <c r="Y523" s="2">
        <f ca="1"/>
        <v>2.4093816631130208E-2</v>
      </c>
      <c r="Z523" s="2">
        <f ca="1"/>
        <v>-5.9892465800040571E-3</v>
      </c>
      <c r="AA523" s="2">
        <f ca="1"/>
        <v>4.0855236279436911E-4</v>
      </c>
      <c r="AB523" s="2">
        <f ca="1"/>
        <v>1.5929203539823026E-2</v>
      </c>
      <c r="AC523" s="2">
        <f ca="1"/>
        <v>1.681839222342249E-2</v>
      </c>
      <c r="AD523" s="2">
        <f ca="1"/>
        <v>6.1244019138754274E-3</v>
      </c>
      <c r="AE523" s="2">
        <f ca="1"/>
        <v>-3.2121051234404056E-2</v>
      </c>
      <c r="AF523" s="2">
        <f ca="1"/>
        <v>7.6184618686428495E-3</v>
      </c>
      <c r="AG523" s="26" t="str">
        <f ca="1"/>
        <v/>
      </c>
      <c r="AH523" s="26">
        <f ca="1"/>
        <v>-3.61E-2</v>
      </c>
    </row>
    <row r="524" spans="1:34">
      <c r="A524" s="5">
        <f ca="1"/>
        <v>44742</v>
      </c>
      <c r="B524" s="2">
        <f ca="1"/>
        <v>-9.2568536446255192E-2</v>
      </c>
      <c r="C524" s="2">
        <f ca="1"/>
        <v>-6.5623660034986153E-2</v>
      </c>
      <c r="D524" s="2">
        <f ca="1"/>
        <v>-8.3884241934663276E-2</v>
      </c>
      <c r="E524" s="2">
        <f ca="1"/>
        <v>-1.5687280016782868E-2</v>
      </c>
      <c r="F524" s="2">
        <f ca="1"/>
        <v>-8.5666458128876299E-2</v>
      </c>
      <c r="G524" s="2">
        <f ca="1"/>
        <v>-9.9281220916911689E-2</v>
      </c>
      <c r="H524" s="2">
        <f ca="1"/>
        <v>-8.3626501464672764E-2</v>
      </c>
      <c r="I524" s="2">
        <f ca="1"/>
        <v>-8.1930030057222533E-2</v>
      </c>
      <c r="J524" s="2">
        <f ca="1"/>
        <v>-0.10261196297447424</v>
      </c>
      <c r="K524" s="2">
        <f ca="1"/>
        <v>-4.0699150975847316E-2</v>
      </c>
      <c r="L524" s="2">
        <f ca="1"/>
        <v>-5.4378527675258991E-2</v>
      </c>
      <c r="M524" s="2">
        <f ca="1"/>
        <v>-5.4128300850139033E-2</v>
      </c>
      <c r="N524" s="2">
        <f ca="1"/>
        <v>-7.9875139913926849E-2</v>
      </c>
      <c r="O524" s="2">
        <f ca="1"/>
        <v>-9.1192620704631605E-2</v>
      </c>
      <c r="P524" s="2">
        <f ca="1"/>
        <v>-7.9460314439978183E-2</v>
      </c>
      <c r="Q524" s="2">
        <f ca="1"/>
        <v>-7.5527173817846946E-2</v>
      </c>
      <c r="R524" s="2">
        <f ca="1"/>
        <v>-6.4737813783031617E-2</v>
      </c>
      <c r="S524" s="2">
        <f ca="1"/>
        <v>-4.0934274327408912E-2</v>
      </c>
      <c r="T524" s="2">
        <f ca="1"/>
        <v>-8.2576006055194176E-2</v>
      </c>
      <c r="U524" s="2">
        <f ca="1"/>
        <v>-8.3750295304889935E-2</v>
      </c>
      <c r="V524" s="2">
        <f ca="1"/>
        <v>-7.9211273669655538E-2</v>
      </c>
      <c r="W524" s="2">
        <f ca="1"/>
        <v>-8.7372039880385888E-2</v>
      </c>
      <c r="X524" s="2">
        <f ca="1"/>
        <v>-8.4587095601650286E-2</v>
      </c>
      <c r="Y524" s="2">
        <f ca="1"/>
        <v>-7.8873787542114854E-2</v>
      </c>
      <c r="Z524" s="2">
        <f ca="1"/>
        <v>-6.3847305687575628E-2</v>
      </c>
      <c r="AA524" s="2">
        <f ca="1"/>
        <v>-4.1260994907913323E-2</v>
      </c>
      <c r="AB524" s="2">
        <f ca="1"/>
        <v>-9.9252416894766077E-2</v>
      </c>
      <c r="AC524" s="2">
        <f ca="1"/>
        <v>-8.794001184908673E-2</v>
      </c>
      <c r="AD524" s="2">
        <f ca="1"/>
        <v>-5.571257679089385E-2</v>
      </c>
      <c r="AE524" s="2">
        <f ca="1"/>
        <v>-1.5907844212835937E-2</v>
      </c>
      <c r="AF524" s="2">
        <f ca="1"/>
        <v>-1.5521735118624525E-2</v>
      </c>
      <c r="AG524" s="26" t="str">
        <f ca="1"/>
        <v/>
      </c>
      <c r="AH524" s="26">
        <f ca="1"/>
        <v>-1.9199999999999998E-2</v>
      </c>
    </row>
    <row r="525" spans="1:34">
      <c r="A525" s="5">
        <f ca="1"/>
        <v>44771</v>
      </c>
      <c r="B525" s="2">
        <f ca="1"/>
        <v>4.9930067910356188E-2</v>
      </c>
      <c r="C525" s="2">
        <f ca="1"/>
        <v>-1.6203769508484772E-3</v>
      </c>
      <c r="D525" s="2">
        <f ca="1"/>
        <v>7.0185742826754285E-2</v>
      </c>
      <c r="E525" s="2">
        <f ca="1"/>
        <v>2.4434024817656386E-2</v>
      </c>
      <c r="F525" s="2">
        <f ca="1"/>
        <v>7.9298842516536683E-2</v>
      </c>
      <c r="G525" s="2">
        <f ca="1"/>
        <v>2.095729246331254E-2</v>
      </c>
      <c r="H525" s="2">
        <f ca="1"/>
        <v>3.9847508049036043E-2</v>
      </c>
      <c r="I525" s="2">
        <f ca="1"/>
        <v>2.8899278870245935E-2</v>
      </c>
      <c r="J525" s="2">
        <f ca="1"/>
        <v>4.6492076698334044E-2</v>
      </c>
      <c r="K525" s="2">
        <f ca="1"/>
        <v>3.0834140407435501E-2</v>
      </c>
      <c r="L525" s="2">
        <f ca="1"/>
        <v>3.7197231833909987E-2</v>
      </c>
      <c r="M525" s="2">
        <f ca="1"/>
        <v>1.2618312890594575E-2</v>
      </c>
      <c r="N525" s="2">
        <f ca="1"/>
        <v>7.7399209614727849E-2</v>
      </c>
      <c r="O525" s="2">
        <f ca="1"/>
        <v>7.7023908680038777E-2</v>
      </c>
      <c r="P525" s="2">
        <f ca="1"/>
        <v>1.8125561175383973E-2</v>
      </c>
      <c r="Q525" s="2">
        <f ca="1"/>
        <v>8.7584720989151363E-2</v>
      </c>
      <c r="R525" s="2">
        <f ca="1"/>
        <v>5.1783062672354933E-2</v>
      </c>
      <c r="S525" s="2">
        <f ca="1"/>
        <v>5.1060578614818282E-2</v>
      </c>
      <c r="T525" s="2">
        <f ca="1"/>
        <v>9.2206969419022317E-2</v>
      </c>
      <c r="U525" s="2">
        <f ca="1"/>
        <v>9.3139356203476478E-2</v>
      </c>
      <c r="V525" s="2">
        <f ca="1"/>
        <v>0.12002102327036822</v>
      </c>
      <c r="W525" s="2">
        <f ca="1"/>
        <v>6.6312403471700074E-2</v>
      </c>
      <c r="X525" s="2">
        <f ca="1"/>
        <v>0.13042307864866065</v>
      </c>
      <c r="Y525" s="2">
        <f ca="1"/>
        <v>5.0576281468001312E-2</v>
      </c>
      <c r="Z525" s="2">
        <f ca="1"/>
        <v>5.1697587445919027E-2</v>
      </c>
      <c r="AA525" s="2">
        <f ca="1"/>
        <v>5.1274747187010562E-2</v>
      </c>
      <c r="AB525" s="2">
        <f ca="1"/>
        <v>5.8752124302014964E-2</v>
      </c>
      <c r="AC525" s="2">
        <f ca="1"/>
        <v>5.4375531011044961E-2</v>
      </c>
      <c r="AD525" s="2">
        <f ca="1"/>
        <v>0</v>
      </c>
      <c r="AE525" s="2">
        <f ca="1"/>
        <v>-2.4804905239687862E-2</v>
      </c>
      <c r="AF525" s="2">
        <f ca="1"/>
        <v>2.5361794764701091E-2</v>
      </c>
      <c r="AG525" s="26" t="str">
        <f ca="1"/>
        <v/>
      </c>
      <c r="AH525" s="26">
        <f ca="1"/>
        <v>-2.46E-2</v>
      </c>
    </row>
    <row r="526" spans="1:34">
      <c r="A526" s="5">
        <f ca="1"/>
        <v>44804</v>
      </c>
      <c r="B526" s="2">
        <f ca="1"/>
        <v>-4.7389660558634888E-2</v>
      </c>
      <c r="C526" s="2">
        <f ca="1"/>
        <v>4.5476732834363147E-3</v>
      </c>
      <c r="D526" s="2">
        <f ca="1"/>
        <v>-3.64248391568621E-2</v>
      </c>
      <c r="E526" s="2">
        <f ca="1"/>
        <v>-2.8252557801931439E-2</v>
      </c>
      <c r="F526" s="2">
        <f ca="1"/>
        <v>-6.0587027785738767E-2</v>
      </c>
      <c r="G526" s="2">
        <f ca="1"/>
        <v>-3.361613925283409E-2</v>
      </c>
      <c r="H526" s="2">
        <f ca="1"/>
        <v>-1.7264647370956347E-2</v>
      </c>
      <c r="I526" s="2">
        <f ca="1"/>
        <v>-3.7469675909104286E-2</v>
      </c>
      <c r="J526" s="2">
        <f ca="1"/>
        <v>2.5694335949236306E-2</v>
      </c>
      <c r="K526" s="2">
        <f ca="1"/>
        <v>-2.1205836074953518E-2</v>
      </c>
      <c r="L526" s="2">
        <f ca="1"/>
        <v>-4.6190452828337274E-2</v>
      </c>
      <c r="M526" s="2">
        <f ca="1"/>
        <v>-6.7094157174464831E-3</v>
      </c>
      <c r="N526" s="2">
        <f ca="1"/>
        <v>-5.422336003091395E-2</v>
      </c>
      <c r="O526" s="2">
        <f ca="1"/>
        <v>-6.7175469290127382E-2</v>
      </c>
      <c r="P526" s="2">
        <f ca="1"/>
        <v>-2.7027884401865251E-3</v>
      </c>
      <c r="Q526" s="2">
        <f ca="1"/>
        <v>-5.8525756210708615E-2</v>
      </c>
      <c r="R526" s="2">
        <f ca="1"/>
        <v>-1.8966811581211912E-2</v>
      </c>
      <c r="S526" s="2">
        <f ca="1"/>
        <v>-3.0545540173673297E-2</v>
      </c>
      <c r="T526" s="2">
        <f ca="1"/>
        <v>-4.0782617988463506E-2</v>
      </c>
      <c r="U526" s="2">
        <f ca="1"/>
        <v>-3.8396293859441016E-2</v>
      </c>
      <c r="V526" s="2">
        <f ca="1"/>
        <v>-4.6584051641950446E-2</v>
      </c>
      <c r="W526" s="2">
        <f ca="1"/>
        <v>-2.9795439427104078E-2</v>
      </c>
      <c r="X526" s="2">
        <f ca="1"/>
        <v>-5.0007937767899552E-2</v>
      </c>
      <c r="Y526" s="2">
        <f ca="1"/>
        <v>-2.6777336701551767E-2</v>
      </c>
      <c r="Z526" s="2">
        <f ca="1"/>
        <v>-1.9941430762794348E-2</v>
      </c>
      <c r="AA526" s="2">
        <f ca="1"/>
        <v>-3.1567538273946531E-2</v>
      </c>
      <c r="AB526" s="2">
        <f ca="1"/>
        <v>-3.2102728731942073E-2</v>
      </c>
      <c r="AC526" s="2">
        <f ca="1"/>
        <v>-6.0596293311845274E-2</v>
      </c>
      <c r="AD526" s="2">
        <f ca="1"/>
        <v>-1.2229922543823941E-2</v>
      </c>
      <c r="AE526" s="2">
        <f ca="1"/>
        <v>-2.9151186053158133E-2</v>
      </c>
      <c r="AF526" s="2">
        <f ca="1"/>
        <v>-3.0424780720465394E-2</v>
      </c>
      <c r="AG526" s="26" t="str">
        <f ca="1"/>
        <v/>
      </c>
      <c r="AH526" s="26">
        <f ca="1"/>
        <v>-2.6099999999999998E-2</v>
      </c>
    </row>
    <row r="527" spans="1:34">
      <c r="A527" s="5">
        <f ca="1"/>
        <v>44834</v>
      </c>
      <c r="B527" s="2">
        <f ca="1"/>
        <v>-9.3081053598792277E-2</v>
      </c>
      <c r="C527" s="2">
        <f ca="1"/>
        <v>-0.11673239984126847</v>
      </c>
      <c r="D527" s="2">
        <f ca="1"/>
        <v>-9.5309695273691472E-2</v>
      </c>
      <c r="E527" s="2">
        <f ca="1"/>
        <v>-4.3208936761375598E-2</v>
      </c>
      <c r="F527" s="2">
        <f ca="1"/>
        <v>-9.7026979943563227E-2</v>
      </c>
      <c r="G527" s="2">
        <f ca="1"/>
        <v>-8.9059462273935408E-2</v>
      </c>
      <c r="H527" s="2">
        <f ca="1"/>
        <v>-7.6614230976471298E-2</v>
      </c>
      <c r="I527" s="2">
        <f ca="1"/>
        <v>-8.7505963577600404E-2</v>
      </c>
      <c r="J527" s="2">
        <f ca="1"/>
        <v>-8.4199255347626178E-2</v>
      </c>
      <c r="K527" s="2">
        <f ca="1"/>
        <v>-6.7008545873037492E-2</v>
      </c>
      <c r="L527" s="2">
        <f ca="1"/>
        <v>-8.3280611063961146E-2</v>
      </c>
      <c r="M527" s="2">
        <f ca="1"/>
        <v>-7.5199290494900498E-2</v>
      </c>
      <c r="N527" s="2">
        <f ca="1"/>
        <v>-9.4279877425944875E-2</v>
      </c>
      <c r="O527" s="2">
        <f ca="1"/>
        <v>-8.3660266922777254E-2</v>
      </c>
      <c r="P527" s="2">
        <f ca="1"/>
        <v>-8.4929607033571067E-2</v>
      </c>
      <c r="Q527" s="2">
        <f ca="1"/>
        <v>-9.5453223717253996E-2</v>
      </c>
      <c r="R527" s="2">
        <f ca="1"/>
        <v>-6.0239106164393416E-2</v>
      </c>
      <c r="S527" s="2">
        <f ca="1"/>
        <v>-7.1709185379711382E-2</v>
      </c>
      <c r="T527" s="2">
        <f ca="1"/>
        <v>-9.2123879033432027E-2</v>
      </c>
      <c r="U527" s="2">
        <f ca="1"/>
        <v>-9.252724170218779E-2</v>
      </c>
      <c r="V527" s="2">
        <f ca="1"/>
        <v>-9.7215912559655324E-2</v>
      </c>
      <c r="W527" s="2">
        <f ca="1"/>
        <v>-8.7686748499332737E-2</v>
      </c>
      <c r="X527" s="2">
        <f ca="1"/>
        <v>-0.10441582650528455</v>
      </c>
      <c r="Y527" s="2">
        <f ca="1"/>
        <v>-7.8005711788154949E-2</v>
      </c>
      <c r="Z527" s="2">
        <f ca="1"/>
        <v>-5.9501281744402237E-2</v>
      </c>
      <c r="AA527" s="2">
        <f ca="1"/>
        <v>-7.0690782532410235E-2</v>
      </c>
      <c r="AB527" s="2">
        <f ca="1"/>
        <v>-7.0743905592346293E-2</v>
      </c>
      <c r="AC527" s="2">
        <f ca="1"/>
        <v>-9.6414479327500316E-2</v>
      </c>
      <c r="AD527" s="2">
        <f ca="1"/>
        <v>-0.11308295501444499</v>
      </c>
      <c r="AE527" s="2">
        <f ca="1"/>
        <v>-2.9143361789814606E-2</v>
      </c>
      <c r="AF527" s="2">
        <f ca="1"/>
        <v>-4.1437184793799771E-2</v>
      </c>
      <c r="AG527" s="26" t="str">
        <f ca="1"/>
        <v/>
      </c>
      <c r="AH527" s="26">
        <f ca="1"/>
        <v>-3.1699999999999999E-2</v>
      </c>
    </row>
    <row r="528" spans="1:34">
      <c r="A528" s="5">
        <f ca="1"/>
        <v>44865</v>
      </c>
      <c r="B528" s="2">
        <f ca="1"/>
        <v>5.3861433736769798E-2</v>
      </c>
      <c r="C528" s="2">
        <f ca="1"/>
        <v>-3.0917342868931393E-2</v>
      </c>
      <c r="D528" s="2">
        <f ca="1"/>
        <v>6.0602872709746604E-2</v>
      </c>
      <c r="E528" s="2">
        <f ca="1"/>
        <v>-1.2953367875647648E-2</v>
      </c>
      <c r="F528" s="2">
        <f ca="1"/>
        <v>4.3282498704660055E-2</v>
      </c>
      <c r="G528" s="2">
        <f ca="1"/>
        <v>6.4612840149459769E-2</v>
      </c>
      <c r="H528" s="2">
        <f ca="1"/>
        <v>9.5978895584200821E-2</v>
      </c>
      <c r="I528" s="2">
        <f ca="1"/>
        <v>5.8445147820453694E-2</v>
      </c>
      <c r="J528" s="2">
        <f ca="1"/>
        <v>1.8345797768113275E-2</v>
      </c>
      <c r="K528" s="2">
        <f ca="1"/>
        <v>4.1804019850056544E-2</v>
      </c>
      <c r="L528" s="2">
        <f ca="1"/>
        <v>2.3083310889666992E-2</v>
      </c>
      <c r="M528" s="2">
        <f ca="1"/>
        <v>-1.6135686965442674E-2</v>
      </c>
      <c r="N528" s="2">
        <f ca="1"/>
        <v>4.977373970903351E-2</v>
      </c>
      <c r="O528" s="2">
        <f ca="1"/>
        <v>4.0285063108404143E-2</v>
      </c>
      <c r="P528" s="2">
        <f ca="1"/>
        <v>-1.4863840822030261E-2</v>
      </c>
      <c r="Q528" s="2">
        <f ca="1"/>
        <v>7.1298523296150357E-2</v>
      </c>
      <c r="R528" s="2">
        <f ca="1"/>
        <v>0.12545423609338732</v>
      </c>
      <c r="S528" s="2">
        <f ca="1"/>
        <v>7.8204250655573238E-2</v>
      </c>
      <c r="T528" s="2">
        <f ca="1"/>
        <v>8.0963370886388122E-2</v>
      </c>
      <c r="U528" s="2">
        <f ca="1"/>
        <v>8.0200438333329238E-2</v>
      </c>
      <c r="V528" s="2">
        <f ca="1"/>
        <v>5.8448647915056731E-2</v>
      </c>
      <c r="W528" s="2">
        <f ca="1"/>
        <v>0.10252955892918707</v>
      </c>
      <c r="X528" s="2">
        <f ca="1"/>
        <v>4.1084365505959418E-2</v>
      </c>
      <c r="Y528" s="2">
        <f ca="1"/>
        <v>0.11734693877551021</v>
      </c>
      <c r="Z528" s="2">
        <f ca="1"/>
        <v>0.12551934438726883</v>
      </c>
      <c r="AA528" s="2">
        <f ca="1"/>
        <v>7.700453857791241E-2</v>
      </c>
      <c r="AB528" s="2">
        <f ca="1"/>
        <v>9.9334357398873516E-2</v>
      </c>
      <c r="AC528" s="2">
        <f ca="1"/>
        <v>5.7907727359027848E-2</v>
      </c>
      <c r="AD528" s="2">
        <f ca="1"/>
        <v>-1.4657980456025921E-2</v>
      </c>
      <c r="AE528" s="2">
        <f ca="1"/>
        <v>-1.7283201940570054E-2</v>
      </c>
      <c r="AF528" s="2">
        <f ca="1"/>
        <v>-1.2806302873810144E-2</v>
      </c>
      <c r="AG528" s="26" t="str">
        <f ca="1"/>
        <v/>
      </c>
      <c r="AH528" s="26">
        <f ca="1"/>
        <v>-1.3100000000000001E-2</v>
      </c>
    </row>
    <row r="529" spans="1:34">
      <c r="A529" s="5">
        <f ca="1"/>
        <v>44895</v>
      </c>
      <c r="B529" s="2">
        <f ca="1"/>
        <v>0.11279121010838042</v>
      </c>
      <c r="C529" s="2">
        <f ca="1"/>
        <v>0.14847246269857034</v>
      </c>
      <c r="D529" s="2">
        <f ca="1"/>
        <v>7.8022086176378777E-2</v>
      </c>
      <c r="E529" s="2">
        <f ca="1"/>
        <v>3.6775633372124188E-2</v>
      </c>
      <c r="F529" s="2">
        <f ca="1"/>
        <v>0.11548393460737173</v>
      </c>
      <c r="G529" s="2">
        <f ca="1"/>
        <v>0.1101097772501218</v>
      </c>
      <c r="H529" s="2">
        <f ca="1"/>
        <v>5.8644965207167152E-2</v>
      </c>
      <c r="I529" s="2">
        <f ca="1"/>
        <v>9.8184793780997745E-2</v>
      </c>
      <c r="J529" s="2">
        <f ca="1"/>
        <v>4.5039681772671661E-2</v>
      </c>
      <c r="K529" s="2">
        <f ca="1"/>
        <v>6.2942296061151856E-2</v>
      </c>
      <c r="L529" s="2">
        <f ca="1"/>
        <v>8.2873564479154033E-2</v>
      </c>
      <c r="M529" s="2">
        <f ca="1"/>
        <v>8.774226453587225E-2</v>
      </c>
      <c r="N529" s="2">
        <f ca="1"/>
        <v>9.2631946472754662E-2</v>
      </c>
      <c r="O529" s="2">
        <f ca="1"/>
        <v>0.12214172165602512</v>
      </c>
      <c r="P529" s="2">
        <f ca="1"/>
        <v>0.120105009844673</v>
      </c>
      <c r="Q529" s="2">
        <f ca="1"/>
        <v>7.6270261717833493E-2</v>
      </c>
      <c r="R529" s="2">
        <f ca="1"/>
        <v>3.6335019734675296E-2</v>
      </c>
      <c r="S529" s="2">
        <f ca="1"/>
        <v>5.781101071668486E-2</v>
      </c>
      <c r="T529" s="2">
        <f ca="1"/>
        <v>5.5884157259226887E-2</v>
      </c>
      <c r="U529" s="2">
        <f ca="1"/>
        <v>5.40974373634103E-2</v>
      </c>
      <c r="V529" s="2">
        <f ca="1"/>
        <v>4.556708362469291E-2</v>
      </c>
      <c r="W529" s="2">
        <f ca="1"/>
        <v>6.2492086325456171E-2</v>
      </c>
      <c r="X529" s="2">
        <f ca="1"/>
        <v>4.6242255544580932E-2</v>
      </c>
      <c r="Y529" s="2">
        <f ca="1"/>
        <v>5.994056678988198E-2</v>
      </c>
      <c r="Z529" s="2">
        <f ca="1"/>
        <v>3.4678948794364645E-2</v>
      </c>
      <c r="AA529" s="2">
        <f ca="1"/>
        <v>5.7170950976260793E-2</v>
      </c>
      <c r="AB529" s="2">
        <f ca="1"/>
        <v>5.3097345132743307E-2</v>
      </c>
      <c r="AC529" s="2">
        <f ca="1"/>
        <v>0.13155061019382605</v>
      </c>
      <c r="AD529" s="2">
        <f ca="1"/>
        <v>0.14663518299881936</v>
      </c>
      <c r="AE529" s="2">
        <f ca="1"/>
        <v>8.4233261339093007E-2</v>
      </c>
      <c r="AF529" s="2">
        <f ca="1"/>
        <v>3.8080792786085803E-2</v>
      </c>
      <c r="AG529" s="26" t="str">
        <f ca="1"/>
        <v/>
      </c>
      <c r="AH529" s="26">
        <f ca="1"/>
        <v>6.4199999999999993E-2</v>
      </c>
    </row>
    <row r="530" spans="1:34">
      <c r="A530" s="5">
        <f ca="1"/>
        <v>44925</v>
      </c>
      <c r="B530" s="2">
        <f ca="1"/>
        <v>1.0885960026950007E-3</v>
      </c>
      <c r="C530" s="2">
        <f ca="1"/>
        <v>-1.3514793776851414E-2</v>
      </c>
      <c r="D530" s="2">
        <f ca="1"/>
        <v>-3.8953276467479141E-2</v>
      </c>
      <c r="E530" s="2">
        <f ca="1"/>
        <v>-4.5092103536912842E-3</v>
      </c>
      <c r="F530" s="2">
        <f ca="1"/>
        <v>-1.1119928961138788E-2</v>
      </c>
      <c r="G530" s="2">
        <f ca="1"/>
        <v>1.3060602349395123E-2</v>
      </c>
      <c r="H530" s="2">
        <f ca="1"/>
        <v>-2.4828949528323353E-2</v>
      </c>
      <c r="I530" s="2">
        <f ca="1"/>
        <v>7.2195769118930031E-3</v>
      </c>
      <c r="J530" s="2">
        <f ca="1"/>
        <v>-3.7978944564871629E-2</v>
      </c>
      <c r="K530" s="2">
        <f ca="1"/>
        <v>-1.9429772815677569E-2</v>
      </c>
      <c r="L530" s="2">
        <f ca="1"/>
        <v>1.5441962228220963E-2</v>
      </c>
      <c r="M530" s="2">
        <f ca="1"/>
        <v>-1.1831637517387993E-2</v>
      </c>
      <c r="N530" s="2">
        <f ca="1"/>
        <v>-4.5634012271899067E-2</v>
      </c>
      <c r="O530" s="2">
        <f ca="1"/>
        <v>-9.7513769452462155E-3</v>
      </c>
      <c r="P530" s="2">
        <f ca="1"/>
        <v>-3.5710685483871005E-2</v>
      </c>
      <c r="Q530" s="2">
        <f ca="1"/>
        <v>-5.2210565802446873E-2</v>
      </c>
      <c r="R530" s="2">
        <f ca="1"/>
        <v>-3.8332990337950339E-2</v>
      </c>
      <c r="S530" s="2">
        <f ca="1"/>
        <v>-3.7283880835217373E-2</v>
      </c>
      <c r="T530" s="2">
        <f ca="1"/>
        <v>-5.7714730092381025E-2</v>
      </c>
      <c r="U530" s="2">
        <f ca="1"/>
        <v>-5.8147986732801818E-2</v>
      </c>
      <c r="V530" s="2">
        <f ca="1"/>
        <v>-7.6556639017526282E-2</v>
      </c>
      <c r="W530" s="2">
        <f ca="1"/>
        <v>-4.0311781358797323E-2</v>
      </c>
      <c r="X530" s="2">
        <f ca="1"/>
        <v>-8.3596378122771001E-2</v>
      </c>
      <c r="Y530" s="2">
        <f ca="1"/>
        <v>-3.296862415174303E-2</v>
      </c>
      <c r="Z530" s="2">
        <f ca="1"/>
        <v>-3.9257716183011687E-2</v>
      </c>
      <c r="AA530" s="2">
        <f ca="1"/>
        <v>-3.7519024274744975E-2</v>
      </c>
      <c r="AB530" s="2">
        <f ca="1"/>
        <v>-4.5930768251943616E-2</v>
      </c>
      <c r="AC530" s="2">
        <f ca="1"/>
        <v>-1.721864772262648E-2</v>
      </c>
      <c r="AD530" s="2">
        <f ca="1"/>
        <v>-2.4982769301391858E-2</v>
      </c>
      <c r="AE530" s="2">
        <f ca="1"/>
        <v>2.9880478087649324E-2</v>
      </c>
      <c r="AF530" s="2">
        <f ca="1"/>
        <v>-8.7265177395436464E-3</v>
      </c>
      <c r="AG530" s="26" t="str">
        <f ca="1"/>
        <v/>
      </c>
      <c r="AH530" s="26">
        <f ca="1"/>
        <v>4.5899999999999996E-2</v>
      </c>
    </row>
    <row r="531" spans="1:34">
      <c r="A531" s="5">
        <f ca="1"/>
        <v>44957</v>
      </c>
      <c r="B531" s="2">
        <f ca="1"/>
        <v>8.1096300063979831E-2</v>
      </c>
      <c r="C531" s="2">
        <f ca="1"/>
        <v>7.9055492922460197E-2</v>
      </c>
      <c r="D531" s="2">
        <f ca="1"/>
        <v>7.1928157933798378E-2</v>
      </c>
      <c r="E531" s="2">
        <f ca="1"/>
        <v>3.076540100452485E-2</v>
      </c>
      <c r="F531" s="2">
        <f ca="1"/>
        <v>8.4955373241040924E-2</v>
      </c>
      <c r="G531" s="2">
        <f ca="1"/>
        <v>7.7401073389338548E-2</v>
      </c>
      <c r="H531" s="2">
        <f ca="1"/>
        <v>1.2635650585580818E-2</v>
      </c>
      <c r="I531" s="2">
        <f ca="1"/>
        <v>4.3522716166332076E-2</v>
      </c>
      <c r="J531" s="2">
        <f ca="1"/>
        <v>1.0514598161242988E-2</v>
      </c>
      <c r="K531" s="2">
        <f ca="1"/>
        <v>1.7569051717072418E-2</v>
      </c>
      <c r="L531" s="2">
        <f ca="1"/>
        <v>4.3042823369809267E-2</v>
      </c>
      <c r="M531" s="2">
        <f ca="1"/>
        <v>3.2234594457800768E-2</v>
      </c>
      <c r="N531" s="2">
        <f ca="1"/>
        <v>6.7239308837212269E-2</v>
      </c>
      <c r="O531" s="2">
        <f ca="1"/>
        <v>8.2711767271980763E-2</v>
      </c>
      <c r="P531" s="2">
        <f ca="1"/>
        <v>6.358623213025634E-2</v>
      </c>
      <c r="Q531" s="2">
        <f ca="1"/>
        <v>5.6766094914130143E-2</v>
      </c>
      <c r="R531" s="2">
        <f ca="1"/>
        <v>-6.4552305516878752E-3</v>
      </c>
      <c r="S531" s="2">
        <f ca="1"/>
        <v>1.4755833691652259E-2</v>
      </c>
      <c r="T531" s="2">
        <f ca="1"/>
        <v>6.2828719185561377E-2</v>
      </c>
      <c r="U531" s="2">
        <f ca="1"/>
        <v>6.7044860440255066E-2</v>
      </c>
      <c r="V531" s="2">
        <f ca="1"/>
        <v>8.3347023936650708E-2</v>
      </c>
      <c r="W531" s="2">
        <f ca="1"/>
        <v>5.1820224844988376E-2</v>
      </c>
      <c r="X531" s="2">
        <f ca="1"/>
        <v>0.10384308573037389</v>
      </c>
      <c r="Y531" s="2">
        <f ca="1"/>
        <v>2.7854954762413522E-2</v>
      </c>
      <c r="Z531" s="2">
        <f ca="1"/>
        <v>-5.4820804495307367E-3</v>
      </c>
      <c r="AA531" s="2">
        <f ca="1"/>
        <v>1.5256588072122296E-2</v>
      </c>
      <c r="AB531" s="2">
        <f ca="1"/>
        <v>0.1029343269678622</v>
      </c>
      <c r="AC531" s="2">
        <f ca="1"/>
        <v>8.8092147955872793E-2</v>
      </c>
      <c r="AD531" s="2">
        <f ca="1"/>
        <v>8.9293361884368233E-2</v>
      </c>
      <c r="AE531" s="2">
        <f ca="1"/>
        <v>5.7750759878419551E-2</v>
      </c>
      <c r="AF531" s="2">
        <f ca="1"/>
        <v>3.3302402309516442E-2</v>
      </c>
      <c r="AG531" s="26" t="str">
        <f ca="1"/>
        <v/>
      </c>
      <c r="AH531" s="26">
        <f ca="1"/>
        <v>5.6600000000000004E-2</v>
      </c>
    </row>
    <row r="532" spans="1:34">
      <c r="A532" s="5">
        <f ca="1"/>
        <v>44985</v>
      </c>
      <c r="B532" s="2">
        <f ca="1"/>
        <v>-2.0759541929008501E-2</v>
      </c>
      <c r="C532" s="2">
        <f ca="1"/>
        <v>-6.4765907059356129E-2</v>
      </c>
      <c r="D532" s="2">
        <f ca="1"/>
        <v>-2.8308901930048508E-2</v>
      </c>
      <c r="E532" s="2">
        <f ca="1"/>
        <v>-2.5855210819411469E-2</v>
      </c>
      <c r="F532" s="2">
        <f ca="1"/>
        <v>-2.7920235874656633E-2</v>
      </c>
      <c r="G532" s="2">
        <f ca="1"/>
        <v>-1.3856390391721117E-2</v>
      </c>
      <c r="H532" s="2">
        <f ca="1"/>
        <v>-3.2853737382311655E-2</v>
      </c>
      <c r="I532" s="2">
        <f ca="1"/>
        <v>-1.4995677233429353E-2</v>
      </c>
      <c r="J532" s="2">
        <f ca="1"/>
        <v>-6.2736989705157606E-2</v>
      </c>
      <c r="K532" s="2">
        <f ca="1"/>
        <v>-3.7376282282591954E-2</v>
      </c>
      <c r="L532" s="2">
        <f ca="1"/>
        <v>-2.3774912971959876E-2</v>
      </c>
      <c r="M532" s="2">
        <f ca="1"/>
        <v>-2.9562890094286559E-2</v>
      </c>
      <c r="N532" s="2">
        <f ca="1"/>
        <v>-2.4984011680523263E-2</v>
      </c>
      <c r="O532" s="2">
        <f ca="1"/>
        <v>-3.7772927920365781E-2</v>
      </c>
      <c r="P532" s="2">
        <f ca="1"/>
        <v>-4.4795557302928939E-2</v>
      </c>
      <c r="Q532" s="2">
        <f ca="1"/>
        <v>-1.9877772576012597E-2</v>
      </c>
      <c r="R532" s="2">
        <f ca="1"/>
        <v>-3.9710994478903985E-2</v>
      </c>
      <c r="S532" s="2">
        <f ca="1"/>
        <v>-3.4337466263243653E-2</v>
      </c>
      <c r="T532" s="2">
        <f ca="1"/>
        <v>-2.4472042783607866E-2</v>
      </c>
      <c r="U532" s="2">
        <f ca="1"/>
        <v>-2.3796116859848598E-2</v>
      </c>
      <c r="V532" s="2">
        <f ca="1"/>
        <v>-1.1876132356552622E-2</v>
      </c>
      <c r="W532" s="2">
        <f ca="1"/>
        <v>-3.5258945223074684E-2</v>
      </c>
      <c r="X532" s="2">
        <f ca="1"/>
        <v>-1.4240775378337088E-2</v>
      </c>
      <c r="Y532" s="2">
        <f ca="1"/>
        <v>-3.2367618519545248E-2</v>
      </c>
      <c r="Z532" s="2">
        <f ca="1"/>
        <v>-4.0377592503272844E-2</v>
      </c>
      <c r="AA532" s="2">
        <f ca="1"/>
        <v>-3.4972677595628533E-2</v>
      </c>
      <c r="AB532" s="2">
        <f ca="1"/>
        <v>-2.8716216216216135E-2</v>
      </c>
      <c r="AC532" s="2">
        <f ca="1"/>
        <v>-3.0415983301028661E-2</v>
      </c>
      <c r="AD532" s="2">
        <f ca="1"/>
        <v>-6.9195989777865077E-2</v>
      </c>
      <c r="AE532" s="2">
        <f ca="1"/>
        <v>-5.3291536050156713E-2</v>
      </c>
      <c r="AF532" s="2">
        <f ca="1"/>
        <v>-2.6670114561036695E-2</v>
      </c>
      <c r="AG532" s="26" t="str">
        <f ca="1"/>
        <v/>
      </c>
      <c r="AH532" s="26">
        <f ca="1"/>
        <v>-4.8099999999999997E-2</v>
      </c>
    </row>
    <row r="533" spans="1:34">
      <c r="A533" s="5">
        <f ca="1"/>
        <v>45016</v>
      </c>
      <c r="B533" s="2">
        <f ca="1"/>
        <v>2.6056493376340653E-2</v>
      </c>
      <c r="C533" s="2">
        <f ca="1"/>
        <v>3.0717542596592186E-2</v>
      </c>
      <c r="D533" s="2">
        <f ca="1"/>
        <v>3.1527066919665947E-2</v>
      </c>
      <c r="E533" s="2">
        <f ca="1"/>
        <v>2.5399093896439757E-2</v>
      </c>
      <c r="F533" s="2">
        <f ca="1"/>
        <v>5.4419278185448311E-2</v>
      </c>
      <c r="G533" s="2">
        <f ca="1"/>
        <v>-1.0414386783222027E-3</v>
      </c>
      <c r="H533" s="2">
        <f ca="1"/>
        <v>1.1713335941985599E-2</v>
      </c>
      <c r="I533" s="2">
        <f ca="1"/>
        <v>1.7377299065379541E-2</v>
      </c>
      <c r="J533" s="2">
        <f ca="1"/>
        <v>1.9324409430437516E-2</v>
      </c>
      <c r="K533" s="2">
        <f ca="1"/>
        <v>3.81246590334791E-2</v>
      </c>
      <c r="L533" s="2">
        <f ca="1"/>
        <v>3.911714571210257E-2</v>
      </c>
      <c r="M533" s="2">
        <f ca="1"/>
        <v>2.9426625543426815E-2</v>
      </c>
      <c r="N533" s="2">
        <f ca="1"/>
        <v>6.5703412641935618E-2</v>
      </c>
      <c r="O533" s="2">
        <f ca="1"/>
        <v>6.3018534863195155E-2</v>
      </c>
      <c r="P533" s="2">
        <f ca="1"/>
        <v>1.8245311655905056E-2</v>
      </c>
      <c r="Q533" s="2">
        <f ca="1"/>
        <v>6.6610725258836656E-2</v>
      </c>
      <c r="R533" s="2">
        <f ca="1"/>
        <v>3.8726895885976761E-3</v>
      </c>
      <c r="S533" s="2">
        <f ca="1"/>
        <v>3.3745109787473963E-2</v>
      </c>
      <c r="T533" s="2">
        <f ca="1"/>
        <v>3.6695836933238891E-2</v>
      </c>
      <c r="U533" s="2">
        <f ca="1"/>
        <v>3.1633593275951097E-2</v>
      </c>
      <c r="V533" s="2">
        <f ca="1"/>
        <v>6.8356177698351978E-2</v>
      </c>
      <c r="W533" s="2">
        <f ca="1"/>
        <v>-4.6051360378346956E-3</v>
      </c>
      <c r="X533" s="2">
        <f ca="1"/>
        <v>7.7602913596720072E-2</v>
      </c>
      <c r="Y533" s="2">
        <f ca="1"/>
        <v>-4.5914089217178062E-3</v>
      </c>
      <c r="Z533" s="2">
        <f ca="1"/>
        <v>4.365878415287963E-3</v>
      </c>
      <c r="AA533" s="2">
        <f ca="1"/>
        <v>3.4464417030840258E-2</v>
      </c>
      <c r="AB533" s="2">
        <f ca="1"/>
        <v>1.5426222995470184E-2</v>
      </c>
      <c r="AC533" s="2">
        <f ca="1"/>
        <v>2.7987082884822181E-2</v>
      </c>
      <c r="AD533" s="2">
        <f ca="1"/>
        <v>3.0411826821541654E-2</v>
      </c>
      <c r="AE533" s="2">
        <f ca="1"/>
        <v>7.9194260485651133E-2</v>
      </c>
      <c r="AF533" s="2">
        <f ca="1"/>
        <v>2.6424052294751931E-2</v>
      </c>
      <c r="AG533" s="26" t="str">
        <f ca="1"/>
        <v/>
      </c>
      <c r="AH533" s="26">
        <f ca="1"/>
        <v>7.2000000000000008E-2</v>
      </c>
    </row>
    <row r="534" spans="1:34">
      <c r="A534" s="5">
        <f ca="1"/>
        <v>45044</v>
      </c>
      <c r="B534" s="2">
        <f ca="1"/>
        <v>2.926844442879948E-2</v>
      </c>
      <c r="C534" s="2">
        <f ca="1"/>
        <v>-1.1143671470434654E-2</v>
      </c>
      <c r="D534" s="2">
        <f ca="1"/>
        <v>1.4847945844198539E-2</v>
      </c>
      <c r="E534" s="2">
        <f ca="1"/>
        <v>6.0633068014278703E-3</v>
      </c>
      <c r="F534" s="2">
        <f ca="1"/>
        <v>2.5167346350881244E-2</v>
      </c>
      <c r="G534" s="2">
        <f ca="1"/>
        <v>3.3404310116549478E-2</v>
      </c>
      <c r="H534" s="2">
        <f ca="1"/>
        <v>2.8834058672989889E-2</v>
      </c>
      <c r="I534" s="2">
        <f ca="1"/>
        <v>3.6644178342190546E-2</v>
      </c>
      <c r="J534" s="2">
        <f ca="1"/>
        <v>1.6696272811999681E-2</v>
      </c>
      <c r="K534" s="2">
        <f ca="1"/>
        <v>2.8612972073739262E-2</v>
      </c>
      <c r="L534" s="2">
        <f ca="1"/>
        <v>4.1425083198989403E-2</v>
      </c>
      <c r="M534" s="2">
        <f ca="1"/>
        <v>2.0287439477680153E-2</v>
      </c>
      <c r="N534" s="2">
        <f ca="1"/>
        <v>1.6194120413649669E-2</v>
      </c>
      <c r="O534" s="2">
        <f ca="1"/>
        <v>2.0421246128536494E-2</v>
      </c>
      <c r="P534" s="2">
        <f ca="1"/>
        <v>-1.850576963158989E-2</v>
      </c>
      <c r="Q534" s="2">
        <f ca="1"/>
        <v>2.0355402569297729E-2</v>
      </c>
      <c r="R534" s="2">
        <f ca="1"/>
        <v>2.4388105460243125E-2</v>
      </c>
      <c r="S534" s="2">
        <f ca="1"/>
        <v>1.5011702854882807E-2</v>
      </c>
      <c r="T534" s="2">
        <f ca="1"/>
        <v>1.5608715438589254E-2</v>
      </c>
      <c r="U534" s="2">
        <f ca="1"/>
        <v>1.2390915071692252E-2</v>
      </c>
      <c r="V534" s="2">
        <f ca="1"/>
        <v>9.8660334315879509E-3</v>
      </c>
      <c r="W534" s="2">
        <f ca="1"/>
        <v>1.5067131929840737E-2</v>
      </c>
      <c r="X534" s="2">
        <f ca="1"/>
        <v>1.0383258499037942E-2</v>
      </c>
      <c r="Y534" s="2">
        <f ca="1"/>
        <v>1.7739483020780416E-2</v>
      </c>
      <c r="Z534" s="2">
        <f ca="1"/>
        <v>2.3949942462600866E-2</v>
      </c>
      <c r="AA534" s="2">
        <f ca="1"/>
        <v>1.4847401704701564E-2</v>
      </c>
      <c r="AB534" s="2">
        <f ca="1"/>
        <v>2.9038502903850329E-2</v>
      </c>
      <c r="AC534" s="2">
        <f ca="1"/>
        <v>2.8721017202692611E-2</v>
      </c>
      <c r="AD534" s="2">
        <f ca="1"/>
        <v>-4.3041606886657776E-3</v>
      </c>
      <c r="AE534" s="2">
        <f ca="1"/>
        <v>9.7161851188954894E-3</v>
      </c>
      <c r="AF534" s="2">
        <f ca="1"/>
        <v>5.7417612803006132E-3</v>
      </c>
      <c r="AG534" s="26" t="str">
        <f ca="1"/>
        <v/>
      </c>
      <c r="AH534" s="26">
        <f ca="1"/>
        <v>1.5300000000000001E-2</v>
      </c>
    </row>
    <row r="535" spans="1:34">
      <c r="A535" s="5">
        <f ca="1"/>
        <v>45077</v>
      </c>
      <c r="B535" s="2">
        <f ca="1"/>
        <v>-4.1022482566913786E-2</v>
      </c>
      <c r="C535" s="2">
        <f ca="1"/>
        <v>-1.6506044638580263E-2</v>
      </c>
      <c r="D535" s="2">
        <f ca="1"/>
        <v>-9.9974815712273596E-3</v>
      </c>
      <c r="E535" s="2">
        <f ca="1"/>
        <v>-1.0889642823484908E-2</v>
      </c>
      <c r="F535" s="2">
        <f ca="1"/>
        <v>-3.0259694052579302E-2</v>
      </c>
      <c r="G535" s="2">
        <f ca="1"/>
        <v>-5.1851654241804969E-2</v>
      </c>
      <c r="H535" s="2">
        <f ca="1"/>
        <v>-4.7486377003046018E-2</v>
      </c>
      <c r="I535" s="2">
        <f ca="1"/>
        <v>-4.3829243630341311E-2</v>
      </c>
      <c r="J535" s="2">
        <f ca="1"/>
        <v>-1.4413396221980217E-2</v>
      </c>
      <c r="K535" s="2">
        <f ca="1"/>
        <v>-3.1412102843136884E-2</v>
      </c>
      <c r="L535" s="2">
        <f ca="1"/>
        <v>-4.4819626125922225E-2</v>
      </c>
      <c r="M535" s="2">
        <f ca="1"/>
        <v>-1.5559464213232288E-2</v>
      </c>
      <c r="N535" s="2">
        <f ca="1"/>
        <v>2.0992846204831675E-2</v>
      </c>
      <c r="O535" s="2">
        <f ca="1"/>
        <v>-3.5194183943020332E-2</v>
      </c>
      <c r="P535" s="2">
        <f ca="1"/>
        <v>-2.005160908371359E-2</v>
      </c>
      <c r="Q535" s="2">
        <f ca="1"/>
        <v>3.1668872978140854E-2</v>
      </c>
      <c r="R535" s="2">
        <f ca="1"/>
        <v>-4.7882782021938297E-2</v>
      </c>
      <c r="S535" s="2">
        <f ca="1"/>
        <v>-3.2436199961371349E-2</v>
      </c>
      <c r="T535" s="2">
        <f ca="1"/>
        <v>4.3486420948968887E-3</v>
      </c>
      <c r="U535" s="2">
        <f ca="1"/>
        <v>4.6578616298067772E-3</v>
      </c>
      <c r="V535" s="2">
        <f ca="1"/>
        <v>4.557850922910496E-2</v>
      </c>
      <c r="W535" s="2">
        <f ca="1"/>
        <v>-3.8568013659647092E-2</v>
      </c>
      <c r="X535" s="2">
        <f ca="1"/>
        <v>5.1700194421299105E-2</v>
      </c>
      <c r="Y535" s="2">
        <f ca="1"/>
        <v>-4.1192373363688008E-2</v>
      </c>
      <c r="Z535" s="2">
        <f ca="1"/>
        <v>-4.8254548008709701E-2</v>
      </c>
      <c r="AA535" s="2">
        <f ca="1"/>
        <v>-3.2240585207260836E-2</v>
      </c>
      <c r="AB535" s="2">
        <f ca="1"/>
        <v>-3.0100334448160682E-2</v>
      </c>
      <c r="AC535" s="2">
        <f ca="1"/>
        <v>-3.9842954776792137E-2</v>
      </c>
      <c r="AD535" s="2">
        <f ca="1"/>
        <v>-2.0584602717167586E-2</v>
      </c>
      <c r="AE535" s="2">
        <f ca="1"/>
        <v>-1.3674347936186356E-2</v>
      </c>
      <c r="AF535" s="2">
        <f ca="1"/>
        <v>-1.1414537197998152E-2</v>
      </c>
      <c r="AG535" s="26" t="str">
        <f ca="1"/>
        <v/>
      </c>
      <c r="AH535" s="26">
        <f ca="1"/>
        <v>-1.7600000000000001E-2</v>
      </c>
    </row>
    <row r="536" spans="1:34">
      <c r="A536" s="5">
        <f ca="1"/>
        <v>45107</v>
      </c>
      <c r="B536" s="2">
        <f ca="1"/>
        <v>4.5797269848122116E-2</v>
      </c>
      <c r="C536" s="2">
        <f ca="1"/>
        <v>3.8915581092013887E-2</v>
      </c>
      <c r="D536" s="2">
        <f ca="1"/>
        <v>5.8502614676565347E-2</v>
      </c>
      <c r="E536" s="2">
        <f ca="1"/>
        <v>-3.5682128922534225E-3</v>
      </c>
      <c r="F536" s="2">
        <f ca="1"/>
        <v>3.5437591231697735E-2</v>
      </c>
      <c r="G536" s="2">
        <f ca="1"/>
        <v>5.668495524112039E-2</v>
      </c>
      <c r="H536" s="2">
        <f ca="1"/>
        <v>6.2686038662845306E-2</v>
      </c>
      <c r="I536" s="2">
        <f ca="1"/>
        <v>5.5989775994476063E-2</v>
      </c>
      <c r="J536" s="2">
        <f ca="1"/>
        <v>3.8507592311598331E-2</v>
      </c>
      <c r="K536" s="2">
        <f ca="1"/>
        <v>2.7567170506137023E-2</v>
      </c>
      <c r="L536" s="2">
        <f ca="1"/>
        <v>2.3257577193547738E-2</v>
      </c>
      <c r="M536" s="2">
        <f ca="1"/>
        <v>1.3860892228126982E-2</v>
      </c>
      <c r="N536" s="2">
        <f ca="1"/>
        <v>5.45677893063811E-2</v>
      </c>
      <c r="O536" s="2">
        <f ca="1"/>
        <v>3.6376010308530285E-2</v>
      </c>
      <c r="P536" s="2">
        <f ca="1"/>
        <v>3.1454594406466967E-2</v>
      </c>
      <c r="Q536" s="2">
        <f ca="1"/>
        <v>6.1110638425081694E-2</v>
      </c>
      <c r="R536" s="2">
        <f ca="1"/>
        <v>6.985564905728224E-2</v>
      </c>
      <c r="S536" s="2">
        <f ca="1"/>
        <v>4.5198593304657753E-2</v>
      </c>
      <c r="T536" s="2">
        <f ca="1"/>
        <v>6.6073799376061781E-2</v>
      </c>
      <c r="U536" s="2">
        <f ca="1"/>
        <v>6.7537852610416546E-2</v>
      </c>
      <c r="V536" s="2">
        <f ca="1"/>
        <v>6.8385441781790013E-2</v>
      </c>
      <c r="W536" s="2">
        <f ca="1"/>
        <v>6.6427189569722697E-2</v>
      </c>
      <c r="X536" s="2">
        <f ca="1"/>
        <v>6.9122354294356952E-2</v>
      </c>
      <c r="Y536" s="2">
        <f ca="1"/>
        <v>6.138680640418339E-2</v>
      </c>
      <c r="Z536" s="2">
        <f ca="1"/>
        <v>6.8793847242211298E-2</v>
      </c>
      <c r="AA536" s="2">
        <f ca="1"/>
        <v>4.4510789642693185E-2</v>
      </c>
      <c r="AB536" s="2">
        <f ca="1"/>
        <v>5.9302910653069453E-2</v>
      </c>
      <c r="AC536" s="2">
        <f ca="1"/>
        <v>4.2113596484356627E-2</v>
      </c>
      <c r="AD536" s="2">
        <f ca="1"/>
        <v>4.6168721600639596E-2</v>
      </c>
      <c r="AE536" s="2">
        <f ca="1"/>
        <v>-2.2079589216944785E-2</v>
      </c>
      <c r="AF536" s="2">
        <f ca="1"/>
        <v>-3.6926455215575429E-3</v>
      </c>
      <c r="AG536" s="26" t="str">
        <f ca="1"/>
        <v/>
      </c>
      <c r="AH536" s="26">
        <f ca="1"/>
        <v>-1.7600000000000001E-2</v>
      </c>
    </row>
    <row r="537" spans="1:34">
      <c r="A537" s="5">
        <f ca="1"/>
        <v>45138</v>
      </c>
      <c r="B537" s="2">
        <f ca="1"/>
        <v>3.2474555369518404E-2</v>
      </c>
      <c r="C537" s="2">
        <f ca="1"/>
        <v>6.2933062106668394E-2</v>
      </c>
      <c r="D537" s="2">
        <f ca="1"/>
        <v>3.6905687486075658E-2</v>
      </c>
      <c r="E537" s="2">
        <f ca="1"/>
        <v>-6.932491872250039E-4</v>
      </c>
      <c r="F537" s="2">
        <f ca="1"/>
        <v>1.9683562268024934E-2</v>
      </c>
      <c r="G537" s="2">
        <f ca="1"/>
        <v>4.5667274180924304E-2</v>
      </c>
      <c r="H537" s="2">
        <f ca="1"/>
        <v>3.5018118205672827E-2</v>
      </c>
      <c r="I537" s="2">
        <f ca="1"/>
        <v>2.5779066013695881E-2</v>
      </c>
      <c r="J537" s="2">
        <f ca="1"/>
        <v>0.12123444764562979</v>
      </c>
      <c r="K537" s="2">
        <f ca="1"/>
        <v>1.6857400187689262E-2</v>
      </c>
      <c r="L537" s="2">
        <f ca="1"/>
        <v>2.4164567279193756E-2</v>
      </c>
      <c r="M537" s="2">
        <f ca="1"/>
        <v>3.4316555792644615E-2</v>
      </c>
      <c r="N537" s="2">
        <f ca="1"/>
        <v>3.2517585499624593E-2</v>
      </c>
      <c r="O537" s="2">
        <f ca="1"/>
        <v>2.4700236177557164E-2</v>
      </c>
      <c r="P537" s="2">
        <f ca="1"/>
        <v>4.2757189332348705E-2</v>
      </c>
      <c r="Q537" s="2">
        <f ca="1"/>
        <v>3.6195231470043804E-2</v>
      </c>
      <c r="R537" s="2">
        <f ca="1"/>
        <v>1.7335964265579609E-2</v>
      </c>
      <c r="S537" s="2">
        <f ca="1"/>
        <v>1.3561607663321358E-2</v>
      </c>
      <c r="T537" s="2">
        <f ca="1"/>
        <v>3.2125004454806406E-2</v>
      </c>
      <c r="U537" s="2">
        <f ca="1"/>
        <v>3.4387840267077606E-2</v>
      </c>
      <c r="V537" s="2">
        <f ca="1"/>
        <v>3.3689575134430647E-2</v>
      </c>
      <c r="W537" s="2">
        <f ca="1"/>
        <v>3.5164616537192869E-2</v>
      </c>
      <c r="X537" s="2">
        <f ca="1"/>
        <v>3.357364998586379E-2</v>
      </c>
      <c r="Y537" s="2">
        <f ca="1"/>
        <v>3.4553131597466487E-2</v>
      </c>
      <c r="Z537" s="2">
        <f ca="1"/>
        <v>1.7331022530329317E-2</v>
      </c>
      <c r="AA537" s="2">
        <f ca="1"/>
        <v>1.385712363783128E-2</v>
      </c>
      <c r="AB537" s="2">
        <f ca="1"/>
        <v>3.307472437729695E-2</v>
      </c>
      <c r="AC537" s="2">
        <f ca="1"/>
        <v>3.0370370370370312E-2</v>
      </c>
      <c r="AD537" s="2">
        <f ca="1"/>
        <v>5.9646987218502735E-2</v>
      </c>
      <c r="AE537" s="2">
        <f ca="1"/>
        <v>2.3365712785507833E-2</v>
      </c>
      <c r="AF537" s="2">
        <f ca="1"/>
        <v>-1.5313877928553076E-4</v>
      </c>
      <c r="AG537" s="26" t="str">
        <f ca="1"/>
        <v/>
      </c>
      <c r="AH537" s="26">
        <f ca="1"/>
        <v>2.1299999999999999E-2</v>
      </c>
    </row>
    <row r="538" spans="1:34">
      <c r="A538" s="5">
        <f ca="1"/>
        <v>45169</v>
      </c>
      <c r="B538" s="2">
        <f ca="1"/>
        <v>-3.8196171357576122E-2</v>
      </c>
      <c r="C538" s="2">
        <f ca="1"/>
        <v>-6.1311374917768148E-2</v>
      </c>
      <c r="D538" s="2">
        <f ca="1"/>
        <v>-2.7546492340227297E-2</v>
      </c>
      <c r="E538" s="2">
        <f ca="1"/>
        <v>-6.3871014042053958E-3</v>
      </c>
      <c r="F538" s="2">
        <f ca="1"/>
        <v>-4.6815670540539894E-2</v>
      </c>
      <c r="G538" s="2">
        <f ca="1"/>
        <v>-2.9513502646920878E-2</v>
      </c>
      <c r="H538" s="2">
        <f ca="1"/>
        <v>-1.6197346049758962E-2</v>
      </c>
      <c r="I538" s="2">
        <f ca="1"/>
        <v>-3.497156233720497E-2</v>
      </c>
      <c r="J538" s="2">
        <f ca="1"/>
        <v>-8.1895304748843836E-2</v>
      </c>
      <c r="K538" s="2">
        <f ca="1"/>
        <v>-1.8872774458886403E-2</v>
      </c>
      <c r="L538" s="2">
        <f ca="1"/>
        <v>-2.360798357705492E-2</v>
      </c>
      <c r="M538" s="2">
        <f ca="1"/>
        <v>-3.834765302655211E-2</v>
      </c>
      <c r="N538" s="2">
        <f ca="1"/>
        <v>-1.0960403774593473E-2</v>
      </c>
      <c r="O538" s="2">
        <f ca="1"/>
        <v>-4.0587809436568811E-2</v>
      </c>
      <c r="P538" s="2">
        <f ca="1"/>
        <v>-2.9672322317127606E-2</v>
      </c>
      <c r="Q538" s="2">
        <f ca="1"/>
        <v>-3.4299290590270254E-4</v>
      </c>
      <c r="R538" s="2">
        <f ca="1"/>
        <v>2.9733042041881637E-3</v>
      </c>
      <c r="S538" s="2">
        <f ca="1"/>
        <v>-5.5316422718401249E-3</v>
      </c>
      <c r="T538" s="2">
        <f ca="1"/>
        <v>-1.5921676108352607E-2</v>
      </c>
      <c r="U538" s="2">
        <f ca="1"/>
        <v>-1.7492545496393615E-2</v>
      </c>
      <c r="V538" s="2">
        <f ca="1"/>
        <v>-8.978732869095089E-3</v>
      </c>
      <c r="W538" s="2">
        <f ca="1"/>
        <v>-2.6996649067586257E-2</v>
      </c>
      <c r="X538" s="2">
        <f ca="1"/>
        <v>-1.0873281816316782E-2</v>
      </c>
      <c r="Y538" s="2">
        <f ca="1"/>
        <v>-2.380790422420238E-2</v>
      </c>
      <c r="Z538" s="2">
        <f ca="1"/>
        <v>3.0664395229981311E-3</v>
      </c>
      <c r="AA538" s="2">
        <f ca="1"/>
        <v>-6.3694267515924888E-3</v>
      </c>
      <c r="AB538" s="2">
        <f ca="1"/>
        <v>-3.2213438735177936E-2</v>
      </c>
      <c r="AC538" s="2">
        <f ca="1"/>
        <v>-3.7958303378864126E-2</v>
      </c>
      <c r="AD538" s="2">
        <f ca="1"/>
        <v>-6.0693088263450039E-2</v>
      </c>
      <c r="AE538" s="2">
        <f ca="1"/>
        <v>-1.2827090815802978E-2</v>
      </c>
      <c r="AF538" s="2">
        <f ca="1"/>
        <v>-6.299231855602775E-3</v>
      </c>
      <c r="AG538" s="26" t="str">
        <f ca="1"/>
        <v/>
      </c>
      <c r="AH538" s="26">
        <f ca="1"/>
        <v>-1.1899999999999999E-2</v>
      </c>
    </row>
    <row r="539" spans="1:34">
      <c r="A539" s="5">
        <f ca="1"/>
        <v>45198</v>
      </c>
      <c r="B539" s="2">
        <f ca="1"/>
        <v>-3.3730843256107416E-2</v>
      </c>
      <c r="C539" s="2">
        <f ca="1"/>
        <v>-2.5747313176683214E-2</v>
      </c>
      <c r="D539" s="2">
        <f ca="1"/>
        <v>-4.0996072575860756E-2</v>
      </c>
      <c r="E539" s="2">
        <f ca="1"/>
        <v>-2.5414098613251251E-2</v>
      </c>
      <c r="F539" s="2">
        <f ca="1"/>
        <v>-5.9632851308173765E-2</v>
      </c>
      <c r="G539" s="2">
        <f ca="1"/>
        <v>-7.9260794182247386E-3</v>
      </c>
      <c r="H539" s="2">
        <f ca="1"/>
        <v>-4.3471147061530505E-2</v>
      </c>
      <c r="I539" s="2">
        <f ca="1"/>
        <v>-3.3353825316712084E-2</v>
      </c>
      <c r="J539" s="2">
        <f ca="1"/>
        <v>-3.3876910607193007E-2</v>
      </c>
      <c r="K539" s="2">
        <f ca="1"/>
        <v>-2.1170751724246827E-2</v>
      </c>
      <c r="L539" s="2">
        <f ca="1"/>
        <v>-2.7050057193666488E-2</v>
      </c>
      <c r="M539" s="2">
        <f ca="1"/>
        <v>-1.4406138004139098E-2</v>
      </c>
      <c r="N539" s="2">
        <f ca="1"/>
        <v>-4.6676349766020718E-2</v>
      </c>
      <c r="O539" s="2">
        <f ca="1"/>
        <v>-4.6953652710056588E-2</v>
      </c>
      <c r="P539" s="2">
        <f ca="1"/>
        <v>-3.8759446041942342E-3</v>
      </c>
      <c r="Q539" s="2">
        <f ca="1"/>
        <v>-4.8144273818988226E-2</v>
      </c>
      <c r="R539" s="2">
        <f ca="1"/>
        <v>-4.7742631276961989E-2</v>
      </c>
      <c r="S539" s="2">
        <f ca="1"/>
        <v>-2.8179480039741033E-2</v>
      </c>
      <c r="T539" s="2">
        <f ca="1"/>
        <v>-4.7678447939283476E-2</v>
      </c>
      <c r="U539" s="2">
        <f ca="1"/>
        <v>-4.6996038587578816E-2</v>
      </c>
      <c r="V539" s="2">
        <f ca="1"/>
        <v>-5.4383965255475356E-2</v>
      </c>
      <c r="W539" s="2">
        <f ca="1"/>
        <v>-3.8589299067398317E-2</v>
      </c>
      <c r="X539" s="2">
        <f ca="1"/>
        <v>-5.7366690894602168E-2</v>
      </c>
      <c r="Y539" s="2">
        <f ca="1"/>
        <v>-3.2731072341768017E-2</v>
      </c>
      <c r="Z539" s="2">
        <f ca="1"/>
        <v>-4.8158639970490927E-2</v>
      </c>
      <c r="AA539" s="2">
        <f ca="1"/>
        <v>-2.8255628031046344E-2</v>
      </c>
      <c r="AB539" s="2">
        <f ca="1"/>
        <v>-5.9812226392099453E-2</v>
      </c>
      <c r="AC539" s="2">
        <f ca="1"/>
        <v>-3.8260349723509279E-2</v>
      </c>
      <c r="AD539" s="2">
        <f ca="1"/>
        <v>-2.9963310232368576E-2</v>
      </c>
      <c r="AE539" s="2">
        <f ca="1"/>
        <v>-4.7297297297297307E-2</v>
      </c>
      <c r="AF539" s="2">
        <f ca="1"/>
        <v>-2.5877868785733126E-2</v>
      </c>
      <c r="AG539" s="26" t="str">
        <f ca="1"/>
        <v/>
      </c>
      <c r="AH539" s="26">
        <f ca="1"/>
        <v>-5.0799999999999998E-2</v>
      </c>
    </row>
    <row r="540" spans="1:34">
      <c r="A540" s="5">
        <f ca="1"/>
        <v>45230</v>
      </c>
      <c r="B540" s="2">
        <f ca="1"/>
        <v>-4.043869775460765E-2</v>
      </c>
      <c r="C540" s="2">
        <f ca="1"/>
        <v>-3.8746541217246369E-2</v>
      </c>
      <c r="D540" s="2">
        <f ca="1"/>
        <v>-2.9843347613539628E-2</v>
      </c>
      <c r="E540" s="2">
        <f ca="1"/>
        <v>-1.578047647750519E-2</v>
      </c>
      <c r="F540" s="2">
        <f ca="1"/>
        <v>-3.6824284931263392E-2</v>
      </c>
      <c r="G540" s="2">
        <f ca="1"/>
        <v>-4.3855070163936277E-2</v>
      </c>
      <c r="H540" s="2">
        <f ca="1"/>
        <v>-2.4670900240187598E-2</v>
      </c>
      <c r="I540" s="2">
        <f ca="1"/>
        <v>-2.6930453707585164E-2</v>
      </c>
      <c r="J540" s="2">
        <f ca="1"/>
        <v>-6.6347569247346888E-2</v>
      </c>
      <c r="K540" s="2">
        <f ca="1"/>
        <v>-1.6891434320763149E-2</v>
      </c>
      <c r="L540" s="2">
        <f ca="1"/>
        <v>-2.6916779315728438E-2</v>
      </c>
      <c r="M540" s="2">
        <f ca="1"/>
        <v>-3.4267832998729798E-2</v>
      </c>
      <c r="N540" s="2">
        <f ca="1"/>
        <v>-1.5707319998146535E-2</v>
      </c>
      <c r="O540" s="2">
        <f ca="1"/>
        <v>-3.2989361723614857E-2</v>
      </c>
      <c r="P540" s="2">
        <f ca="1"/>
        <v>-1.589256725600556E-2</v>
      </c>
      <c r="Q540" s="2">
        <f ca="1"/>
        <v>-1.5179089518383797E-2</v>
      </c>
      <c r="R540" s="2">
        <f ca="1"/>
        <v>-1.6276922476100655E-2</v>
      </c>
      <c r="S540" s="2">
        <f ca="1"/>
        <v>-8.5228236028129442E-3</v>
      </c>
      <c r="T540" s="2">
        <f ca="1"/>
        <v>-2.1025819963831707E-2</v>
      </c>
      <c r="U540" s="2">
        <f ca="1"/>
        <v>-2.416930319656526E-2</v>
      </c>
      <c r="V540" s="2">
        <f ca="1"/>
        <v>-1.4237519850405805E-2</v>
      </c>
      <c r="W540" s="2">
        <f ca="1"/>
        <v>-3.5282069908339347E-2</v>
      </c>
      <c r="X540" s="2">
        <f ca="1"/>
        <v>-1.7626969262972327E-2</v>
      </c>
      <c r="Y540" s="2">
        <f ca="1"/>
        <v>-2.6390197926484532E-2</v>
      </c>
      <c r="Z540" s="2">
        <f ca="1"/>
        <v>-1.6249105225483073E-2</v>
      </c>
      <c r="AA540" s="2">
        <f ca="1"/>
        <v>-8.7040618955511895E-3</v>
      </c>
      <c r="AB540" s="2">
        <f ca="1"/>
        <v>-4.3193717277487081E-2</v>
      </c>
      <c r="AC540" s="2">
        <f ca="1"/>
        <v>-3.0924630924630818E-2</v>
      </c>
      <c r="AD540" s="2">
        <f ca="1"/>
        <v>-3.4671149401134777E-2</v>
      </c>
      <c r="AE540" s="2">
        <f ca="1"/>
        <v>7.3922531369339906E-2</v>
      </c>
      <c r="AF540" s="2">
        <f ca="1"/>
        <v>-1.5684405944901277E-2</v>
      </c>
      <c r="AG540" s="26" t="str">
        <f ca="1"/>
        <v/>
      </c>
      <c r="AH540" s="26">
        <f ca="1"/>
        <v>7.9100000000000004E-2</v>
      </c>
    </row>
    <row r="541" spans="1:34">
      <c r="A541" s="5">
        <f ca="1"/>
        <v>45260</v>
      </c>
      <c r="B541" s="2">
        <f ca="1"/>
        <v>9.2983977999235926E-2</v>
      </c>
      <c r="C541" s="2">
        <f ca="1"/>
        <v>8.0200011055032758E-2</v>
      </c>
      <c r="D541" s="2">
        <f ca="1"/>
        <v>9.2772220468254021E-2</v>
      </c>
      <c r="E541" s="2">
        <f ca="1"/>
        <v>4.5284325930685536E-2</v>
      </c>
      <c r="F541" s="2">
        <f ca="1"/>
        <v>0.10713239367952097</v>
      </c>
      <c r="G541" s="2">
        <f ca="1"/>
        <v>7.9504690748365012E-2</v>
      </c>
      <c r="H541" s="2">
        <f ca="1"/>
        <v>9.0799478243712886E-2</v>
      </c>
      <c r="I541" s="2">
        <f ca="1"/>
        <v>9.1249356385905853E-2</v>
      </c>
      <c r="J541" s="2">
        <f ca="1"/>
        <v>6.6167643382462671E-2</v>
      </c>
      <c r="K541" s="2">
        <f ca="1"/>
        <v>5.0157449320999907E-2</v>
      </c>
      <c r="L541" s="2">
        <f ca="1"/>
        <v>6.1172879664639947E-2</v>
      </c>
      <c r="M541" s="2">
        <f ca="1"/>
        <v>5.7242860552064186E-2</v>
      </c>
      <c r="N541" s="2">
        <f ca="1"/>
        <v>9.1273093792920104E-2</v>
      </c>
      <c r="O541" s="2">
        <f ca="1"/>
        <v>0.10789195556910895</v>
      </c>
      <c r="P541" s="2">
        <f ca="1"/>
        <v>9.6503783769905649E-2</v>
      </c>
      <c r="Q541" s="2">
        <f ca="1"/>
        <v>8.4744968330275727E-2</v>
      </c>
      <c r="R541" s="2">
        <f ca="1"/>
        <v>9.3665638256845332E-2</v>
      </c>
      <c r="S541" s="2">
        <f ca="1"/>
        <v>5.8503661929442681E-2</v>
      </c>
      <c r="T541" s="2">
        <f ca="1"/>
        <v>9.1325979595267434E-2</v>
      </c>
      <c r="U541" s="2">
        <f ca="1"/>
        <v>9.3395384644777105E-2</v>
      </c>
      <c r="V541" s="2">
        <f ca="1"/>
        <v>0.10901097859030426</v>
      </c>
      <c r="W541" s="2">
        <f ca="1"/>
        <v>7.544992957334716E-2</v>
      </c>
      <c r="X541" s="2">
        <f ca="1"/>
        <v>0.1161078090538671</v>
      </c>
      <c r="Y541" s="2">
        <f ca="1"/>
        <v>6.6795740561471528E-2</v>
      </c>
      <c r="Z541" s="2">
        <f ca="1"/>
        <v>9.2265153168886102E-2</v>
      </c>
      <c r="AA541" s="2">
        <f ca="1"/>
        <v>6.4111498257839614E-2</v>
      </c>
      <c r="AB541" s="2">
        <f ca="1"/>
        <v>9.712722298221621E-2</v>
      </c>
      <c r="AC541" s="2">
        <f ca="1"/>
        <v>8.3226427196921179E-2</v>
      </c>
      <c r="AD541" s="2">
        <f ca="1"/>
        <v>8.0757509795385304E-2</v>
      </c>
      <c r="AE541" s="2">
        <f ca="1"/>
        <v>2.5654051308102749E-2</v>
      </c>
      <c r="AF541" s="2">
        <f ca="1"/>
        <v>4.5890223309525607E-2</v>
      </c>
      <c r="AG541" s="26" t="str">
        <f ca="1"/>
        <v/>
      </c>
      <c r="AH541" s="26">
        <f ca="1"/>
        <v>2.2000000000000002E-2</v>
      </c>
    </row>
    <row r="542" spans="1:34">
      <c r="A542" s="5">
        <f ca="1"/>
        <v>45289</v>
      </c>
      <c r="B542" s="2">
        <f ca="1"/>
        <v>5.3291671920312693E-2</v>
      </c>
      <c r="C542" s="2">
        <f ca="1"/>
        <v>3.9460891402839614E-2</v>
      </c>
      <c r="D542" s="2">
        <f ca="1"/>
        <v>4.8383775602072812E-2</v>
      </c>
      <c r="E542" s="2">
        <f ca="1"/>
        <v>3.8279970609281143E-2</v>
      </c>
      <c r="F542" s="2">
        <f ca="1"/>
        <v>5.7373819197925953E-2</v>
      </c>
      <c r="G542" s="2">
        <f ca="1"/>
        <v>4.902935895006641E-2</v>
      </c>
      <c r="H542" s="2">
        <f ca="1"/>
        <v>4.2476435476415358E-2</v>
      </c>
      <c r="I542" s="2">
        <f ca="1"/>
        <v>3.6365209561651665E-2</v>
      </c>
      <c r="J542" s="2">
        <f ca="1"/>
        <v>3.822102373772527E-2</v>
      </c>
      <c r="K542" s="2">
        <f ca="1"/>
        <v>3.2462806613129377E-2</v>
      </c>
      <c r="L542" s="2">
        <f ca="1"/>
        <v>3.8765943127918562E-2</v>
      </c>
      <c r="M542" s="2">
        <f ca="1"/>
        <v>4.0183789043885608E-2</v>
      </c>
      <c r="N542" s="2">
        <f ca="1"/>
        <v>4.8503164187587891E-2</v>
      </c>
      <c r="O542" s="2">
        <f ca="1"/>
        <v>6.4505364606604873E-2</v>
      </c>
      <c r="P542" s="2">
        <f ca="1"/>
        <v>4.2825700103025242E-2</v>
      </c>
      <c r="Q542" s="2">
        <f ca="1"/>
        <v>4.867570720506631E-2</v>
      </c>
      <c r="R542" s="2">
        <f ca="1"/>
        <v>4.8081435597997317E-2</v>
      </c>
      <c r="S542" s="2">
        <f ca="1"/>
        <v>2.7073701079458497E-2</v>
      </c>
      <c r="T542" s="2">
        <f ca="1"/>
        <v>4.5311298399819164E-2</v>
      </c>
      <c r="U542" s="2">
        <f ca="1"/>
        <v>4.9365498576586349E-2</v>
      </c>
      <c r="V542" s="2">
        <f ca="1"/>
        <v>4.4281951403951907E-2</v>
      </c>
      <c r="W542" s="2">
        <f ca="1"/>
        <v>5.5392596285943042E-2</v>
      </c>
      <c r="X542" s="2">
        <f ca="1"/>
        <v>4.3189899369409472E-2</v>
      </c>
      <c r="Y542" s="2">
        <f ca="1"/>
        <v>5.0828351220034068E-2</v>
      </c>
      <c r="Z542" s="2">
        <f ca="1"/>
        <v>4.7602432343491749E-2</v>
      </c>
      <c r="AA542" s="2">
        <f ca="1"/>
        <v>2.7747553944029196E-2</v>
      </c>
      <c r="AB542" s="2">
        <f ca="1"/>
        <v>7.0843117107421277E-2</v>
      </c>
      <c r="AC542" s="2">
        <f ca="1"/>
        <v>5.6156460279614344E-2</v>
      </c>
      <c r="AD542" s="2">
        <f ca="1"/>
        <v>3.9148014910527579E-2</v>
      </c>
      <c r="AE542" s="2">
        <f ca="1"/>
        <v>1.3125309559187568E-2</v>
      </c>
      <c r="AF542" s="2">
        <f ca="1"/>
        <v>3.692666960577224E-2</v>
      </c>
      <c r="AG542" s="26" t="str">
        <f ca="1"/>
        <v/>
      </c>
      <c r="AH542" s="26">
        <f ca="1"/>
        <v>1.6500000000000001E-2</v>
      </c>
    </row>
    <row r="543" spans="1:34">
      <c r="A543" s="5">
        <f ca="1"/>
        <v>45322</v>
      </c>
      <c r="B543" s="2">
        <f ca="1"/>
        <v>5.8469906515485771E-3</v>
      </c>
      <c r="C543" s="2">
        <f ca="1"/>
        <v>-4.6343070502964948E-2</v>
      </c>
      <c r="D543" s="2">
        <f ca="1"/>
        <v>6.0784248551856634E-3</v>
      </c>
      <c r="E543" s="2">
        <f ca="1"/>
        <v>-2.7474560592044657E-3</v>
      </c>
      <c r="F543" s="2">
        <f ca="1"/>
        <v>1.1873573665682662E-2</v>
      </c>
      <c r="G543" s="2">
        <f ca="1"/>
        <v>-5.052391240208152E-4</v>
      </c>
      <c r="H543" s="2">
        <f ca="1"/>
        <v>5.7280470916352577E-2</v>
      </c>
      <c r="I543" s="2">
        <f ca="1"/>
        <v>4.0583854383408551E-2</v>
      </c>
      <c r="J543" s="2">
        <f ca="1"/>
        <v>-1.3306832621941335E-2</v>
      </c>
      <c r="K543" s="2">
        <f ca="1"/>
        <v>1.3181301127837795E-2</v>
      </c>
      <c r="L543" s="2">
        <f ca="1"/>
        <v>3.8606097988488366E-3</v>
      </c>
      <c r="M543" s="2">
        <f ca="1"/>
        <v>-2.1121666586294899E-2</v>
      </c>
      <c r="N543" s="2">
        <f ca="1"/>
        <v>2.4624104275518921E-2</v>
      </c>
      <c r="O543" s="2">
        <f ca="1"/>
        <v>6.4306916314227939E-3</v>
      </c>
      <c r="P543" s="2">
        <f ca="1"/>
        <v>-3.6273211038013405E-2</v>
      </c>
      <c r="Q543" s="2">
        <f ca="1"/>
        <v>3.1523020810648034E-2</v>
      </c>
      <c r="R543" s="2">
        <f ca="1"/>
        <v>5.6144751783050513E-2</v>
      </c>
      <c r="S543" s="2">
        <f ca="1"/>
        <v>2.2542637073295128E-2</v>
      </c>
      <c r="T543" s="2">
        <f ca="1"/>
        <v>1.6793614602475651E-2</v>
      </c>
      <c r="U543" s="2">
        <f ca="1"/>
        <v>1.3946259967561176E-2</v>
      </c>
      <c r="V543" s="2">
        <f ca="1"/>
        <v>2.4941771614229672E-2</v>
      </c>
      <c r="W543" s="2">
        <f ca="1"/>
        <v>1.0353319595919851E-3</v>
      </c>
      <c r="X543" s="2">
        <f ca="1"/>
        <v>2.1583890890375736E-2</v>
      </c>
      <c r="Y543" s="2">
        <f ca="1"/>
        <v>8.6956521739130661E-3</v>
      </c>
      <c r="Z543" s="2">
        <f ca="1"/>
        <v>5.5835298616865536E-2</v>
      </c>
      <c r="AA543" s="2">
        <f ca="1"/>
        <v>2.1658336537229265E-2</v>
      </c>
      <c r="AB543" s="2">
        <f ca="1"/>
        <v>-2.8788173507099658E-2</v>
      </c>
      <c r="AC543" s="2">
        <f ca="1"/>
        <v>-6.8230277185500855E-3</v>
      </c>
      <c r="AD543" s="2">
        <f ca="1"/>
        <v>-4.2111506524317915E-2</v>
      </c>
      <c r="AE543" s="2">
        <f ca="1"/>
        <v>-1.3933023710584046E-2</v>
      </c>
      <c r="AF543" s="2">
        <f ca="1"/>
        <v>-1.5113350125945109E-3</v>
      </c>
      <c r="AG543" s="26" t="str">
        <f ca="1"/>
        <v/>
      </c>
      <c r="AH543" s="26">
        <f ca="1"/>
        <v>-1.1299999999999999E-2</v>
      </c>
    </row>
    <row r="544" spans="1:34">
      <c r="A544" s="5">
        <f ca="1"/>
        <v>45351</v>
      </c>
      <c r="B544" s="2">
        <f ca="1"/>
        <v>1.8435733412674689E-2</v>
      </c>
      <c r="C544" s="2">
        <f ca="1"/>
        <v>4.7749328928350203E-2</v>
      </c>
      <c r="D544" s="2">
        <f ca="1"/>
        <v>4.3280635141458655E-2</v>
      </c>
      <c r="E544" s="2">
        <f ca="1"/>
        <v>-1.4127621680287208E-2</v>
      </c>
      <c r="F544" s="2">
        <f ca="1"/>
        <v>3.3856755708260876E-2</v>
      </c>
      <c r="G544" s="2">
        <f ca="1"/>
        <v>1.9859632017997803E-3</v>
      </c>
      <c r="H544" s="2">
        <f ca="1"/>
        <v>9.6757331712505737E-2</v>
      </c>
      <c r="I544" s="2">
        <f ca="1"/>
        <v>4.6747343202899486E-2</v>
      </c>
      <c r="J544" s="2">
        <f ca="1"/>
        <v>7.2314039839945873E-2</v>
      </c>
      <c r="K544" s="2">
        <f ca="1"/>
        <v>1.5105956685707028E-2</v>
      </c>
      <c r="L544" s="2">
        <f ca="1"/>
        <v>-2.2102085110709346E-4</v>
      </c>
      <c r="M544" s="2">
        <f ca="1"/>
        <v>4.1465096802798203E-2</v>
      </c>
      <c r="N544" s="2">
        <f ca="1"/>
        <v>5.8974274188214972E-2</v>
      </c>
      <c r="O544" s="2">
        <f ca="1"/>
        <v>1.8693677443877538E-2</v>
      </c>
      <c r="P544" s="2">
        <f ca="1"/>
        <v>4.2717519192013421E-2</v>
      </c>
      <c r="Q544" s="2">
        <f ca="1"/>
        <v>6.95928545072068E-2</v>
      </c>
      <c r="R544" s="2">
        <f ca="1"/>
        <v>0.10096084025503715</v>
      </c>
      <c r="S544" s="2">
        <f ca="1"/>
        <v>2.0941232570123199E-2</v>
      </c>
      <c r="T544" s="2">
        <f ca="1"/>
        <v>5.3395098687055803E-2</v>
      </c>
      <c r="U544" s="2">
        <f ca="1"/>
        <v>5.4001401354155674E-2</v>
      </c>
      <c r="V544" s="2">
        <f ca="1"/>
        <v>6.8227053402411975E-2</v>
      </c>
      <c r="W544" s="2">
        <f ca="1"/>
        <v>3.6889903067303886E-2</v>
      </c>
      <c r="X544" s="2">
        <f ca="1"/>
        <v>7.0657136559715283E-2</v>
      </c>
      <c r="Y544" s="2">
        <f ca="1"/>
        <v>3.3355437665782563E-2</v>
      </c>
      <c r="Z544" s="2">
        <f ca="1"/>
        <v>9.9969815876848667E-2</v>
      </c>
      <c r="AA544" s="2">
        <f ca="1"/>
        <v>2.0948319116909208E-2</v>
      </c>
      <c r="AB544" s="2">
        <f ca="1"/>
        <v>4.3060284398157282E-2</v>
      </c>
      <c r="AC544" s="2">
        <f ca="1"/>
        <v>2.7622727923286027E-2</v>
      </c>
      <c r="AD544" s="2">
        <f ca="1"/>
        <v>3.9009287925696669E-2</v>
      </c>
      <c r="AE544" s="2">
        <f ca="1"/>
        <v>4.9578582052552233E-3</v>
      </c>
      <c r="AF544" s="2">
        <f ca="1"/>
        <v>-1.4759546307225001E-2</v>
      </c>
      <c r="AG544" s="26" t="str">
        <f ca="1"/>
        <v/>
      </c>
      <c r="AH544" s="26">
        <f ca="1"/>
        <v>3.0999999999999999E-3</v>
      </c>
    </row>
    <row r="545" spans="1:34">
      <c r="A545" s="5">
        <f ca="1"/>
        <v>45380</v>
      </c>
      <c r="B545" s="2">
        <f ca="1"/>
        <v>3.4045800969189709E-2</v>
      </c>
      <c r="C545" s="2">
        <f ca="1"/>
        <v>2.5210243272025794E-2</v>
      </c>
      <c r="D545" s="2">
        <f ca="1"/>
        <v>3.1950438014411414E-2</v>
      </c>
      <c r="E545" s="2">
        <f ca="1"/>
        <v>9.2350395182537216E-3</v>
      </c>
      <c r="F545" s="2">
        <f ca="1"/>
        <v>2.3780439419737853E-2</v>
      </c>
      <c r="G545" s="2">
        <f ca="1"/>
        <v>4.5476222415775112E-2</v>
      </c>
      <c r="H545" s="2">
        <f ca="1"/>
        <v>4.4493028307951418E-2</v>
      </c>
      <c r="I545" s="2">
        <f ca="1"/>
        <v>5.7327297116029491E-2</v>
      </c>
      <c r="J545" s="2">
        <f ca="1"/>
        <v>1.3879894697572271E-2</v>
      </c>
      <c r="K545" s="2">
        <f ca="1"/>
        <v>1.9399341098952898E-2</v>
      </c>
      <c r="L545" s="2">
        <f ca="1"/>
        <v>2.0139450774407281E-2</v>
      </c>
      <c r="M545" s="2">
        <f ca="1"/>
        <v>-1.1068696873803353E-3</v>
      </c>
      <c r="N545" s="2">
        <f ca="1"/>
        <v>2.682683665025876E-2</v>
      </c>
      <c r="O545" s="2">
        <f ca="1"/>
        <v>1.9547755186650445E-2</v>
      </c>
      <c r="P545" s="2">
        <f ca="1"/>
        <v>-1.045693218634791E-2</v>
      </c>
      <c r="Q545" s="2">
        <f ca="1"/>
        <v>2.3423260015613023E-2</v>
      </c>
      <c r="R545" s="2">
        <f ca="1"/>
        <v>3.4647461810135817E-2</v>
      </c>
      <c r="S545" s="2">
        <f ca="1"/>
        <v>3.1572096022563792E-2</v>
      </c>
      <c r="T545" s="2">
        <f ca="1"/>
        <v>3.2173628325087883E-2</v>
      </c>
      <c r="U545" s="2">
        <f ca="1"/>
        <v>3.2057078588662212E-2</v>
      </c>
      <c r="V545" s="2">
        <f ca="1"/>
        <v>1.7604254397996188E-2</v>
      </c>
      <c r="W545" s="2">
        <f ca="1"/>
        <v>4.9994693907031727E-2</v>
      </c>
      <c r="X545" s="2">
        <f ca="1"/>
        <v>1.3631800669468999E-2</v>
      </c>
      <c r="Y545" s="2">
        <f ca="1"/>
        <v>5.1637281260135358E-2</v>
      </c>
      <c r="Z545" s="2">
        <f ca="1"/>
        <v>2.9093986995008762E-2</v>
      </c>
      <c r="AA545" s="2">
        <f ca="1"/>
        <v>3.1370813849414682E-2</v>
      </c>
      <c r="AB545" s="2">
        <f ca="1"/>
        <v>6.5457857639080907E-2</v>
      </c>
      <c r="AC545" s="2">
        <f ca="1"/>
        <v>3.3704735376044632E-2</v>
      </c>
      <c r="AD545" s="2">
        <f ca="1"/>
        <v>2.5029797377830728E-2</v>
      </c>
      <c r="AE545" s="2">
        <f ca="1"/>
        <v>8.6581154415392159E-2</v>
      </c>
      <c r="AF545" s="2">
        <f ca="1"/>
        <v>9.0128931269011728E-3</v>
      </c>
      <c r="AG545" s="26" t="str">
        <f ca="1"/>
        <v/>
      </c>
      <c r="AH545" s="26">
        <f ca="1"/>
        <v>7.9199999999999993E-2</v>
      </c>
    </row>
    <row r="546" spans="1:34">
      <c r="A546" s="5">
        <f ca="1"/>
        <v>45412</v>
      </c>
      <c r="B546" s="2">
        <f ca="1"/>
        <v>-2.4552373216556025E-2</v>
      </c>
      <c r="C546" s="2">
        <f ca="1"/>
        <v>4.6873902548120929E-3</v>
      </c>
      <c r="D546" s="2">
        <f ca="1"/>
        <v>-3.2565849488954704E-2</v>
      </c>
      <c r="E546" s="2">
        <f ca="1"/>
        <v>-2.5260694657449345E-2</v>
      </c>
      <c r="F546" s="2">
        <f ca="1"/>
        <v>-3.8755700442340044E-2</v>
      </c>
      <c r="G546" s="2">
        <f ca="1"/>
        <v>-9.0229136699260873E-3</v>
      </c>
      <c r="H546" s="2">
        <f ca="1"/>
        <v>-3.8618366074626195E-2</v>
      </c>
      <c r="I546" s="2">
        <f ca="1"/>
        <v>-3.3536619900184146E-2</v>
      </c>
      <c r="J546" s="2">
        <f ca="1"/>
        <v>3.8531264563114394E-4</v>
      </c>
      <c r="K546" s="2">
        <f ca="1"/>
        <v>-2.5811198799613414E-2</v>
      </c>
      <c r="L546" s="2">
        <f ca="1"/>
        <v>-1.7024375021670625E-2</v>
      </c>
      <c r="M546" s="2">
        <f ca="1"/>
        <v>-6.312360008144946E-3</v>
      </c>
      <c r="N546" s="2">
        <f ca="1"/>
        <v>-3.5761373632937715E-2</v>
      </c>
      <c r="O546" s="2">
        <f ca="1"/>
        <v>-3.2859713388206917E-2</v>
      </c>
      <c r="P546" s="2">
        <f ca="1"/>
        <v>-1.6748707295594686E-2</v>
      </c>
      <c r="Q546" s="2">
        <f ca="1"/>
        <v>-4.3708374528034576E-2</v>
      </c>
      <c r="R546" s="2">
        <f ca="1"/>
        <v>-4.8504539332312045E-2</v>
      </c>
      <c r="S546" s="2">
        <f ca="1"/>
        <v>-3.6941668589722906E-2</v>
      </c>
      <c r="T546" s="2">
        <f ca="1"/>
        <v>-4.0844071301166011E-2</v>
      </c>
      <c r="U546" s="2">
        <f ca="1"/>
        <v>-4.2552787005140223E-2</v>
      </c>
      <c r="V546" s="2">
        <f ca="1"/>
        <v>-4.2416016287750255E-2</v>
      </c>
      <c r="W546" s="2">
        <f ca="1"/>
        <v>-4.2715657309398559E-2</v>
      </c>
      <c r="X546" s="2">
        <f ca="1"/>
        <v>-4.1778036025566526E-2</v>
      </c>
      <c r="Y546" s="2">
        <f ca="1"/>
        <v>-3.9113348888616013E-2</v>
      </c>
      <c r="Z546" s="2">
        <f ca="1"/>
        <v>-5.4657058980517648E-2</v>
      </c>
      <c r="AA546" s="2">
        <f ca="1"/>
        <v>-3.7449150514477121E-2</v>
      </c>
      <c r="AB546" s="2">
        <f ca="1"/>
        <v>-6.1560745971392293E-2</v>
      </c>
      <c r="AC546" s="2">
        <f ca="1"/>
        <v>-3.2605766639719806E-2</v>
      </c>
      <c r="AD546" s="2">
        <f ca="1"/>
        <v>9.6899224806202622E-4</v>
      </c>
      <c r="AE546" s="2">
        <f ca="1"/>
        <v>3.0646992054483575E-2</v>
      </c>
      <c r="AF546" s="2">
        <f ca="1"/>
        <v>-2.4758839608836541E-2</v>
      </c>
      <c r="AG546" s="26" t="str">
        <f ca="1"/>
        <v/>
      </c>
      <c r="AH546" s="26">
        <f ca="1"/>
        <v>3.8599999999999995E-2</v>
      </c>
    </row>
    <row r="547" spans="1:34">
      <c r="A547" s="5">
        <f ca="1"/>
        <v>45443</v>
      </c>
      <c r="B547" s="2">
        <f ca="1"/>
        <v>4.0012454393477351E-2</v>
      </c>
      <c r="C547" s="2">
        <f ca="1"/>
        <v>5.942284412817707E-3</v>
      </c>
      <c r="D547" s="2">
        <f ca="1"/>
        <v>4.1245972320825601E-2</v>
      </c>
      <c r="E547" s="2">
        <f ca="1"/>
        <v>1.6953286402938163E-2</v>
      </c>
      <c r="F547" s="2">
        <f ca="1"/>
        <v>3.8771194041324716E-2</v>
      </c>
      <c r="G547" s="2">
        <f ca="1"/>
        <v>4.1345446165054631E-2</v>
      </c>
      <c r="H547" s="2">
        <f ca="1"/>
        <v>5.6525050498360783E-2</v>
      </c>
      <c r="I547" s="2">
        <f ca="1"/>
        <v>3.5146896634978733E-2</v>
      </c>
      <c r="J547" s="2">
        <f ca="1"/>
        <v>2.9602127078173734E-2</v>
      </c>
      <c r="K547" s="2">
        <f ca="1"/>
        <v>1.8909392494298197E-2</v>
      </c>
      <c r="L547" s="2">
        <f ca="1"/>
        <v>2.6296296296296241E-2</v>
      </c>
      <c r="M547" s="2">
        <f ca="1"/>
        <v>-3.2453297750666917E-3</v>
      </c>
      <c r="N547" s="2">
        <f ca="1"/>
        <v>6.0947781249366541E-2</v>
      </c>
      <c r="O547" s="2">
        <f ca="1"/>
        <v>4.1391911872910948E-2</v>
      </c>
      <c r="P547" s="2">
        <f ca="1"/>
        <v>2.2333090291133992E-2</v>
      </c>
      <c r="Q547" s="2">
        <f ca="1"/>
        <v>5.8563060083871667E-2</v>
      </c>
      <c r="R547" s="2">
        <f ca="1"/>
        <v>5.7873386973031023E-2</v>
      </c>
      <c r="S547" s="2">
        <f ca="1"/>
        <v>2.8047517292733578E-2</v>
      </c>
      <c r="T547" s="2">
        <f ca="1"/>
        <v>4.9585548521960537E-2</v>
      </c>
      <c r="U547" s="2">
        <f ca="1"/>
        <v>4.709006357903163E-2</v>
      </c>
      <c r="V547" s="2">
        <f ca="1"/>
        <v>5.9865319744190376E-2</v>
      </c>
      <c r="W547" s="2">
        <f ca="1"/>
        <v>3.1700140102688401E-2</v>
      </c>
      <c r="X547" s="2">
        <f ca="1"/>
        <v>6.3246619368140133E-2</v>
      </c>
      <c r="Y547" s="2">
        <f ca="1"/>
        <v>2.9969966132021266E-2</v>
      </c>
      <c r="Z547" s="2">
        <f ca="1"/>
        <v>5.3582519338264273E-2</v>
      </c>
      <c r="AA547" s="2">
        <f ca="1"/>
        <v>2.921068986948408E-2</v>
      </c>
      <c r="AB547" s="2">
        <f ca="1"/>
        <v>4.4568782558363947E-2</v>
      </c>
      <c r="AC547" s="2">
        <f ca="1"/>
        <v>5.0835654596100385E-2</v>
      </c>
      <c r="AD547" s="2">
        <f ca="1"/>
        <v>1.8199419167473453E-2</v>
      </c>
      <c r="AE547" s="2">
        <f ca="1"/>
        <v>1.607929515418511E-2</v>
      </c>
      <c r="AF547" s="2">
        <f ca="1"/>
        <v>1.6682229391408603E-2</v>
      </c>
      <c r="AG547" s="26" t="str">
        <f ca="1"/>
        <v/>
      </c>
      <c r="AH547" s="26">
        <f ca="1"/>
        <v>8.6999999999999994E-3</v>
      </c>
    </row>
    <row r="548" spans="1:34">
      <c r="A548" s="5">
        <f ca="1"/>
        <v>45471</v>
      </c>
      <c r="B548" s="2">
        <f ca="1"/>
        <v>-1.5920274177181129E-2</v>
      </c>
      <c r="C548" s="2">
        <f ca="1"/>
        <v>4.0077396889493688E-2</v>
      </c>
      <c r="D548" s="2">
        <f ca="1"/>
        <v>2.2633050800988239E-2</v>
      </c>
      <c r="E548" s="2">
        <f ca="1"/>
        <v>9.4710062121149546E-3</v>
      </c>
      <c r="F548" s="2">
        <f ca="1"/>
        <v>-4.380651063718469E-3</v>
      </c>
      <c r="G548" s="2">
        <f ca="1"/>
        <v>-2.7487158619163305E-2</v>
      </c>
      <c r="H548" s="2">
        <f ca="1"/>
        <v>4.6485509517541115E-2</v>
      </c>
      <c r="I548" s="2">
        <f ca="1"/>
        <v>-4.8233313368216266E-4</v>
      </c>
      <c r="J548" s="2">
        <f ca="1"/>
        <v>7.4133926036268158E-2</v>
      </c>
      <c r="K548" s="2">
        <f ca="1"/>
        <v>1.2322889352721231E-2</v>
      </c>
      <c r="L548" s="2">
        <f ca="1"/>
        <v>-1.0499905483665884E-2</v>
      </c>
      <c r="M548" s="2">
        <f ca="1"/>
        <v>3.6321650036574948E-2</v>
      </c>
      <c r="N548" s="2">
        <f ca="1"/>
        <v>4.016119683126769E-2</v>
      </c>
      <c r="O548" s="2">
        <f ca="1"/>
        <v>-1.3861809201618151E-3</v>
      </c>
      <c r="P548" s="2">
        <f ca="1"/>
        <v>3.1324584014241492E-2</v>
      </c>
      <c r="Q548" s="2">
        <f ca="1"/>
        <v>4.1006187832027488E-2</v>
      </c>
      <c r="R548" s="2">
        <f ca="1"/>
        <v>3.8145357674015772E-2</v>
      </c>
      <c r="S548" s="2">
        <f ca="1"/>
        <v>1.7970864834962155E-2</v>
      </c>
      <c r="T548" s="2">
        <f ca="1"/>
        <v>3.5878790986288281E-2</v>
      </c>
      <c r="U548" s="2">
        <f ca="1"/>
        <v>3.3096634006175261E-2</v>
      </c>
      <c r="V548" s="2">
        <f ca="1"/>
        <v>6.7431507052743284E-2</v>
      </c>
      <c r="W548" s="2">
        <f ca="1"/>
        <v>-9.4066294266606561E-3</v>
      </c>
      <c r="X548" s="2">
        <f ca="1"/>
        <v>6.7817530203054741E-2</v>
      </c>
      <c r="Y548" s="2">
        <f ca="1"/>
        <v>1.5379227394539347E-3</v>
      </c>
      <c r="Z548" s="2">
        <f ca="1"/>
        <v>4.540252383810766E-2</v>
      </c>
      <c r="AA548" s="2">
        <f ca="1"/>
        <v>1.7690635541594661E-2</v>
      </c>
      <c r="AB548" s="2">
        <f ca="1"/>
        <v>-2.6236656028732139E-2</v>
      </c>
      <c r="AC548" s="2">
        <f ca="1"/>
        <v>-2.0006557322277248E-2</v>
      </c>
      <c r="AD548" s="2">
        <f ca="1"/>
        <v>2.7737142684485495E-2</v>
      </c>
      <c r="AE548" s="2">
        <f ca="1"/>
        <v>-8.6711467591587133E-4</v>
      </c>
      <c r="AF548" s="2">
        <f ca="1"/>
        <v>8.8338666171615052E-3</v>
      </c>
      <c r="AG548" s="26" t="str">
        <f ca="1"/>
        <v/>
      </c>
      <c r="AH548" s="26">
        <f ca="1"/>
        <v>7.1999999999999998E-3</v>
      </c>
    </row>
    <row r="549" spans="1:34">
      <c r="A549" s="5">
        <f ca="1"/>
        <v>45504</v>
      </c>
      <c r="B549" s="2">
        <f ca="1"/>
        <v>2.9451379400306756E-2</v>
      </c>
      <c r="C549" s="2">
        <f ca="1"/>
        <v>3.6750095831588965E-3</v>
      </c>
      <c r="D549" s="2">
        <f ca="1"/>
        <v>1.6403440357034567E-2</v>
      </c>
      <c r="E549" s="2">
        <f ca="1"/>
        <v>2.3357541821366457E-2</v>
      </c>
      <c r="F549" s="2">
        <f ca="1"/>
        <v>1.233670621870022E-2</v>
      </c>
      <c r="G549" s="2">
        <f ca="1"/>
        <v>4.7067610942985554E-2</v>
      </c>
      <c r="H549" s="2">
        <f ca="1"/>
        <v>-1.4226171163301471E-2</v>
      </c>
      <c r="I549" s="2">
        <f ca="1"/>
        <v>2.1715465104029281E-2</v>
      </c>
      <c r="J549" s="2">
        <f ca="1"/>
        <v>-6.714269017866174E-3</v>
      </c>
      <c r="K549" s="2">
        <f ca="1"/>
        <v>4.0665301680196921E-2</v>
      </c>
      <c r="L549" s="2">
        <f ca="1"/>
        <v>6.0884855852726655E-2</v>
      </c>
      <c r="M549" s="2">
        <f ca="1"/>
        <v>2.7759323848013467E-2</v>
      </c>
      <c r="N549" s="2">
        <f ca="1"/>
        <v>-6.595331215859904E-3</v>
      </c>
      <c r="O549" s="2">
        <f ca="1"/>
        <v>1.0270966872467889E-2</v>
      </c>
      <c r="P549" s="2">
        <f ca="1"/>
        <v>1.2240741849942019E-2</v>
      </c>
      <c r="Q549" s="2">
        <f ca="1"/>
        <v>2.9250517325242636E-3</v>
      </c>
      <c r="R549" s="2">
        <f ca="1"/>
        <v>-2.0987153854630857E-2</v>
      </c>
      <c r="S549" s="2">
        <f ca="1"/>
        <v>3.7360681798750017E-2</v>
      </c>
      <c r="T549" s="2">
        <f ca="1"/>
        <v>1.2172527065475978E-2</v>
      </c>
      <c r="U549" s="2">
        <f ca="1"/>
        <v>1.455299098326758E-2</v>
      </c>
      <c r="V549" s="2">
        <f ca="1"/>
        <v>-1.7010181835719621E-2</v>
      </c>
      <c r="W549" s="2">
        <f ca="1"/>
        <v>5.1121818855292628E-2</v>
      </c>
      <c r="X549" s="2">
        <f ca="1"/>
        <v>-1.7940696772813576E-2</v>
      </c>
      <c r="Y549" s="2">
        <f ca="1"/>
        <v>4.7378592357084817E-2</v>
      </c>
      <c r="Z549" s="2">
        <f ca="1"/>
        <v>-2.0013342228152039E-2</v>
      </c>
      <c r="AA549" s="2">
        <f ca="1"/>
        <v>3.6684135302525157E-2</v>
      </c>
      <c r="AB549" s="2">
        <f ca="1"/>
        <v>-3.8483520670603948E-2</v>
      </c>
      <c r="AC549" s="2">
        <f ca="1"/>
        <v>2.9460352422907496E-2</v>
      </c>
      <c r="AD549" s="2">
        <f ca="1"/>
        <v>7.6592564916868854E-3</v>
      </c>
      <c r="AE549" s="2">
        <f ca="1"/>
        <v>5.3807767411585952E-2</v>
      </c>
      <c r="AF549" s="2">
        <f ca="1"/>
        <v>2.4207515436577572E-2</v>
      </c>
      <c r="AG549" s="26" t="str">
        <f ca="1"/>
        <v/>
      </c>
      <c r="AH549" s="26">
        <f ca="1"/>
        <v>3.7100000000000001E-2</v>
      </c>
    </row>
    <row r="550" spans="1:34">
      <c r="A550" s="5">
        <f ca="1"/>
        <v>45534</v>
      </c>
      <c r="B550" s="2">
        <f ca="1"/>
        <v>3.2628407615843805E-2</v>
      </c>
      <c r="C550" s="2">
        <f ca="1"/>
        <v>1.6478741967357935E-2</v>
      </c>
      <c r="D550" s="2">
        <f ca="1"/>
        <v>2.5738487460873476E-2</v>
      </c>
      <c r="E550" s="2">
        <f ca="1"/>
        <v>1.4366547248915429E-2</v>
      </c>
      <c r="F550" s="2">
        <f ca="1"/>
        <v>3.9542300656000756E-2</v>
      </c>
      <c r="G550" s="2">
        <f ca="1"/>
        <v>2.5739177580227604E-2</v>
      </c>
      <c r="H550" s="2">
        <f ca="1"/>
        <v>2.2834645669291352E-2</v>
      </c>
      <c r="I550" s="2">
        <f ca="1"/>
        <v>1.3975260296845314E-2</v>
      </c>
      <c r="J550" s="2">
        <f ca="1"/>
        <v>9.6041466083427781E-3</v>
      </c>
      <c r="K550" s="2">
        <f ca="1"/>
        <v>4.6181780051546141E-2</v>
      </c>
      <c r="L550" s="2">
        <f ca="1"/>
        <v>4.6782596595769041E-2</v>
      </c>
      <c r="M550" s="2">
        <f ca="1"/>
        <v>3.1929363073622076E-2</v>
      </c>
      <c r="N550" s="2">
        <f ca="1"/>
        <v>3.3945600736447083E-2</v>
      </c>
      <c r="O550" s="2">
        <f ca="1"/>
        <v>4.6218851715490152E-2</v>
      </c>
      <c r="P550" s="2">
        <f ca="1"/>
        <v>4.1904925846032821E-3</v>
      </c>
      <c r="Q550" s="2">
        <f ca="1"/>
        <v>3.58219113897204E-2</v>
      </c>
      <c r="R550" s="2">
        <f ca="1"/>
        <v>2.8880227857922526E-2</v>
      </c>
      <c r="S550" s="2">
        <f ca="1"/>
        <v>4.9462308511143541E-2</v>
      </c>
      <c r="T550" s="2">
        <f ca="1"/>
        <v>2.4257541345227208E-2</v>
      </c>
      <c r="U550" s="2">
        <f ca="1"/>
        <v>2.3703620141851324E-2</v>
      </c>
      <c r="V550" s="2">
        <f ca="1"/>
        <v>2.082766094530521E-2</v>
      </c>
      <c r="W550" s="2">
        <f ca="1"/>
        <v>2.6825059193533091E-2</v>
      </c>
      <c r="X550" s="2">
        <f ca="1"/>
        <v>2.2461203375986921E-2</v>
      </c>
      <c r="Y550" s="2">
        <f ca="1"/>
        <v>2.8807809058984609E-2</v>
      </c>
      <c r="Z550" s="2">
        <f ca="1"/>
        <v>3.3513117243546026E-2</v>
      </c>
      <c r="AA550" s="2">
        <f ca="1"/>
        <v>4.9172794117646829E-2</v>
      </c>
      <c r="AB550" s="2">
        <f ca="1"/>
        <v>3.5070338815137728E-2</v>
      </c>
      <c r="AC550" s="2">
        <f ca="1"/>
        <v>3.2227868414014378E-2</v>
      </c>
      <c r="AD550" s="2">
        <f ca="1"/>
        <v>9.6403411197627051E-3</v>
      </c>
      <c r="AE550" s="2">
        <f ca="1"/>
        <v>2.1000617665225513E-2</v>
      </c>
      <c r="AF550" s="2">
        <f ca="1"/>
        <v>1.4598962971616421E-2</v>
      </c>
      <c r="AG550" s="26" t="str">
        <f ca="1"/>
        <v/>
      </c>
      <c r="AH550" s="26">
        <f ca="1"/>
        <v>3.2099999999999997E-2</v>
      </c>
    </row>
    <row r="551" spans="1:34">
      <c r="A551" s="5">
        <f ca="1"/>
        <v>45565</v>
      </c>
      <c r="B551" s="2">
        <f ca="1"/>
        <v>9.6545171992665126E-3</v>
      </c>
      <c r="C551" s="2">
        <f ca="1"/>
        <v>6.7197286462300915E-2</v>
      </c>
      <c r="D551" s="2">
        <f ca="1"/>
        <v>2.3609452300812527E-2</v>
      </c>
      <c r="E551" s="2">
        <f ca="1"/>
        <v>1.3391194302459756E-2</v>
      </c>
      <c r="F551" s="2">
        <f ca="1"/>
        <v>4.6372676912374358E-3</v>
      </c>
      <c r="G551" s="2">
        <f ca="1"/>
        <v>1.4734394721613331E-2</v>
      </c>
      <c r="H551" s="2">
        <f ca="1"/>
        <v>2.0292631730071863E-2</v>
      </c>
      <c r="I551" s="2">
        <f ca="1"/>
        <v>-8.9551651293072161E-4</v>
      </c>
      <c r="J551" s="2">
        <f ca="1"/>
        <v>2.3745511232575817E-2</v>
      </c>
      <c r="K551" s="2">
        <f ca="1"/>
        <v>1.0305172368316859E-2</v>
      </c>
      <c r="L551" s="2">
        <f ca="1"/>
        <v>1.7007201670225919E-3</v>
      </c>
      <c r="M551" s="2">
        <f ca="1"/>
        <v>4.6718808452885389E-2</v>
      </c>
      <c r="N551" s="2">
        <f ca="1"/>
        <v>9.1259407648538321E-3</v>
      </c>
      <c r="O551" s="2">
        <f ca="1"/>
        <v>-3.3039542259695061E-3</v>
      </c>
      <c r="P551" s="2">
        <f ca="1"/>
        <v>5.230452763076137E-2</v>
      </c>
      <c r="Q551" s="2">
        <f ca="1"/>
        <v>9.6199019757225775E-3</v>
      </c>
      <c r="R551" s="2">
        <f ca="1"/>
        <v>3.0781192917746933E-2</v>
      </c>
      <c r="S551" s="2">
        <f ca="1"/>
        <v>4.3754034968618615E-3</v>
      </c>
      <c r="T551" s="2">
        <f ca="1"/>
        <v>2.1354150179607467E-2</v>
      </c>
      <c r="U551" s="2">
        <f ca="1"/>
        <v>2.1381749077494724E-2</v>
      </c>
      <c r="V551" s="2">
        <f ca="1"/>
        <v>2.8330626526704945E-2</v>
      </c>
      <c r="W551" s="2">
        <f ca="1"/>
        <v>1.3879714719419596E-2</v>
      </c>
      <c r="X551" s="2">
        <f ca="1"/>
        <v>2.3522730662354024E-2</v>
      </c>
      <c r="Y551" s="2">
        <f ca="1"/>
        <v>1.5276379744769844E-2</v>
      </c>
      <c r="Z551" s="2">
        <f ca="1"/>
        <v>2.9536621697270171E-2</v>
      </c>
      <c r="AA551" s="2">
        <f ca="1"/>
        <v>4.3869481635586544E-3</v>
      </c>
      <c r="AB551" s="2">
        <f ca="1"/>
        <v>1.643501850820021E-2</v>
      </c>
      <c r="AC551" s="2">
        <f ca="1"/>
        <v>1.1141339551755444E-2</v>
      </c>
      <c r="AD551" s="2">
        <f ca="1"/>
        <v>5.4168196841718669E-2</v>
      </c>
      <c r="AE551" s="2">
        <f ca="1"/>
        <v>5.1220004033071163E-2</v>
      </c>
      <c r="AF551" s="2">
        <f ca="1"/>
        <v>1.3314358456191163E-2</v>
      </c>
      <c r="AG551" s="26" t="str">
        <f ca="1"/>
        <v/>
      </c>
      <c r="AH551" s="26">
        <f ca="1"/>
        <v>5.2499999999999998E-2</v>
      </c>
    </row>
    <row r="552" spans="1:34">
      <c r="A552" s="5">
        <f ca="1"/>
        <v>45596</v>
      </c>
      <c r="B552" s="2">
        <f ca="1"/>
        <v>-5.4247865705695279E-2</v>
      </c>
      <c r="C552" s="2">
        <f ca="1"/>
        <v>-4.3233902356304185E-2</v>
      </c>
      <c r="D552" s="2">
        <f ca="1"/>
        <v>-2.2116341589552734E-2</v>
      </c>
      <c r="E552" s="2">
        <f ca="1"/>
        <v>-2.4798841539830929E-2</v>
      </c>
      <c r="F552" s="2">
        <f ca="1"/>
        <v>-6.1670294226875026E-2</v>
      </c>
      <c r="G552" s="2">
        <f ca="1"/>
        <v>-4.6780989886935992E-2</v>
      </c>
      <c r="H552" s="2">
        <f ca="1"/>
        <v>-8.7169173215069472E-3</v>
      </c>
      <c r="I552" s="2">
        <f ca="1"/>
        <v>-3.86796200657301E-2</v>
      </c>
      <c r="J552" s="2">
        <f ca="1"/>
        <v>-2.3414249814089329E-2</v>
      </c>
      <c r="K552" s="2">
        <f ca="1"/>
        <v>-2.4867049397316709E-2</v>
      </c>
      <c r="L552" s="2">
        <f ca="1"/>
        <v>-3.9647319180825001E-2</v>
      </c>
      <c r="M552" s="2">
        <f ca="1"/>
        <v>-4.1986319017895068E-2</v>
      </c>
      <c r="N552" s="2">
        <f ca="1"/>
        <v>-2.7843150384128185E-2</v>
      </c>
      <c r="O552" s="2">
        <f ca="1"/>
        <v>-6.9953642479415767E-2</v>
      </c>
      <c r="P552" s="2">
        <f ca="1"/>
        <v>-5.6724699653838355E-2</v>
      </c>
      <c r="Q552" s="2">
        <f ca="1"/>
        <v>-1.7534730682948984E-2</v>
      </c>
      <c r="R552" s="2">
        <f ca="1"/>
        <v>-2.2307425510825706E-3</v>
      </c>
      <c r="S552" s="2">
        <f ca="1"/>
        <v>-1.447784852067239E-2</v>
      </c>
      <c r="T552" s="2">
        <f ca="1"/>
        <v>-9.1531752511771741E-3</v>
      </c>
      <c r="U552" s="2">
        <f ca="1"/>
        <v>-6.9873769193659202E-3</v>
      </c>
      <c r="V552" s="2">
        <f ca="1"/>
        <v>-3.3091672870606235E-3</v>
      </c>
      <c r="W552" s="2">
        <f ca="1"/>
        <v>-1.1005822557898056E-2</v>
      </c>
      <c r="X552" s="2">
        <f ca="1"/>
        <v>-2.630687885812469E-3</v>
      </c>
      <c r="Y552" s="2">
        <f ca="1"/>
        <v>-1.3805350289282311E-2</v>
      </c>
      <c r="Z552" s="2">
        <f ca="1"/>
        <v>-1.7261787334779675E-3</v>
      </c>
      <c r="AA552" s="2">
        <f ca="1"/>
        <v>-1.4456247946555789E-2</v>
      </c>
      <c r="AB552" s="2">
        <f ca="1"/>
        <v>-8.6808831855066867E-3</v>
      </c>
      <c r="AC552" s="2">
        <f ca="1"/>
        <v>-5.4708520179372187E-2</v>
      </c>
      <c r="AD552" s="2">
        <f ca="1"/>
        <v>-3.1179237066713213E-2</v>
      </c>
      <c r="AE552" s="2">
        <f ca="1"/>
        <v>4.3353155572606904E-2</v>
      </c>
      <c r="AF552" s="2">
        <f ca="1"/>
        <v>-2.5192090309826966E-2</v>
      </c>
      <c r="AG552" s="26" t="str">
        <f ca="1"/>
        <v/>
      </c>
      <c r="AH552" s="26">
        <f ca="1"/>
        <v>4.2900000000000001E-2</v>
      </c>
    </row>
    <row r="553" spans="1:34">
      <c r="A553" s="5">
        <f ca="1"/>
        <v>45625</v>
      </c>
      <c r="B553" s="2">
        <f ca="1"/>
        <v>-5.5070761703298436E-3</v>
      </c>
      <c r="C553" s="2">
        <f ca="1"/>
        <v>-3.5836062253131254E-2</v>
      </c>
      <c r="D553" s="2">
        <f ca="1"/>
        <v>3.7730903851822858E-2</v>
      </c>
      <c r="E553" s="2">
        <f ca="1"/>
        <v>1.0571390946202948E-2</v>
      </c>
      <c r="F553" s="2">
        <f ca="1"/>
        <v>-3.5399031671643879E-3</v>
      </c>
      <c r="G553" s="2">
        <f ca="1"/>
        <v>-7.4590128217055249E-3</v>
      </c>
      <c r="H553" s="2">
        <f ca="1"/>
        <v>2.5793330298535925E-2</v>
      </c>
      <c r="I553" s="2">
        <f ca="1"/>
        <v>4.0983886501956982E-3</v>
      </c>
      <c r="J553" s="2">
        <f ca="1"/>
        <v>-2.9354355487956008E-2</v>
      </c>
      <c r="K553" s="2">
        <f ca="1"/>
        <v>2.9610829103214865E-2</v>
      </c>
      <c r="L553" s="2">
        <f ca="1"/>
        <v>-1.3858915428103557E-3</v>
      </c>
      <c r="M553" s="2">
        <f ca="1"/>
        <v>-1.7117597810196828E-2</v>
      </c>
      <c r="N553" s="2">
        <f ca="1"/>
        <v>2.4728797593363456E-2</v>
      </c>
      <c r="O553" s="2">
        <f ca="1"/>
        <v>-1.78693319074088E-2</v>
      </c>
      <c r="P553" s="2">
        <f ca="1"/>
        <v>-1.9644138868950976E-2</v>
      </c>
      <c r="Q553" s="2">
        <f ca="1"/>
        <v>4.4465601523309584E-2</v>
      </c>
      <c r="R553" s="2">
        <f ca="1"/>
        <v>5.1507265647259923E-2</v>
      </c>
      <c r="S553" s="2">
        <f ca="1"/>
        <v>5.0367935794128085E-2</v>
      </c>
      <c r="T553" s="2">
        <f ca="1"/>
        <v>5.869998123901575E-2</v>
      </c>
      <c r="U553" s="2">
        <f ca="1"/>
        <v>6.4378995532076613E-2</v>
      </c>
      <c r="V553" s="2">
        <f ca="1"/>
        <v>6.4860240985585543E-2</v>
      </c>
      <c r="W553" s="2">
        <f ca="1"/>
        <v>6.3858961944347217E-2</v>
      </c>
      <c r="X553" s="2">
        <f ca="1"/>
        <v>6.8447717538911435E-2</v>
      </c>
      <c r="Y553" s="2">
        <f ca="1"/>
        <v>5.6401022304832758E-2</v>
      </c>
      <c r="Z553" s="2">
        <f ca="1"/>
        <v>6.970999456548603E-2</v>
      </c>
      <c r="AA553" s="2">
        <f ca="1"/>
        <v>5.0672296921880265E-2</v>
      </c>
      <c r="AB553" s="2">
        <f ca="1"/>
        <v>5.7681324957167324E-2</v>
      </c>
      <c r="AC553" s="2">
        <f ca="1"/>
        <v>-1.7619951206288556E-3</v>
      </c>
      <c r="AD553" s="2">
        <f ca="1"/>
        <v>-2.355267889248458E-2</v>
      </c>
      <c r="AE553" s="2">
        <f ca="1"/>
        <v>-3.1071888214745314E-2</v>
      </c>
      <c r="AF553" s="2">
        <f ca="1"/>
        <v>1.1125391334538817E-2</v>
      </c>
      <c r="AG553" s="26" t="str">
        <f ca="1"/>
        <v/>
      </c>
      <c r="AH553" s="26">
        <f ca="1"/>
        <v>-3.3599999999999998E-2</v>
      </c>
    </row>
    <row r="554" spans="1:34">
      <c r="A554" s="5">
        <f ca="1"/>
        <v>45657</v>
      </c>
      <c r="B554" s="2">
        <f ca="1"/>
        <v>-2.2530497820802058E-2</v>
      </c>
      <c r="C554" s="2">
        <f ca="1"/>
        <v>-9.1738300740555373E-4</v>
      </c>
      <c r="D554" s="2">
        <f ca="1"/>
        <v>-2.3342127308418361E-2</v>
      </c>
      <c r="E554" s="2">
        <f ca="1"/>
        <v>-1.6365229504145058E-2</v>
      </c>
      <c r="F554" s="2">
        <f ca="1"/>
        <v>-2.7463700720220783E-2</v>
      </c>
      <c r="G554" s="2">
        <f ca="1"/>
        <v>-1.762098594699537E-2</v>
      </c>
      <c r="H554" s="2">
        <f ca="1"/>
        <v>-1.7450308136080988E-2</v>
      </c>
      <c r="I554" s="2">
        <f ca="1"/>
        <v>-2.2443463334217775E-2</v>
      </c>
      <c r="J554" s="2">
        <f ca="1"/>
        <v>7.6059424750425141E-3</v>
      </c>
      <c r="K554" s="2">
        <f ca="1"/>
        <v>-3.7665248640046577E-2</v>
      </c>
      <c r="L554" s="2">
        <f ca="1"/>
        <v>-2.7792926620813143E-2</v>
      </c>
      <c r="M554" s="2">
        <f ca="1"/>
        <v>2.9217440428639676E-3</v>
      </c>
      <c r="N554" s="2">
        <f ca="1"/>
        <v>-2.3817713831591775E-2</v>
      </c>
      <c r="O554" s="2">
        <f ca="1"/>
        <v>-3.2451708454565485E-2</v>
      </c>
      <c r="P554" s="2">
        <f ca="1"/>
        <v>3.4955988483791633E-3</v>
      </c>
      <c r="Q554" s="2">
        <f ca="1"/>
        <v>-3.15284399397006E-2</v>
      </c>
      <c r="R554" s="2">
        <f ca="1"/>
        <v>-3.3692459435731278E-2</v>
      </c>
      <c r="S554" s="2">
        <f ca="1"/>
        <v>-5.5843198107192522E-2</v>
      </c>
      <c r="T554" s="2">
        <f ca="1"/>
        <v>-2.3912280105079883E-2</v>
      </c>
      <c r="U554" s="2">
        <f ca="1"/>
        <v>-2.7879574030231221E-2</v>
      </c>
      <c r="V554" s="2">
        <f ca="1"/>
        <v>8.8272648810985583E-3</v>
      </c>
      <c r="W554" s="2">
        <f ca="1"/>
        <v>-6.8392732741215642E-2</v>
      </c>
      <c r="X554" s="2">
        <f ca="1"/>
        <v>4.4767019088204889E-3</v>
      </c>
      <c r="Y554" s="2">
        <f ca="1"/>
        <v>-6.3744139077650183E-2</v>
      </c>
      <c r="Z554" s="2">
        <f ca="1"/>
        <v>-4.0976920101814023E-2</v>
      </c>
      <c r="AA554" s="2">
        <f ca="1"/>
        <v>-5.6583035747801991E-2</v>
      </c>
      <c r="AB554" s="2">
        <f ca="1"/>
        <v>-2.2575923719055792E-2</v>
      </c>
      <c r="AC554" s="2">
        <f ca="1"/>
        <v>-3.0753457625294335E-2</v>
      </c>
      <c r="AD554" s="2">
        <f ca="1"/>
        <v>-1.7593063313348152E-2</v>
      </c>
      <c r="AE554" s="2">
        <f ca="1"/>
        <v>-1.3472485768500964E-2</v>
      </c>
      <c r="AF554" s="2">
        <f ca="1"/>
        <v>-1.691189847342257E-2</v>
      </c>
      <c r="AG554" s="26" t="str">
        <f ca="1"/>
        <v/>
      </c>
      <c r="AH554" s="26">
        <f ca="1"/>
        <v>-6.0000000000000001E-3</v>
      </c>
    </row>
    <row r="555" spans="1:34">
      <c r="A555" s="5">
        <f ca="1"/>
        <v>45688</v>
      </c>
      <c r="B555" s="2">
        <f ca="1"/>
        <v>5.2644079311176269E-2</v>
      </c>
      <c r="C555" s="2">
        <f ca="1"/>
        <v>1.8073619244882353E-2</v>
      </c>
      <c r="D555" s="2">
        <f ca="1"/>
        <v>3.378937865212206E-2</v>
      </c>
      <c r="E555" s="2">
        <f ca="1"/>
        <v>5.3037189988258135E-3</v>
      </c>
      <c r="F555" s="2">
        <f ca="1"/>
        <v>5.4121201416584615E-2</v>
      </c>
      <c r="G555" s="2">
        <f ca="1"/>
        <v>5.1189542988901313E-2</v>
      </c>
      <c r="H555" s="2">
        <f ca="1"/>
        <v>4.666856070263891E-2</v>
      </c>
      <c r="I555" s="2">
        <f ca="1"/>
        <v>5.5649565819491729E-2</v>
      </c>
      <c r="J555" s="2">
        <f ca="1"/>
        <v>-2.6469126937978173E-3</v>
      </c>
      <c r="K555" s="2">
        <f ca="1"/>
        <v>2.6820720533280072E-2</v>
      </c>
      <c r="L555" s="2">
        <f ca="1"/>
        <v>3.4716030157274896E-2</v>
      </c>
      <c r="M555" s="2">
        <f ca="1"/>
        <v>1.1001632642284116E-4</v>
      </c>
      <c r="N555" s="2">
        <f ca="1"/>
        <v>3.7641202606755207E-2</v>
      </c>
      <c r="O555" s="2">
        <f ca="1"/>
        <v>5.338884455951981E-2</v>
      </c>
      <c r="P555" s="2">
        <f ca="1"/>
        <v>1.2595176968819278E-2</v>
      </c>
      <c r="Q555" s="2">
        <f ca="1"/>
        <v>3.7487107775830253E-2</v>
      </c>
      <c r="R555" s="2">
        <f ca="1"/>
        <v>5.4492769879326754E-2</v>
      </c>
      <c r="S555" s="2">
        <f ca="1"/>
        <v>3.5971496179376151E-2</v>
      </c>
      <c r="T555" s="2">
        <f ca="1"/>
        <v>2.7792778925440291E-2</v>
      </c>
      <c r="U555" s="2">
        <f ca="1"/>
        <v>3.1831750917180497E-2</v>
      </c>
      <c r="V555" s="2">
        <f ca="1"/>
        <v>1.9780258787981449E-2</v>
      </c>
      <c r="W555" s="2">
        <f ca="1"/>
        <v>4.6285150746895605E-2</v>
      </c>
      <c r="X555" s="2">
        <f ca="1"/>
        <v>1.9272000779651372E-2</v>
      </c>
      <c r="Y555" s="2">
        <f ca="1"/>
        <v>4.3709391612521936E-2</v>
      </c>
      <c r="Z555" s="2">
        <f ca="1"/>
        <v>5.9008312391262273E-2</v>
      </c>
      <c r="AA555" s="2">
        <f ca="1"/>
        <v>3.5589593422682683E-2</v>
      </c>
      <c r="AB555" s="2">
        <f ca="1"/>
        <v>3.780195463765456E-2</v>
      </c>
      <c r="AC555" s="2">
        <f ca="1"/>
        <v>4.6955036994877561E-2</v>
      </c>
      <c r="AD555" s="2">
        <f ca="1"/>
        <v>1.4745308310992014E-2</v>
      </c>
      <c r="AE555" s="2">
        <f ca="1"/>
        <v>6.7128293902673483E-2</v>
      </c>
      <c r="AF555" s="2">
        <f ca="1"/>
        <v>5.1599587203301767E-3</v>
      </c>
      <c r="AG555" s="26" t="str">
        <f ca="1"/>
        <v/>
      </c>
      <c r="AH555" s="26">
        <f ca="1"/>
        <v>6.4899999999999999E-2</v>
      </c>
    </row>
    <row r="556" spans="1:34">
      <c r="A556" s="5">
        <f ca="1"/>
        <v>45716</v>
      </c>
      <c r="B556" s="2">
        <f ca="1"/>
        <v>1.9513918748057562E-2</v>
      </c>
      <c r="C556" s="2">
        <f ca="1"/>
        <v>5.0294330269545001E-3</v>
      </c>
      <c r="D556" s="2">
        <f ca="1"/>
        <v>-5.7440433289891422E-3</v>
      </c>
      <c r="E556" s="2">
        <f ca="1"/>
        <v>2.2002690126508687E-2</v>
      </c>
      <c r="F556" s="2">
        <f ca="1"/>
        <v>1.385286719633191E-3</v>
      </c>
      <c r="G556" s="2">
        <f ca="1"/>
        <v>3.7430598963120745E-2</v>
      </c>
      <c r="H556" s="2">
        <f ca="1"/>
        <v>-5.6537938650420361E-3</v>
      </c>
      <c r="I556" s="2">
        <f ca="1"/>
        <v>1.1510909929904023E-2</v>
      </c>
      <c r="J556" s="2">
        <f ca="1"/>
        <v>3.1473649510863496E-3</v>
      </c>
      <c r="K556" s="2">
        <f ca="1"/>
        <v>2.4709680984597918E-2</v>
      </c>
      <c r="L556" s="2">
        <f ca="1"/>
        <v>3.1067183441624291E-2</v>
      </c>
      <c r="M556" s="2">
        <f ca="1"/>
        <v>-1.792188820050691E-2</v>
      </c>
      <c r="N556" s="2">
        <f ca="1"/>
        <v>-1.3915426216038491E-2</v>
      </c>
      <c r="O556" s="2">
        <f ca="1"/>
        <v>6.3656413392236691E-3</v>
      </c>
      <c r="P556" s="2">
        <f ca="1"/>
        <v>-5.6986369644830684E-2</v>
      </c>
      <c r="Q556" s="2">
        <f ca="1"/>
        <v>-6.5867514812567012E-3</v>
      </c>
      <c r="R556" s="2">
        <f ca="1"/>
        <v>-4.634225903443639E-3</v>
      </c>
      <c r="S556" s="2">
        <f ca="1"/>
        <v>2.8027205185530348E-2</v>
      </c>
      <c r="T556" s="2">
        <f ca="1"/>
        <v>-1.3049582396455544E-2</v>
      </c>
      <c r="U556" s="2">
        <f ca="1"/>
        <v>-1.7491141143591592E-2</v>
      </c>
      <c r="V556" s="2">
        <f ca="1"/>
        <v>-3.5926883247919157E-2</v>
      </c>
      <c r="W556" s="2">
        <f ca="1"/>
        <v>4.060419433172347E-3</v>
      </c>
      <c r="X556" s="2">
        <f ca="1"/>
        <v>-3.0166128839488635E-2</v>
      </c>
      <c r="Y556" s="2">
        <f ca="1"/>
        <v>8.0928126768533854E-3</v>
      </c>
      <c r="Z556" s="2">
        <f ca="1"/>
        <v>-3.1944507826403719E-3</v>
      </c>
      <c r="AA556" s="2">
        <f ca="1"/>
        <v>2.8493746601413791E-2</v>
      </c>
      <c r="AB556" s="2">
        <f ca="1"/>
        <v>-3.5536602700793839E-4</v>
      </c>
      <c r="AC556" s="2">
        <f ca="1"/>
        <v>2.446316933949437E-2</v>
      </c>
      <c r="AD556" s="2">
        <f ca="1"/>
        <v>8.4921683336478641E-3</v>
      </c>
      <c r="AE556" s="2">
        <f ca="1"/>
        <v>1.9105984138428303E-2</v>
      </c>
      <c r="AF556" s="2">
        <f ca="1"/>
        <v>2.2373717715454169E-2</v>
      </c>
      <c r="AG556" s="26" t="str">
        <f ca="1"/>
        <v/>
      </c>
      <c r="AH556" s="26">
        <f ca="1"/>
        <v>1.2800000000000001E-2</v>
      </c>
    </row>
    <row r="557" spans="1:34">
      <c r="A557" s="5">
        <f ca="1"/>
        <v>45747</v>
      </c>
      <c r="B557" s="2">
        <f ca="1"/>
        <v>-2.9096035289382072E-3</v>
      </c>
      <c r="C557" s="2">
        <f ca="1"/>
        <v>6.7100301077919547E-3</v>
      </c>
      <c r="D557" s="2">
        <f ca="1"/>
        <v>-3.8965399904642865E-2</v>
      </c>
      <c r="E557" s="2">
        <f ca="1"/>
        <v>3.7793567090247001E-4</v>
      </c>
      <c r="F557" s="2">
        <f ca="1"/>
        <v>-3.1686163903751029E-2</v>
      </c>
      <c r="G557" s="2">
        <f ca="1"/>
        <v>2.4884259259259384E-2</v>
      </c>
      <c r="H557" s="2">
        <f ca="1"/>
        <v>-5.6822079276530019E-2</v>
      </c>
      <c r="I557" s="2">
        <f ca="1"/>
        <v>-2.3798222356425742E-3</v>
      </c>
      <c r="J557" s="2">
        <f ca="1"/>
        <v>-7.2042900965856652E-3</v>
      </c>
      <c r="K557" s="2">
        <f ca="1"/>
        <v>1.0708700241138312E-2</v>
      </c>
      <c r="L557" s="2">
        <f ca="1"/>
        <v>2.90128034592489E-2</v>
      </c>
      <c r="M557" s="2">
        <f ca="1"/>
        <v>1.2809656303345631E-2</v>
      </c>
      <c r="N557" s="2">
        <f ca="1"/>
        <v>-5.6603549522910357E-2</v>
      </c>
      <c r="O557" s="2">
        <f ca="1"/>
        <v>-2.4048718710210318E-2</v>
      </c>
      <c r="P557" s="2">
        <f ca="1"/>
        <v>-2.2002769016884996E-3</v>
      </c>
      <c r="Q557" s="2">
        <f ca="1"/>
        <v>-5.7967099588361201E-2</v>
      </c>
      <c r="R557" s="2">
        <f ca="1"/>
        <v>-6.5133137412057993E-2</v>
      </c>
      <c r="S557" s="2">
        <f ca="1"/>
        <v>-5.9919733531623252E-3</v>
      </c>
      <c r="T557" s="2">
        <f ca="1"/>
        <v>-5.6343948266102263E-2</v>
      </c>
      <c r="U557" s="2">
        <f ca="1"/>
        <v>-5.7873604887267234E-2</v>
      </c>
      <c r="V557" s="2">
        <f ca="1"/>
        <v>-8.4239493056360207E-2</v>
      </c>
      <c r="W557" s="2">
        <f ca="1"/>
        <v>-2.7772210011869532E-2</v>
      </c>
      <c r="X557" s="2">
        <f ca="1"/>
        <v>-8.4841730546452207E-2</v>
      </c>
      <c r="Y557" s="2">
        <f ca="1"/>
        <v>-2.4575560899357668E-2</v>
      </c>
      <c r="Z557" s="2">
        <f ca="1"/>
        <v>-7.2188460893771747E-2</v>
      </c>
      <c r="AA557" s="2">
        <f ca="1"/>
        <v>-6.1448454772191786E-3</v>
      </c>
      <c r="AB557" s="2">
        <f ca="1"/>
        <v>-5.0391410231869362E-2</v>
      </c>
      <c r="AC557" s="2">
        <f ca="1"/>
        <v>3.581851950119546E-3</v>
      </c>
      <c r="AD557" s="2">
        <f ca="1"/>
        <v>9.917664670658603E-3</v>
      </c>
      <c r="AE557" s="2">
        <f ca="1"/>
        <v>9.4623275557127726E-2</v>
      </c>
      <c r="AF557" s="2">
        <f ca="1"/>
        <v>-2.6748851968636097E-4</v>
      </c>
      <c r="AG557" s="26" t="str">
        <f ca="1"/>
        <v/>
      </c>
      <c r="AH557" s="26">
        <f ca="1"/>
        <v>9.6300000000000011E-2</v>
      </c>
    </row>
    <row r="558" spans="1:34">
      <c r="A558" s="5">
        <f ca="1"/>
        <v>45777</v>
      </c>
      <c r="B558" s="2">
        <f ca="1"/>
        <v>4.6898896920255E-2</v>
      </c>
      <c r="C558" s="2">
        <f ca="1"/>
        <v>1.3442890680820734E-2</v>
      </c>
      <c r="D558" s="2">
        <f ca="1"/>
        <v>9.7756327178093964E-3</v>
      </c>
      <c r="E558" s="2">
        <f ca="1"/>
        <v>3.9290460507309831E-3</v>
      </c>
      <c r="F558" s="2">
        <f ca="1"/>
        <v>5.2158498011689716E-2</v>
      </c>
      <c r="G558" s="2">
        <f ca="1"/>
        <v>4.2078786618000262E-2</v>
      </c>
      <c r="H558" s="2">
        <f ca="1"/>
        <v>3.3029311287405966E-2</v>
      </c>
      <c r="I558" s="2">
        <f ca="1"/>
        <v>6.8283420398795369E-2</v>
      </c>
      <c r="J558" s="2">
        <f ca="1"/>
        <v>2.6389974539797169E-2</v>
      </c>
      <c r="K558" s="2">
        <f ca="1"/>
        <v>7.6453415249522066E-3</v>
      </c>
      <c r="L558" s="2">
        <f ca="1"/>
        <v>6.2864398830110593E-2</v>
      </c>
      <c r="M558" s="2">
        <f ca="1"/>
        <v>2.8077858880778499E-2</v>
      </c>
      <c r="N558" s="2">
        <f ca="1"/>
        <v>7.5589738425517455E-3</v>
      </c>
      <c r="O558" s="2">
        <f ca="1"/>
        <v>5.1715273065595917E-2</v>
      </c>
      <c r="P558" s="2">
        <f ca="1"/>
        <v>2.2604009534447217E-2</v>
      </c>
      <c r="Q558" s="2">
        <f ca="1"/>
        <v>-2.13270682694284E-3</v>
      </c>
      <c r="R558" s="2">
        <f ca="1"/>
        <v>2.5990653119468823E-2</v>
      </c>
      <c r="S558" s="2">
        <f ca="1"/>
        <v>-1.1832022933911279E-2</v>
      </c>
      <c r="T558" s="2">
        <f ca="1"/>
        <v>-6.7813054694219558E-3</v>
      </c>
      <c r="U558" s="2">
        <f ca="1"/>
        <v>-5.9517728525104556E-3</v>
      </c>
      <c r="V558" s="2">
        <f ca="1"/>
        <v>1.7710723429852266E-2</v>
      </c>
      <c r="W558" s="2">
        <f ca="1"/>
        <v>-3.0478751535034758E-2</v>
      </c>
      <c r="X558" s="2">
        <f ca="1"/>
        <v>2.0144544522949243E-2</v>
      </c>
      <c r="Y558" s="2">
        <f ca="1"/>
        <v>-3.6239434989000861E-2</v>
      </c>
      <c r="Z558" s="2">
        <f ca="1"/>
        <v>3.7104833522980316E-2</v>
      </c>
      <c r="AA558" s="2">
        <f ca="1"/>
        <v>-1.195814648729443E-2</v>
      </c>
      <c r="AB558" s="2">
        <f ca="1"/>
        <v>4.877133746013943E-3</v>
      </c>
      <c r="AC558" s="2">
        <f ca="1"/>
        <v>4.0449438202247036E-2</v>
      </c>
      <c r="AD558" s="2">
        <f ca="1"/>
        <v>3.7057624606264485E-3</v>
      </c>
      <c r="AE558" s="2">
        <f ca="1"/>
        <v>5.4451446114073432E-2</v>
      </c>
      <c r="AF558" s="2">
        <f ca="1"/>
        <v>4.3004364313240966E-3</v>
      </c>
      <c r="AG558" s="26" t="str">
        <f ca="1"/>
        <v/>
      </c>
      <c r="AH558" s="26">
        <f ca="1"/>
        <v>6.2899999999999998E-2</v>
      </c>
    </row>
    <row r="559" spans="1:34">
      <c r="A559" s="5">
        <f ca="1"/>
        <v>45807</v>
      </c>
      <c r="B559" s="2">
        <f ca="1"/>
        <v>4.7207670226349724E-2</v>
      </c>
      <c r="C559" s="2">
        <f ca="1"/>
        <v>4.3063710925565941E-2</v>
      </c>
      <c r="D559" s="2">
        <f ca="1"/>
        <v>5.8134227864035791E-2</v>
      </c>
      <c r="E559" s="2">
        <f ca="1"/>
        <v>-7.1588267847260975E-3</v>
      </c>
      <c r="F559" s="2">
        <f ca="1"/>
        <v>5.2596187472970332E-2</v>
      </c>
      <c r="G559" s="2">
        <f ca="1"/>
        <v>4.2202772002053329E-2</v>
      </c>
      <c r="H559" s="2">
        <f ca="1"/>
        <v>8.2703742106662106E-2</v>
      </c>
      <c r="I559" s="2">
        <f ca="1"/>
        <v>6.056062993409999E-2</v>
      </c>
      <c r="J559" s="2">
        <f ca="1"/>
        <v>5.695680349283723E-2</v>
      </c>
      <c r="K559" s="2">
        <f ca="1"/>
        <v>1.2887624753518736E-2</v>
      </c>
      <c r="L559" s="2">
        <f ca="1"/>
        <v>2.3890246221294265E-2</v>
      </c>
      <c r="M559" s="2">
        <f ca="1"/>
        <v>2.2431442746679221E-2</v>
      </c>
      <c r="N559" s="2">
        <f ca="1"/>
        <v>4.8315998792308246E-2</v>
      </c>
      <c r="O559" s="2">
        <f ca="1"/>
        <v>3.4766992309291193E-2</v>
      </c>
      <c r="P559" s="2">
        <f ca="1"/>
        <v>3.8285701416570957E-2</v>
      </c>
      <c r="Q559" s="2">
        <f ca="1"/>
        <v>4.5044206607724541E-2</v>
      </c>
      <c r="R559" s="2">
        <f ca="1"/>
        <v>8.412082677991474E-2</v>
      </c>
      <c r="S559" s="2">
        <f ca="1"/>
        <v>1.1184264253520327E-2</v>
      </c>
      <c r="T559" s="2">
        <f ca="1"/>
        <v>6.2946187728880887E-2</v>
      </c>
      <c r="U559" s="2">
        <f ca="1"/>
        <v>6.3837867841924495E-2</v>
      </c>
      <c r="V559" s="2">
        <f ca="1"/>
        <v>8.8480527336801937E-2</v>
      </c>
      <c r="W559" s="2">
        <f ca="1"/>
        <v>3.5115137874401119E-2</v>
      </c>
      <c r="X559" s="2">
        <f ca="1"/>
        <v>9.2125089217267073E-2</v>
      </c>
      <c r="Y559" s="2">
        <f ca="1"/>
        <v>2.9493032196059494E-2</v>
      </c>
      <c r="Z559" s="2">
        <f ca="1"/>
        <v>0.10451748318465871</v>
      </c>
      <c r="AA559" s="2">
        <f ca="1"/>
        <v>1.0481953749729853E-2</v>
      </c>
      <c r="AB559" s="2">
        <f ca="1"/>
        <v>5.0774687324995287E-2</v>
      </c>
      <c r="AC559" s="2">
        <f ca="1"/>
        <v>4.8913733960106842E-2</v>
      </c>
      <c r="AD559" s="2">
        <f ca="1"/>
        <v>4.6520214140668106E-2</v>
      </c>
      <c r="AE559" s="2">
        <f ca="1"/>
        <v>-3.0646644192476602E-4</v>
      </c>
      <c r="AF559" s="2">
        <f ca="1"/>
        <v>-6.0578767317456018E-3</v>
      </c>
      <c r="AG559" s="26" t="str">
        <f ca="1"/>
        <v/>
      </c>
      <c r="AH559" s="26">
        <f ca="1"/>
        <v>-9.1000000000000004E-3</v>
      </c>
    </row>
    <row r="560" spans="1:34">
      <c r="A560" s="5">
        <f ca="1"/>
        <v>45838</v>
      </c>
      <c r="B560" s="2">
        <f ca="1"/>
        <v>2.2242595096758518E-2</v>
      </c>
      <c r="C560" s="2">
        <f ca="1"/>
        <v>6.1386342568750578E-2</v>
      </c>
      <c r="D560" s="2">
        <f ca="1"/>
        <v>4.5330272144654786E-2</v>
      </c>
      <c r="E560" s="2">
        <f ca="1"/>
        <v>1.5375148266728509E-2</v>
      </c>
      <c r="F560" s="2">
        <f ca="1"/>
        <v>2.669776516123697E-2</v>
      </c>
      <c r="G560" s="2">
        <f ca="1"/>
        <v>1.7671487158208477E-2</v>
      </c>
      <c r="H560" s="2">
        <f ca="1"/>
        <v>4.0158270962719324E-2</v>
      </c>
      <c r="I560" s="2">
        <f ca="1"/>
        <v>3.2270712269712801E-2</v>
      </c>
      <c r="J560" s="2">
        <f ca="1"/>
        <v>7.0245227962596135E-2</v>
      </c>
      <c r="K560" s="2">
        <f ca="1"/>
        <v>1.0067389772786695E-2</v>
      </c>
      <c r="L560" s="2">
        <f ca="1"/>
        <v>1.3139821718898917E-2</v>
      </c>
      <c r="M560" s="2">
        <f ca="1"/>
        <v>4.0208745423172411E-2</v>
      </c>
      <c r="N560" s="2">
        <f ca="1"/>
        <v>4.234505689639069E-2</v>
      </c>
      <c r="O560" s="2">
        <f ca="1"/>
        <v>1.305836733447647E-2</v>
      </c>
      <c r="P560" s="2">
        <f ca="1"/>
        <v>4.4845237837017139E-2</v>
      </c>
      <c r="Q560" s="2">
        <f ca="1"/>
        <v>3.8446816123039802E-2</v>
      </c>
      <c r="R560" s="2">
        <f ca="1"/>
        <v>3.406848639315968E-2</v>
      </c>
      <c r="S560" s="2">
        <f ca="1"/>
        <v>7.0404028361593755E-3</v>
      </c>
      <c r="T560" s="2">
        <f ca="1"/>
        <v>5.0848303939879658E-2</v>
      </c>
      <c r="U560" s="2">
        <f ca="1"/>
        <v>5.0640832002761677E-2</v>
      </c>
      <c r="V560" s="2">
        <f ca="1"/>
        <v>6.375702786085867E-2</v>
      </c>
      <c r="W560" s="2">
        <f ca="1"/>
        <v>3.4182919365724096E-2</v>
      </c>
      <c r="X560" s="2">
        <f ca="1"/>
        <v>6.2362395313937037E-2</v>
      </c>
      <c r="Y560" s="2">
        <f ca="1"/>
        <v>3.6837038333625373E-2</v>
      </c>
      <c r="Z560" s="2">
        <f ca="1"/>
        <v>4.0029649405303395E-2</v>
      </c>
      <c r="AA560" s="2">
        <f ca="1"/>
        <v>7.3722286971178224E-3</v>
      </c>
      <c r="AB560" s="2">
        <f ca="1"/>
        <v>2.8414408833850904E-2</v>
      </c>
      <c r="AC560" s="2">
        <f ca="1"/>
        <v>2.9244593592207699E-2</v>
      </c>
      <c r="AD560" s="2">
        <f ca="1"/>
        <v>7.1727645041608667E-2</v>
      </c>
      <c r="AE560" s="2">
        <f ca="1"/>
        <v>4.2918454935622491E-3</v>
      </c>
      <c r="AF560" s="2">
        <f ca="1"/>
        <v>1.4562006758434843E-2</v>
      </c>
      <c r="AG560" s="26" t="str">
        <f ca="1"/>
        <v/>
      </c>
      <c r="AH560" s="26">
        <f ca="1"/>
        <v>5.6999999999999993E-3</v>
      </c>
    </row>
    <row r="561" spans="1:34">
      <c r="A561" s="5">
        <f ca="1"/>
        <v>45869</v>
      </c>
      <c r="B561" s="2">
        <f ca="1"/>
        <v>-1.3934519343160668E-2</v>
      </c>
      <c r="C561" s="2">
        <f ca="1"/>
        <v>2.0157083939835108E-2</v>
      </c>
      <c r="D561" s="2">
        <f ca="1"/>
        <v>1.3814793395411156E-2</v>
      </c>
      <c r="E561" s="2">
        <f ca="1"/>
        <v>-2.6393683082570354E-3</v>
      </c>
      <c r="F561" s="2">
        <f ca="1"/>
        <v>-3.0025450784604338E-2</v>
      </c>
      <c r="G561" s="2">
        <f ca="1"/>
        <v>2.7455658329585161E-3</v>
      </c>
      <c r="H561" s="2">
        <f ca="1"/>
        <v>-6.5916354272761869E-3</v>
      </c>
      <c r="I561" s="2">
        <f ca="1"/>
        <v>-1.4000394718223267E-2</v>
      </c>
      <c r="J561" s="2">
        <f ca="1"/>
        <v>1.5600281753544797E-2</v>
      </c>
      <c r="K561" s="2">
        <f ca="1"/>
        <v>-1.6234654468288544E-2</v>
      </c>
      <c r="L561" s="2">
        <f ca="1"/>
        <v>-2.0899765513138973E-2</v>
      </c>
      <c r="M561" s="2">
        <f ca="1"/>
        <v>-4.6123221828421983E-3</v>
      </c>
      <c r="N561" s="2">
        <f ca="1"/>
        <v>2.5877609198556206E-3</v>
      </c>
      <c r="O561" s="2">
        <f ca="1"/>
        <v>-3.753912142751778E-2</v>
      </c>
      <c r="P561" s="2">
        <f ca="1"/>
        <v>-4.172678298958888E-3</v>
      </c>
      <c r="Q561" s="2">
        <f ca="1"/>
        <v>5.2312381800647904E-3</v>
      </c>
      <c r="R561" s="2">
        <f ca="1"/>
        <v>-4.411029063430715E-3</v>
      </c>
      <c r="S561" s="2">
        <f ca="1"/>
        <v>-1.3030178432992432E-2</v>
      </c>
      <c r="T561" s="2">
        <f ca="1"/>
        <v>2.2442900232756628E-2</v>
      </c>
      <c r="U561" s="2">
        <f ca="1"/>
        <v>2.2221786592435455E-2</v>
      </c>
      <c r="V561" s="2">
        <f ca="1"/>
        <v>3.7752040855542755E-2</v>
      </c>
      <c r="W561" s="2">
        <f ca="1"/>
        <v>5.7419762264702438E-3</v>
      </c>
      <c r="X561" s="2">
        <f ca="1"/>
        <v>3.8275547445255444E-2</v>
      </c>
      <c r="Y561" s="2">
        <f ca="1"/>
        <v>1.6974086228356883E-3</v>
      </c>
      <c r="Z561" s="2">
        <f ca="1"/>
        <v>4.0362849533955823E-3</v>
      </c>
      <c r="AA561" s="2">
        <f ca="1"/>
        <v>-1.3422818791946402E-2</v>
      </c>
      <c r="AB561" s="2">
        <f ca="1"/>
        <v>7.4420214607129774E-3</v>
      </c>
      <c r="AC561" s="2">
        <f ca="1"/>
        <v>-1.9286056540488716E-2</v>
      </c>
      <c r="AD561" s="2">
        <f ca="1"/>
        <v>4.99750124937531E-3</v>
      </c>
      <c r="AE561" s="2">
        <f ca="1"/>
        <v>-5.6471306471304996E-3</v>
      </c>
      <c r="AF561" s="2">
        <f ca="1"/>
        <v>-2.6319630247772481E-3</v>
      </c>
      <c r="AG561" s="26" t="str">
        <f ca="1"/>
        <v/>
      </c>
      <c r="AH561" s="26">
        <f ca="1"/>
        <v>-4.4000000000000003E-3</v>
      </c>
    </row>
    <row r="562" spans="1:34">
      <c r="A562" s="5">
        <f ca="1"/>
        <v>45898</v>
      </c>
      <c r="B562" s="2">
        <f ca="1"/>
        <v>4.2739004652876125E-2</v>
      </c>
      <c r="C562" s="2">
        <f ca="1"/>
        <v>1.4666757826085572E-2</v>
      </c>
      <c r="D562" s="2">
        <f ca="1"/>
        <v>2.5146662540185185E-2</v>
      </c>
      <c r="E562" s="2">
        <f ca="1"/>
        <v>1.1963629158318672E-2</v>
      </c>
      <c r="F562" s="2">
        <f ca="1"/>
        <v>2.8154078072364377E-2</v>
      </c>
      <c r="G562" s="2">
        <f ca="1"/>
        <v>5.7354214527257599E-2</v>
      </c>
      <c r="H562" s="2">
        <f ca="1"/>
        <v>1.7825609544663498E-2</v>
      </c>
      <c r="I562" s="2">
        <f ca="1"/>
        <v>3.2666915294884059E-2</v>
      </c>
      <c r="J562" s="2">
        <f ca="1"/>
        <v>2.142126063789308E-2</v>
      </c>
      <c r="K562" s="2">
        <f ca="1"/>
        <v>2.354753851935357E-2</v>
      </c>
      <c r="L562" s="2">
        <f ca="1"/>
        <v>3.5796664770981229E-2</v>
      </c>
      <c r="M562" s="2">
        <f ca="1"/>
        <v>9.0072513250741022E-3</v>
      </c>
      <c r="N562" s="2">
        <f ca="1"/>
        <v>2.4385330028737853E-2</v>
      </c>
      <c r="O562" s="2">
        <f ca="1"/>
        <v>3.6002004140131674E-2</v>
      </c>
      <c r="P562" s="2">
        <f ca="1"/>
        <v>2.3978778181969789E-2</v>
      </c>
      <c r="Q562" s="2">
        <f ca="1"/>
        <v>2.1637745495690967E-2</v>
      </c>
      <c r="R562" s="2">
        <f ca="1"/>
        <v>8.3720017103373432E-3</v>
      </c>
      <c r="S562" s="2">
        <f ca="1"/>
        <v>1.713990907038988E-2</v>
      </c>
      <c r="T562" s="2">
        <f ca="1"/>
        <v>2.0271822382714761E-2</v>
      </c>
      <c r="U562" s="2">
        <f ca="1"/>
        <v>2.1047421535617936E-2</v>
      </c>
      <c r="V562" s="2">
        <f ca="1"/>
        <v>1.1179897446443592E-2</v>
      </c>
      <c r="W562" s="2">
        <f ca="1"/>
        <v>3.1870294363042492E-2</v>
      </c>
      <c r="X562" s="2">
        <f ca="1"/>
        <v>7.5574498000792302E-3</v>
      </c>
      <c r="Y562" s="2">
        <f ca="1"/>
        <v>3.4907365567103409E-2</v>
      </c>
      <c r="Z562" s="2">
        <f ca="1"/>
        <v>1.0112312984375654E-2</v>
      </c>
      <c r="AA562" s="2">
        <f ca="1"/>
        <v>1.7816650469711818E-2</v>
      </c>
      <c r="AB562" s="2">
        <f ca="1"/>
        <v>1.8725304930424257E-2</v>
      </c>
      <c r="AC562" s="2">
        <f ca="1"/>
        <v>4.4460730426285532E-2</v>
      </c>
      <c r="AD562" s="2">
        <f ca="1"/>
        <v>2.9172882479695086E-2</v>
      </c>
      <c r="AE562" s="2">
        <f ca="1"/>
        <v>4.9884881043745201E-2</v>
      </c>
      <c r="AF562" s="2">
        <f ca="1"/>
        <v>1.1876676583493241E-2</v>
      </c>
      <c r="AG562" s="26" t="str">
        <f ca="1"/>
        <v/>
      </c>
      <c r="AH562" s="26">
        <f ca="1"/>
        <v>5.8899999999999994E-2</v>
      </c>
    </row>
    <row r="563" spans="1:34">
      <c r="A563" s="5">
        <f ca="1"/>
        <v>45930</v>
      </c>
      <c r="B563" s="2">
        <f ca="1"/>
        <v>1.9568337814641252E-2</v>
      </c>
      <c r="C563" s="2">
        <f ca="1"/>
        <v>7.1825535168643692E-2</v>
      </c>
      <c r="D563" s="2">
        <f ca="1"/>
        <v>3.6607831482145463E-2</v>
      </c>
      <c r="E563" s="2">
        <f ca="1"/>
        <v>1.0908442185691607E-2</v>
      </c>
      <c r="F563" s="2">
        <f ca="1"/>
        <v>2.5520856572237589E-2</v>
      </c>
      <c r="G563" s="2">
        <f ca="1"/>
        <v>1.3729662683546034E-2</v>
      </c>
      <c r="H563" s="2">
        <f ca="1"/>
        <v>5.9702936358225954E-2</v>
      </c>
      <c r="I563" s="2">
        <f ca="1"/>
        <v>2.6293172808262259E-2</v>
      </c>
      <c r="J563" s="2">
        <f ca="1"/>
        <v>6.9888703129242821E-2</v>
      </c>
      <c r="K563" s="2">
        <f ca="1"/>
        <v>5.3065850118346374E-3</v>
      </c>
      <c r="L563" s="2">
        <f ca="1"/>
        <v>-9.0030794624065954E-4</v>
      </c>
      <c r="M563" s="2">
        <f ca="1"/>
        <v>1.795439896873981E-2</v>
      </c>
      <c r="N563" s="2">
        <f ca="1"/>
        <v>3.7187874559805309E-2</v>
      </c>
      <c r="O563" s="2">
        <f ca="1"/>
        <v>2.5627278917192211E-2</v>
      </c>
      <c r="P563" s="2">
        <f ca="1"/>
        <v>2.9713099109828587E-2</v>
      </c>
      <c r="Q563" s="2">
        <f ca="1"/>
        <v>3.3711058533977045E-2</v>
      </c>
      <c r="R563" s="2">
        <f ca="1"/>
        <v>5.4165848571895263E-2</v>
      </c>
      <c r="S563" s="2">
        <f ca="1"/>
        <v>1.3640386805205046E-2</v>
      </c>
      <c r="T563" s="2">
        <f ca="1"/>
        <v>3.6404377406842832E-2</v>
      </c>
      <c r="U563" s="2">
        <f ca="1"/>
        <v>3.4667770921895179E-2</v>
      </c>
      <c r="V563" s="2">
        <f ca="1"/>
        <v>5.3123186279515448E-2</v>
      </c>
      <c r="W563" s="2">
        <f ca="1"/>
        <v>1.4937823979078856E-2</v>
      </c>
      <c r="X563" s="2">
        <f ca="1"/>
        <v>4.6876398366050863E-2</v>
      </c>
      <c r="Y563" s="2">
        <f ca="1"/>
        <v>2.3016084391046323E-2</v>
      </c>
      <c r="Z563" s="2">
        <f ca="1"/>
        <v>5.4694805411107592E-2</v>
      </c>
      <c r="AA563" s="2">
        <f ca="1"/>
        <v>1.3255875507628686E-2</v>
      </c>
      <c r="AB563" s="2">
        <f ca="1"/>
        <v>1.8007083355999265E-2</v>
      </c>
      <c r="AC563" s="2">
        <f ca="1"/>
        <v>2.1050169570810386E-2</v>
      </c>
      <c r="AD563" s="2">
        <f ca="1"/>
        <v>6.1684651312610764E-2</v>
      </c>
      <c r="AE563" s="2">
        <f ca="1"/>
        <v>0.11769005847953212</v>
      </c>
      <c r="AF563" s="2">
        <f ca="1"/>
        <v>1.1275423826541458E-2</v>
      </c>
      <c r="AG563" s="26" t="str">
        <f ca="1"/>
        <v/>
      </c>
      <c r="AH563" s="26">
        <f ca="1"/>
        <v>0.1014</v>
      </c>
    </row>
    <row r="564" spans="1:34">
      <c r="A564" s="5">
        <f ca="1"/>
        <v>45961</v>
      </c>
      <c r="B564" s="2">
        <f ca="1"/>
        <v>1.1899317514295746E-2</v>
      </c>
      <c r="C564" s="2">
        <f ca="1"/>
        <v>4.1885102963444901E-2</v>
      </c>
      <c r="D564" s="2">
        <f ca="1"/>
        <v>2.2555483991874778E-2</v>
      </c>
      <c r="E564" s="2">
        <f ca="1"/>
        <v>6.2454536454769824E-3</v>
      </c>
      <c r="F564" s="2">
        <f ca="1"/>
        <v>1.6071917962665432E-2</v>
      </c>
      <c r="G564" s="2">
        <f ca="1"/>
        <v>7.757068306685792E-3</v>
      </c>
      <c r="H564" s="2">
        <f ca="1"/>
        <v>-3.1453967069580654E-3</v>
      </c>
      <c r="I564" s="2">
        <f ca="1"/>
        <v>-3.0743820500988167E-3</v>
      </c>
      <c r="J564" s="2">
        <f ca="1"/>
        <v>-1.2398143797043805E-2</v>
      </c>
      <c r="K564" s="2">
        <f ca="1"/>
        <v>-1.409486337307681E-2</v>
      </c>
      <c r="L564" s="2">
        <f ca="1"/>
        <v>-5.4169553775313744E-3</v>
      </c>
      <c r="M564" s="2">
        <f ca="1"/>
        <v>2.3763637874608796E-2</v>
      </c>
      <c r="N564" s="2">
        <f ca="1"/>
        <v>2.7083642660493772E-2</v>
      </c>
      <c r="O564" s="2">
        <f ca="1"/>
        <v>1.1945146324552356E-2</v>
      </c>
      <c r="P564" s="2">
        <f ca="1"/>
        <v>2.6720443660196595E-2</v>
      </c>
      <c r="Q564" s="2">
        <f ca="1"/>
        <v>2.0843076731206892E-2</v>
      </c>
      <c r="R564" s="2">
        <f ca="1"/>
        <v>2.2491360312531135E-3</v>
      </c>
      <c r="S564" s="2">
        <f ca="1"/>
        <v>-2.0184620157598962E-2</v>
      </c>
      <c r="T564" s="2">
        <f ca="1"/>
        <v>2.3413644090105903E-2</v>
      </c>
      <c r="U564" s="2">
        <f ca="1"/>
        <v>2.1581244419165226E-2</v>
      </c>
      <c r="V564" s="2">
        <f ca="1"/>
        <v>3.6325017122573078E-2</v>
      </c>
      <c r="W564" s="2">
        <f ca="1"/>
        <v>4.4153252653557316E-3</v>
      </c>
      <c r="X564" s="2">
        <f ca="1"/>
        <v>4.0115927524446864E-2</v>
      </c>
      <c r="Y564" s="2">
        <f ca="1"/>
        <v>-3.9144190037000183E-3</v>
      </c>
      <c r="Z564" s="2">
        <f ca="1"/>
        <v>-8.6956521739129829E-3</v>
      </c>
      <c r="AA564" s="2">
        <f ca="1"/>
        <v>-2.0601219255833449E-2</v>
      </c>
      <c r="AB564" s="2">
        <f ca="1"/>
        <v>-1.8254231662794161E-3</v>
      </c>
      <c r="AC564" s="2">
        <f ca="1"/>
        <v>8.9336845722139905E-3</v>
      </c>
      <c r="AD564" s="2">
        <f ca="1"/>
        <v>3.564927184466004E-2</v>
      </c>
      <c r="AE564" s="2">
        <f ca="1"/>
        <v>3.5840418574231453E-2</v>
      </c>
      <c r="AF564" s="2">
        <f ca="1"/>
        <v>6.1485856709792494E-3</v>
      </c>
      <c r="AG564" s="26" t="str">
        <f ca="1"/>
        <v/>
      </c>
      <c r="AH564" s="26">
        <f ca="1"/>
        <v>4.0500000000000001E-2</v>
      </c>
    </row>
    <row r="565" spans="1:34">
      <c r="A565" s="5">
        <f ca="1"/>
        <v>45989</v>
      </c>
      <c r="B565" s="2">
        <f ca="1"/>
        <v>6.3977646924549556E-3</v>
      </c>
      <c r="C565" s="2">
        <f ca="1"/>
        <v>-2.3804901595563335E-2</v>
      </c>
      <c r="D565" s="2">
        <f ca="1"/>
        <v>1.6852607098321944E-4</v>
      </c>
      <c r="E565" s="2">
        <f ca="1"/>
        <v>6.215245102232759E-3</v>
      </c>
      <c r="F565" s="2">
        <f ca="1"/>
        <v>-1.4634951322338094E-2</v>
      </c>
      <c r="G565" s="2">
        <f ca="1"/>
        <v>2.7496372257189341E-2</v>
      </c>
      <c r="H565" s="2">
        <f ca="1"/>
        <v>-1.5129617021616168E-3</v>
      </c>
      <c r="I565" s="2">
        <f ca="1"/>
        <v>7.432190311254811E-3</v>
      </c>
      <c r="J565" s="2">
        <f ca="1"/>
        <v>-1.5090009690396491E-2</v>
      </c>
      <c r="K565" s="2">
        <f ca="1"/>
        <v>2.3673344397028642E-2</v>
      </c>
      <c r="L565" s="2">
        <f ca="1"/>
        <v>2.1140633258059833E-2</v>
      </c>
      <c r="M565" s="2">
        <f ca="1"/>
        <v>-1.282556764153344E-2</v>
      </c>
      <c r="N565" s="2">
        <f ca="1"/>
        <v>9.5097265692355749E-3</v>
      </c>
      <c r="O565" s="2">
        <f ca="1"/>
        <v>6.5159611157606587E-3</v>
      </c>
      <c r="P565" s="2">
        <f ca="1"/>
        <v>-4.9681547060268548E-3</v>
      </c>
      <c r="Q565" s="2">
        <f ca="1"/>
        <v>1.8036603532075649E-2</v>
      </c>
      <c r="R565" s="2">
        <f ca="1"/>
        <v>-1.4225055399477495E-2</v>
      </c>
      <c r="S565" s="2">
        <f ca="1"/>
        <v>2.3070951794861416E-2</v>
      </c>
      <c r="T565" s="2">
        <f ca="1"/>
        <v>2.4512025191658626E-3</v>
      </c>
      <c r="U565" s="2">
        <f ca="1"/>
        <v>2.4373269364607181E-3</v>
      </c>
      <c r="V565" s="2">
        <f ca="1"/>
        <v>-1.8123114951466061E-2</v>
      </c>
      <c r="W565" s="2">
        <f ca="1"/>
        <v>2.6563583713102312E-2</v>
      </c>
      <c r="X565" s="2">
        <f ca="1"/>
        <v>-1.6056930941164782E-2</v>
      </c>
      <c r="Y565" s="2">
        <f ca="1"/>
        <v>2.5409130060292724E-2</v>
      </c>
      <c r="Z565" s="2">
        <f ca="1"/>
        <v>-1.5616395248210331E-2</v>
      </c>
      <c r="AA565" s="2">
        <f ca="1"/>
        <v>2.3073620948701381E-2</v>
      </c>
      <c r="AB565" s="2">
        <f ca="1"/>
        <v>7.3150457190357954E-3</v>
      </c>
      <c r="AC565" s="2">
        <f ca="1"/>
        <v>8.5140197525257685E-3</v>
      </c>
      <c r="AD565" s="2">
        <f ca="1"/>
        <v>-1.7137835066647112E-2</v>
      </c>
      <c r="AE565" s="2">
        <f ca="1"/>
        <v>5.3920949614850312E-2</v>
      </c>
      <c r="AF565" s="2">
        <f ca="1"/>
        <v>6.0606686427012654E-3</v>
      </c>
      <c r="AG565" s="26" t="str">
        <f ca="1"/>
        <v/>
      </c>
      <c r="AH565" s="26">
        <f ca="1"/>
        <v>5.5500000000000001E-2</v>
      </c>
    </row>
    <row r="566" spans="1:34">
      <c r="A566" s="5">
        <f ca="1"/>
        <v>46022</v>
      </c>
      <c r="B566" s="2">
        <f ca="1"/>
        <v>3.014876620862832E-2</v>
      </c>
      <c r="C566" s="2">
        <f ca="1"/>
        <v>3.0243907682715766E-2</v>
      </c>
      <c r="D566" s="2">
        <f ca="1"/>
        <v>1.0738778054862817E-2</v>
      </c>
      <c r="E566" s="2">
        <f ca="1"/>
        <v>-1.4793842700641568E-3</v>
      </c>
      <c r="F566" s="2">
        <f ca="1"/>
        <v>1.7705402272133467E-2</v>
      </c>
      <c r="G566" s="2">
        <f ca="1"/>
        <v>4.1997201826500123E-2</v>
      </c>
      <c r="H566" s="2">
        <f ca="1"/>
        <v>1.8476132752220063E-2</v>
      </c>
      <c r="I566" s="2">
        <f ca="1"/>
        <v>2.7155285585540784E-2</v>
      </c>
      <c r="J566" s="2">
        <f ca="1"/>
        <v>4.0905854082942644E-2</v>
      </c>
      <c r="K566" s="2">
        <f ca="1"/>
        <v>-6.8007353189519547E-3</v>
      </c>
      <c r="L566" s="2">
        <f ca="1"/>
        <v>1.5782645811347654E-2</v>
      </c>
      <c r="M566" s="2">
        <f ca="1"/>
        <v>1.427654042539863E-2</v>
      </c>
      <c r="N566" s="2">
        <f ca="1"/>
        <v>9.625454401156636E-3</v>
      </c>
      <c r="O566" s="2">
        <f ca="1"/>
        <v>2.4873258011509948E-2</v>
      </c>
      <c r="P566" s="2">
        <f ca="1"/>
        <v>1.0740670856496061E-2</v>
      </c>
      <c r="Q566" s="2">
        <f ca="1"/>
        <v>2.1178090971696287E-3</v>
      </c>
      <c r="R566" s="2">
        <f ca="1"/>
        <v>-1.9485457195360359E-3</v>
      </c>
      <c r="S566" s="2">
        <f ca="1"/>
        <v>-7.5015037950546459E-3</v>
      </c>
      <c r="T566" s="2">
        <f ca="1"/>
        <v>5.9176079608610815E-4</v>
      </c>
      <c r="U566" s="2">
        <f ca="1"/>
        <v>6.372878380151055E-5</v>
      </c>
      <c r="V566" s="2">
        <f ca="1"/>
        <v>-6.1989826382649648E-3</v>
      </c>
      <c r="W566" s="2">
        <f ca="1"/>
        <v>6.7823761282754394E-3</v>
      </c>
      <c r="X566" s="2">
        <f ca="1"/>
        <v>-5.0596703395856639E-3</v>
      </c>
      <c r="Y566" s="2">
        <f ca="1"/>
        <v>7.8335654295363204E-3</v>
      </c>
      <c r="Z566" s="2">
        <f ca="1"/>
        <v>2.9485682825512562E-3</v>
      </c>
      <c r="AA566" s="2">
        <f ca="1"/>
        <v>-8.1563594102875853E-3</v>
      </c>
      <c r="AB566" s="2">
        <f ca="1"/>
        <v>1.1463233847945212E-2</v>
      </c>
      <c r="AC566" s="2">
        <f ca="1"/>
        <v>2.6477625956954631E-2</v>
      </c>
      <c r="AD566" s="2">
        <f ca="1"/>
        <v>1.9301389301085693E-2</v>
      </c>
      <c r="AE566" s="2">
        <f ca="1"/>
        <v>2.2885214473999653E-2</v>
      </c>
      <c r="AF566" s="2">
        <f ca="1"/>
        <v>-2.7670738876047398E-3</v>
      </c>
      <c r="AG566" s="26" t="str">
        <f ca="1"/>
        <v/>
      </c>
      <c r="AH566" s="26">
        <f ca="1"/>
        <v>2.9100000000000001E-2</v>
      </c>
    </row>
    <row r="567" spans="1:34">
      <c r="A567" s="5">
        <f ca="1"/>
        <v>46052</v>
      </c>
      <c r="B567" s="2">
        <f ca="1"/>
        <v>5.2244232272094009E-2</v>
      </c>
      <c r="C567" s="2">
        <f ca="1"/>
        <v>8.8613373260782252E-2</v>
      </c>
      <c r="D567" s="2">
        <f ca="1"/>
        <v>2.9839798317338431E-2</v>
      </c>
      <c r="E567" s="2">
        <f ca="1"/>
        <v>1.0686080422335263E-3</v>
      </c>
      <c r="F567" s="2">
        <f ca="1"/>
        <v>4.706073781483678E-2</v>
      </c>
      <c r="G567" s="2">
        <f ca="1"/>
        <v>5.7082548688056206E-2</v>
      </c>
      <c r="H567" s="2">
        <f ca="1"/>
        <v>6.0303465124610239E-2</v>
      </c>
      <c r="I567" s="2">
        <f ca="1"/>
        <v>7.2207512724722811E-2</v>
      </c>
      <c r="J567" s="2">
        <f ca="1"/>
        <v>0.15424435772936243</v>
      </c>
      <c r="K567" s="2">
        <f ca="1"/>
        <v>1.5703372642368877E-2</v>
      </c>
      <c r="L567" s="2">
        <f ca="1"/>
        <v>3.4932735129268963E-2</v>
      </c>
      <c r="M567" s="2">
        <f ca="1"/>
        <v>4.6430915337991728E-2</v>
      </c>
      <c r="N567" s="2">
        <f ca="1"/>
        <v>3.962145498540634E-2</v>
      </c>
      <c r="O567" s="2">
        <f ca="1"/>
        <v>5.2864712577751036E-2</v>
      </c>
      <c r="P567" s="2">
        <f ca="1"/>
        <v>5.8398073820909384E-2</v>
      </c>
      <c r="Q567" s="2">
        <f ca="1"/>
        <v>1.7932716252663745E-2</v>
      </c>
      <c r="R567" s="2">
        <f ca="1"/>
        <v>1.3325185314518789E-2</v>
      </c>
      <c r="S567" s="2">
        <f ca="1"/>
        <v>8.7300938645408672E-3</v>
      </c>
      <c r="T567" s="2">
        <f ca="1"/>
        <v>1.4363790112348429E-2</v>
      </c>
      <c r="U567" s="2">
        <f ca="1"/>
        <v>1.3771714410269968E-2</v>
      </c>
      <c r="V567" s="2">
        <f ca="1"/>
        <v>-1.5115892351687315E-2</v>
      </c>
      <c r="W567" s="2">
        <f ca="1"/>
        <v>4.5640237872418193E-2</v>
      </c>
      <c r="X567" s="2">
        <f ca="1"/>
        <v>-1.2934038453654683E-2</v>
      </c>
      <c r="Y567" s="2">
        <f ca="1"/>
        <v>4.5866275721241884E-2</v>
      </c>
      <c r="Z567" s="2">
        <f ca="1"/>
        <v>2.2292357476728811E-2</v>
      </c>
      <c r="AA567" s="2">
        <f ca="1"/>
        <v>8.8147833474935735E-3</v>
      </c>
      <c r="AB567" s="2">
        <f ca="1"/>
        <v>2.7237035825290357E-2</v>
      </c>
      <c r="AC567" s="2">
        <f ca="1"/>
        <v>5.1307847082494903E-2</v>
      </c>
      <c r="AD567" s="2">
        <f ca="1"/>
        <v>7.9440642665873196E-2</v>
      </c>
      <c r="AE567" s="2">
        <f ca="1"/>
        <v>0.12463394635117724</v>
      </c>
      <c r="AF567" s="2">
        <f ca="1"/>
        <v>2.5030036043252376E-3</v>
      </c>
      <c r="AG567" s="26" t="str">
        <f ca="1"/>
        <v/>
      </c>
      <c r="AH567" s="26">
        <f ca="1"/>
        <v>8.5900000000000004E-2</v>
      </c>
    </row>
    <row r="568" spans="1:34">
      <c r="A568" s="5">
        <f ca="1"/>
        <v>46080</v>
      </c>
      <c r="B568" s="2">
        <f ca="1"/>
        <v>4.6383756450081776E-2</v>
      </c>
      <c r="C568" s="2">
        <f ca="1"/>
        <v>5.5126242113612015E-2</v>
      </c>
      <c r="D568" s="2">
        <f ca="1"/>
        <v>1.3109209145568367E-2</v>
      </c>
      <c r="E568" s="2">
        <f ca="1"/>
        <v>1.6373502994011975E-2</v>
      </c>
      <c r="F568" s="2">
        <f ca="1"/>
        <v>3.2292512599401746E-2</v>
      </c>
      <c r="G568" s="2">
        <f ca="1"/>
        <v>5.9385139597431136E-2</v>
      </c>
      <c r="H568" s="2">
        <f ca="1"/>
        <v>2.7865474726662509E-2</v>
      </c>
      <c r="I568" s="2">
        <f ca="1"/>
        <v>3.0233642639278368E-2</v>
      </c>
      <c r="J568" s="2">
        <f ca="1"/>
        <v>6.8351517383332144E-2</v>
      </c>
      <c r="K568" s="2">
        <f ca="1"/>
        <v>3.9425100440022877E-2</v>
      </c>
      <c r="L568" s="2">
        <f ca="1"/>
        <v>6.2628678116088465E-2</v>
      </c>
      <c r="M568" s="2">
        <f ca="1"/>
        <v>2.5732594989245804E-2</v>
      </c>
      <c r="N568" s="2">
        <f ca="1"/>
        <v>1.897023870185114E-2</v>
      </c>
      <c r="O568" s="2">
        <f ca="1"/>
        <v>3.8075869475936365E-2</v>
      </c>
      <c r="P568" s="2">
        <f ca="1"/>
        <v>5.6953294951404429E-2</v>
      </c>
      <c r="Q568" s="2">
        <f ca="1"/>
        <v>1.1202669390243277E-2</v>
      </c>
      <c r="R568" s="2">
        <f ca="1"/>
        <v>5.9210062577826701E-4</v>
      </c>
      <c r="S568" s="2">
        <f ca="1"/>
        <v>2.977046711823661E-2</v>
      </c>
      <c r="T568" s="2">
        <f ca="1"/>
        <v>-7.5996934389955528E-3</v>
      </c>
      <c r="U568" s="2">
        <f ca="1"/>
        <v>-5.3634168678711241E-3</v>
      </c>
      <c r="V568" s="2">
        <f ca="1"/>
        <v>-3.3579220813365729E-2</v>
      </c>
      <c r="W568" s="2">
        <f ca="1"/>
        <v>2.5926783163197423E-2</v>
      </c>
      <c r="X568" s="2">
        <f ca="1"/>
        <v>-4.2944657875610054E-2</v>
      </c>
      <c r="Y568" s="2">
        <f ca="1"/>
        <v>3.7596996245306692E-2</v>
      </c>
      <c r="Z568" s="2">
        <f ca="1"/>
        <v>-1.1450232521786641E-2</v>
      </c>
      <c r="AA568" s="2">
        <f ca="1"/>
        <v>2.9687335509001135E-2</v>
      </c>
      <c r="AB568" s="2">
        <f ca="1"/>
        <v>3.1053427820686777E-3</v>
      </c>
      <c r="AC568" s="2">
        <f ca="1"/>
        <v>4.5401382243487512E-2</v>
      </c>
      <c r="AD568" s="2">
        <f ca="1"/>
        <v>5.7883131201764207E-2</v>
      </c>
      <c r="AE568" s="2">
        <f ca="1"/>
        <v>8.4678679304239085E-2</v>
      </c>
      <c r="AF568" s="2">
        <f ca="1"/>
        <v>1.5981462738223592E-2</v>
      </c>
      <c r="AG568" s="26" t="str">
        <f ca="1"/>
        <v/>
      </c>
      <c r="AH568" s="26">
        <f ca="1"/>
        <v>0.1133</v>
      </c>
    </row>
    <row r="569" spans="1:34">
      <c r="A569" s="5">
        <f ca="1"/>
        <v>46112</v>
      </c>
      <c r="B569" s="2">
        <f ca="1"/>
        <v>-0.1019148255950309</v>
      </c>
      <c r="C569" s="2">
        <f ca="1"/>
        <v>-0.1302791712748588</v>
      </c>
      <c r="D569" s="2">
        <f ca="1"/>
        <v>-7.1321688389089422E-2</v>
      </c>
      <c r="E569" s="2">
        <f ca="1"/>
        <v>-1.7620279012159762E-2</v>
      </c>
      <c r="F569" s="2">
        <f ca="1"/>
        <v>-0.11753434128853039</v>
      </c>
      <c r="G569" s="2">
        <f ca="1"/>
        <v>-8.7793121829360263E-2</v>
      </c>
      <c r="H569" s="2">
        <f ca="1"/>
        <v>-0.11878986440489214</v>
      </c>
      <c r="I569" s="2">
        <f ca="1"/>
        <v>-0.1122641472557627</v>
      </c>
      <c r="J569" s="2">
        <f ca="1"/>
        <v>-0.19025392010746545</v>
      </c>
      <c r="K569" s="2">
        <f ca="1"/>
        <v>-5.4534034593669269E-2</v>
      </c>
      <c r="L569" s="2">
        <f ca="1"/>
        <v>-4.950569518571786E-2</v>
      </c>
      <c r="M569" s="2">
        <f ca="1"/>
        <v>-8.8202077458709796E-2</v>
      </c>
      <c r="N569" s="2">
        <f ca="1"/>
        <v>-8.3474347289547654E-2</v>
      </c>
      <c r="O569" s="2">
        <f ca="1"/>
        <v>-0.11752893800184358</v>
      </c>
      <c r="P569" s="2">
        <f ca="1"/>
        <v>-0.10263838017321052</v>
      </c>
      <c r="Q569" s="2">
        <f ca="1"/>
        <v>-6.4001819104831187E-2</v>
      </c>
      <c r="R569" s="2">
        <f ca="1"/>
        <v>-5.73121075545217E-2</v>
      </c>
      <c r="S569" s="2">
        <f ca="1"/>
        <v>-4.840332106313712E-2</v>
      </c>
      <c r="T569" s="2">
        <f ca="1"/>
        <v>-4.9831327466451171E-2</v>
      </c>
      <c r="U569" s="2">
        <f ca="1"/>
        <v>-4.9726365202426098E-2</v>
      </c>
      <c r="V569" s="2">
        <f ca="1"/>
        <v>-5.2085576068218224E-2</v>
      </c>
      <c r="W569" s="2">
        <f ca="1"/>
        <v>-4.8242034543460897E-2</v>
      </c>
      <c r="X569" s="2">
        <f ca="1"/>
        <v>-5.1176877605350626E-2</v>
      </c>
      <c r="Y569" s="2">
        <f ca="1"/>
        <v>-4.8079187854803904E-2</v>
      </c>
      <c r="Z569" s="2">
        <f ca="1"/>
        <v>-5.0427983168906752E-2</v>
      </c>
      <c r="AA569" s="2">
        <f ca="1"/>
        <v>-4.7925608727869932E-2</v>
      </c>
      <c r="AB569" s="2">
        <f ca="1"/>
        <v>-4.3260501648572015E-2</v>
      </c>
      <c r="AC569" s="2">
        <f ca="1"/>
        <v>-7.9231082180634627E-2</v>
      </c>
      <c r="AD569" s="2">
        <f ca="1"/>
        <v>-9.1323606044815112E-2</v>
      </c>
      <c r="AE569" s="2">
        <f ca="1"/>
        <v>-0.10994814672556177</v>
      </c>
      <c r="AF569" s="2">
        <f ca="1"/>
        <v>-1.7929524520244641E-2</v>
      </c>
      <c r="AG569" s="26" t="str">
        <f ca="1"/>
        <v/>
      </c>
      <c r="AH569" s="26">
        <f ca="1"/>
        <v>-0.1144</v>
      </c>
    </row>
    <row r="570" spans="1:34">
      <c r="A570" s="5">
        <f ca="1"/>
        <v>46142</v>
      </c>
      <c r="B570" s="2">
        <f ca="1"/>
        <v>7.5597596713902648E-2</v>
      </c>
      <c r="C570" s="2">
        <f ca="1"/>
        <v>0.1472927524727658</v>
      </c>
      <c r="D570" s="2">
        <f ca="1"/>
        <v>0.10214778801448855</v>
      </c>
      <c r="E570" s="2">
        <f ca="1"/>
        <v>1.1202214886594012E-3</v>
      </c>
      <c r="F570" s="2">
        <f ca="1"/>
        <v>9.1034440704787431E-2</v>
      </c>
      <c r="G570" s="2">
        <f ca="1"/>
        <v>6.2071896962268697E-2</v>
      </c>
      <c r="H570" s="2">
        <f ca="1"/>
        <v>0.21529891132640436</v>
      </c>
      <c r="I570" s="2">
        <f ca="1"/>
        <v>0.10884922864484907</v>
      </c>
      <c r="J570" s="2">
        <f ca="1"/>
        <v>0.30582334617698004</v>
      </c>
      <c r="K570" s="2">
        <f ca="1"/>
        <v>1.8992901691961966E-2</v>
      </c>
      <c r="L570" s="2">
        <f ca="1"/>
        <v>1.5003276031791782E-2</v>
      </c>
      <c r="M570" s="2">
        <f ca="1"/>
        <v>0.10946751397386276</v>
      </c>
      <c r="N570" s="2">
        <f ca="1"/>
        <v>0.10559552808324299</v>
      </c>
      <c r="O570" s="2">
        <f ca="1"/>
        <v>8.0902369621516895E-2</v>
      </c>
      <c r="P570" s="2">
        <f ca="1"/>
        <v>0.1909954843908695</v>
      </c>
      <c r="Q570" s="2">
        <f ca="1"/>
        <v>8.6894989293845828E-2</v>
      </c>
      <c r="R570" s="2">
        <f ca="1"/>
        <v>0.18687154688104596</v>
      </c>
      <c r="S570" s="2">
        <f ca="1"/>
        <v>2.0532123022283712E-2</v>
      </c>
      <c r="T570" s="2">
        <f ca="1"/>
        <v>0.10492660032162837</v>
      </c>
      <c r="U570" s="2">
        <f ca="1"/>
        <v>0.10105069182877462</v>
      </c>
      <c r="V570" s="2">
        <f ca="1"/>
        <v>0.11895171777941606</v>
      </c>
      <c r="W570" s="2">
        <f ca="1"/>
        <v>8.1552643957023399E-2</v>
      </c>
      <c r="X570" s="2">
        <f ca="1"/>
        <v>0.142471210421484</v>
      </c>
      <c r="Y570" s="2">
        <f ca="1"/>
        <v>5.3924566768603521E-2</v>
      </c>
      <c r="Z570" s="2">
        <f ca="1"/>
        <v>0.18329930413767254</v>
      </c>
      <c r="AA570" s="2">
        <f ca="1"/>
        <v>2.0487384084537402E-2</v>
      </c>
      <c r="AB570" s="2">
        <f ca="1"/>
        <v>9.5309381237524818E-2</v>
      </c>
      <c r="AC570" s="2">
        <f ca="1"/>
        <v>5.5340771015133211E-2</v>
      </c>
      <c r="AD570" s="2">
        <f ca="1"/>
        <v>0.12530465949820777</v>
      </c>
      <c r="AE570" s="2">
        <f ca="1"/>
        <v>-1.4241018448592008E-2</v>
      </c>
      <c r="AF570" s="2">
        <f ca="1"/>
        <v>1.6828761982674585E-3</v>
      </c>
      <c r="AG570" s="26" t="str">
        <f ca="1"/>
        <v/>
      </c>
      <c r="AH570" s="26">
        <f ca="1"/>
        <v>-3.9000000000000003E-3</v>
      </c>
    </row>
    <row r="571" spans="1:34">
      <c r="A571" s="5">
        <f ca="1"/>
        <v>46171</v>
      </c>
      <c r="B571" s="2">
        <f ca="1"/>
        <v>3.1792028282411698E-2</v>
      </c>
      <c r="C571" s="2">
        <f ca="1"/>
        <v>9.7068375737685508E-2</v>
      </c>
      <c r="D571" s="2">
        <f ca="1"/>
        <v>5.2091138710926431E-2</v>
      </c>
      <c r="E571" s="2">
        <f ca="1"/>
        <v>3.1143900135296031E-3</v>
      </c>
      <c r="F571" s="2">
        <f ca="1"/>
        <v>4.2492449038764674E-2</v>
      </c>
      <c r="G571" s="2">
        <f ca="1"/>
        <v>2.2117250452867193E-2</v>
      </c>
      <c r="H571" s="2">
        <f ca="1"/>
        <v>0.13399203652330832</v>
      </c>
      <c r="I571" s="2">
        <f ca="1"/>
        <v>2.5693014892751873E-2</v>
      </c>
      <c r="J571" s="2">
        <f ca="1"/>
        <v>0.25378834627016605</v>
      </c>
      <c r="K571" s="2">
        <f ca="1"/>
        <v>1.1071097653003856E-2</v>
      </c>
      <c r="L571" s="2">
        <f ca="1"/>
        <v>-1.4500843543694599E-3</v>
      </c>
      <c r="M571" s="2">
        <f ca="1"/>
        <v>8.3019270425940414E-2</v>
      </c>
      <c r="N571" s="2">
        <f ca="1"/>
        <v>4.6529250323163976E-2</v>
      </c>
      <c r="O571" s="2">
        <f ca="1"/>
        <v>3.5155158750520187E-2</v>
      </c>
      <c r="P571" s="2">
        <f ca="1"/>
        <v>8.0913793379562324E-2</v>
      </c>
      <c r="Q571" s="2">
        <f ca="1"/>
        <v>3.8262514846801744E-2</v>
      </c>
      <c r="R571" s="2">
        <f ca="1"/>
        <v>0.12708093722978248</v>
      </c>
      <c r="S571" s="2">
        <f ca="1"/>
        <v>2.0524134492536834E-2</v>
      </c>
      <c r="T571" s="2">
        <f ca="1"/>
        <v>5.2632772066374039E-2</v>
      </c>
      <c r="U571" s="2">
        <f ca="1"/>
        <v>5.101082425978215E-2</v>
      </c>
      <c r="V571" s="2">
        <f ca="1"/>
        <v>7.2020386088502419E-2</v>
      </c>
      <c r="W571" s="2">
        <f ca="1"/>
        <v>2.9467313713445117E-2</v>
      </c>
      <c r="X571" s="2">
        <f ca="1"/>
        <v>7.7311530599975947E-2</v>
      </c>
      <c r="Y571" s="2">
        <f ca="1"/>
        <v>2.4518812264242153E-2</v>
      </c>
      <c r="Z571" s="2">
        <f ca="1"/>
        <v>0.11208535812381142</v>
      </c>
      <c r="AA571" s="2">
        <f ca="1"/>
        <v>2.0710059171597576E-2</v>
      </c>
      <c r="AB571" s="2">
        <f ca="1"/>
        <v>4.0546697038724412E-2</v>
      </c>
      <c r="AC571" s="2">
        <f ca="1"/>
        <v>2.5957714046472475E-2</v>
      </c>
      <c r="AD571" s="2">
        <f ca="1"/>
        <v>6.3447572939228078E-2</v>
      </c>
      <c r="AE571" s="2">
        <f ca="1"/>
        <v>-1.5760096311699657E-2</v>
      </c>
      <c r="AF571" s="2">
        <f ca="1"/>
        <v>2.9310571727959988E-3</v>
      </c>
      <c r="AG571" s="26" t="str">
        <f ca="1"/>
        <v/>
      </c>
      <c r="AH571" s="26">
        <f ca="1"/>
        <v>-1.49E-2</v>
      </c>
    </row>
    <row r="572" spans="1:34">
      <c r="A572" s="5">
        <f ca="1"/>
        <v>46203</v>
      </c>
      <c r="B572" s="2">
        <f ca="1"/>
        <v>-9.427038477248113E-3</v>
      </c>
      <c r="C572" s="2">
        <f ca="1"/>
        <v>1.2078061369496847E-2</v>
      </c>
      <c r="D572" s="2">
        <f ca="1"/>
        <v>9.2847755276601431E-4</v>
      </c>
      <c r="E572" s="2">
        <f ca="1"/>
        <v>-7.3800738007370823E-4</v>
      </c>
      <c r="F572" s="2">
        <f ca="1"/>
        <v>-8.5780547935818911E-3</v>
      </c>
      <c r="G572" s="2">
        <f ca="1"/>
        <v>-1.0290729258022102E-2</v>
      </c>
      <c r="H572" s="2">
        <f ca="1"/>
        <v>6.1410034742816547E-3</v>
      </c>
      <c r="I572" s="2">
        <f ca="1"/>
        <v>-9.3179412568612872E-3</v>
      </c>
      <c r="J572" s="2">
        <f ca="1"/>
        <v>1.9666058619052233E-2</v>
      </c>
      <c r="K572" s="2">
        <f ca="1"/>
        <v>8.9280653024198964E-4</v>
      </c>
      <c r="L572" s="2">
        <f ca="1"/>
        <v>-1.1698718949676157E-2</v>
      </c>
      <c r="M572" s="2">
        <f ca="1"/>
        <v>5.9781359771511238E-3</v>
      </c>
      <c r="N572" s="2">
        <f ca="1"/>
        <v>-2.3912673108282814E-3</v>
      </c>
      <c r="O572" s="2">
        <f ca="1"/>
        <v>-1.4699787544284462E-2</v>
      </c>
      <c r="P572" s="2">
        <f ca="1"/>
        <v>2.8075945803794056E-3</v>
      </c>
      <c r="Q572" s="2">
        <f ca="1"/>
        <v>-1.8448752769190059E-3</v>
      </c>
      <c r="R572" s="2">
        <f ca="1"/>
        <v>1.3817041514436138E-3</v>
      </c>
      <c r="S572" s="2">
        <f ca="1"/>
        <v>4.0647775059512907E-3</v>
      </c>
      <c r="T572" s="2">
        <f ca="1"/>
        <v>9.3016995617060494E-4</v>
      </c>
      <c r="U572" s="2">
        <f ca="1"/>
        <v>2.6961358937743827E-3</v>
      </c>
      <c r="V572" s="2">
        <f ca="1"/>
        <v>5.0606770959406378E-3</v>
      </c>
      <c r="W572" s="2">
        <f ca="1"/>
        <v>-4.5419059051169395E-3</v>
      </c>
      <c r="X572" s="2">
        <f ca="1"/>
        <v>4.6874625342232558E-3</v>
      </c>
      <c r="Y572" s="2">
        <f ca="1"/>
        <v>-1.4633311959743728E-3</v>
      </c>
      <c r="Z572" s="2">
        <f ca="1"/>
        <v>1.1288432918526969E-2</v>
      </c>
      <c r="AA572" s="2">
        <f ca="1"/>
        <v>1.7080682158224845E-3</v>
      </c>
      <c r="AB572" s="2">
        <f ca="1"/>
        <v>-1.4594546271843901E-3</v>
      </c>
      <c r="AC572" s="2">
        <f ca="1"/>
        <v>-2.7545398898182389E-3</v>
      </c>
      <c r="AD572" s="2">
        <f ca="1"/>
        <v>2.0127010014123738E-2</v>
      </c>
      <c r="AE572" s="2">
        <f ca="1"/>
        <v>-8.5621743343782027E-3</v>
      </c>
      <c r="AF572" s="2">
        <f ca="1"/>
        <v>4.7254854627665086E-4</v>
      </c>
      <c r="AG572" s="26" t="str">
        <f ca="1"/>
        <v/>
      </c>
      <c r="AH572" s="26">
        <f ca="1"/>
        <v>-1.1699999999999999E-2</v>
      </c>
    </row>
    <row r="573" spans="1:34">
      <c r="A573" s="1" t="str">
        <f ca="1"/>
        <v/>
      </c>
      <c r="B573" s="2" t="str">
        <f ca="1"/>
        <v/>
      </c>
      <c r="C573" s="2" t="str">
        <f ca="1"/>
        <v/>
      </c>
      <c r="D573" s="2" t="str">
        <f ca="1"/>
        <v/>
      </c>
      <c r="E573" s="2" t="str">
        <f ca="1"/>
        <v/>
      </c>
      <c r="F573" s="2" t="str">
        <f ca="1"/>
        <v/>
      </c>
      <c r="G573" s="2" t="str">
        <f ca="1"/>
        <v/>
      </c>
      <c r="H573" s="2" t="str">
        <f ca="1"/>
        <v/>
      </c>
      <c r="I573" s="2" t="str">
        <f ca="1"/>
        <v/>
      </c>
      <c r="J573" s="2" t="str">
        <f ca="1"/>
        <v/>
      </c>
      <c r="K573" s="2" t="str">
        <f ca="1"/>
        <v/>
      </c>
      <c r="L573" s="2" t="str">
        <f ca="1"/>
        <v/>
      </c>
      <c r="M573" s="2" t="str">
        <f ca="1"/>
        <v/>
      </c>
      <c r="N573" s="2" t="str">
        <f ca="1"/>
        <v/>
      </c>
      <c r="O573" s="2" t="str">
        <f ca="1"/>
        <v/>
      </c>
      <c r="P573" s="2" t="str">
        <f ca="1"/>
        <v/>
      </c>
      <c r="Q573" s="2" t="str">
        <f ca="1"/>
        <v/>
      </c>
      <c r="R573" s="2" t="str">
        <f ca="1"/>
        <v/>
      </c>
      <c r="S573" s="2" t="str">
        <f ca="1"/>
        <v/>
      </c>
      <c r="T573" s="2" t="str">
        <f ca="1"/>
        <v/>
      </c>
      <c r="U573" s="2" t="str">
        <f ca="1"/>
        <v/>
      </c>
      <c r="V573" s="2" t="str">
        <f ca="1"/>
        <v/>
      </c>
      <c r="W573" s="2" t="str">
        <f ca="1"/>
        <v/>
      </c>
      <c r="X573" s="2" t="str">
        <f ca="1"/>
        <v/>
      </c>
      <c r="Y573" s="2" t="str">
        <f ca="1"/>
        <v/>
      </c>
      <c r="Z573" s="2" t="str">
        <f ca="1"/>
        <v/>
      </c>
      <c r="AA573" s="2" t="str">
        <f ca="1"/>
        <v/>
      </c>
      <c r="AB573" s="2" t="str">
        <f ca="1"/>
        <v/>
      </c>
      <c r="AC573" s="2" t="str">
        <f ca="1"/>
        <v/>
      </c>
      <c r="AD573" s="2" t="str">
        <f ca="1"/>
        <v/>
      </c>
      <c r="AE573" s="2" t="str">
        <f ca="1"/>
        <v/>
      </c>
      <c r="AF573" s="2" t="str">
        <f ca="1"/>
        <v/>
      </c>
      <c r="AG573" s="26" t="str">
        <f ca="1"/>
        <v/>
      </c>
      <c r="AH573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56E5D-5E8A-4475-AD3B-A92F98F85EA1}">
  <dimension ref="A1:Z952"/>
  <sheetViews>
    <sheetView workbookViewId="0">
      <selection activeCell="I24" sqref="I24"/>
    </sheetView>
  </sheetViews>
  <sheetFormatPr defaultRowHeight="15"/>
  <cols>
    <col min="1" max="1" width="9.85546875" style="1" bestFit="1" customWidth="1"/>
    <col min="2" max="2" width="11.140625" style="1" bestFit="1" customWidth="1"/>
    <col min="3" max="5" width="8.7109375" style="1"/>
    <col min="6" max="6" width="12" style="1" customWidth="1"/>
    <col min="7" max="7" width="8.7109375" style="1"/>
    <col min="8" max="8" width="8.85546875" style="1" bestFit="1" customWidth="1"/>
    <col min="9" max="9" width="7.85546875" style="1" bestFit="1" customWidth="1"/>
    <col min="10" max="14" width="8.85546875" style="1" bestFit="1" customWidth="1"/>
    <col min="15" max="15" width="12" style="1" customWidth="1"/>
    <col min="16" max="17" width="8.85546875" style="1" bestFit="1" customWidth="1"/>
    <col min="18" max="18" width="12.140625" style="1" bestFit="1" customWidth="1"/>
    <col min="19" max="19" width="12.140625" style="1" customWidth="1"/>
    <col min="20" max="26" width="9.28515625" style="1" bestFit="1" customWidth="1"/>
    <col min="27" max="16384" width="9.140625" style="1"/>
  </cols>
  <sheetData>
    <row r="1" spans="1:26" ht="30">
      <c r="B1" s="21" t="s">
        <v>87</v>
      </c>
      <c r="C1" s="3" t="s">
        <v>99</v>
      </c>
      <c r="D1" s="3" t="s">
        <v>88</v>
      </c>
      <c r="E1" s="3" t="s">
        <v>89</v>
      </c>
      <c r="F1" s="3" t="s">
        <v>90</v>
      </c>
      <c r="H1" s="3" t="s">
        <v>35</v>
      </c>
      <c r="I1" s="3" t="s">
        <v>36</v>
      </c>
      <c r="J1" s="3" t="s">
        <v>33</v>
      </c>
      <c r="K1" s="3" t="s">
        <v>32</v>
      </c>
      <c r="L1" s="3" t="s">
        <v>34</v>
      </c>
      <c r="M1" s="3" t="s">
        <v>37</v>
      </c>
      <c r="N1" s="3" t="s">
        <v>38</v>
      </c>
      <c r="O1" s="3" t="s">
        <v>91</v>
      </c>
      <c r="P1" s="3" t="s">
        <v>92</v>
      </c>
      <c r="Q1" s="3" t="s">
        <v>41</v>
      </c>
      <c r="R1" s="3"/>
      <c r="S1" s="3" t="s">
        <v>100</v>
      </c>
      <c r="T1" s="3" t="s">
        <v>81</v>
      </c>
      <c r="U1" s="3" t="s">
        <v>82</v>
      </c>
      <c r="V1" s="3" t="s">
        <v>83</v>
      </c>
      <c r="W1" s="3" t="s">
        <v>84</v>
      </c>
      <c r="X1" s="3" t="s">
        <v>85</v>
      </c>
      <c r="Y1" s="3" t="s">
        <v>86</v>
      </c>
      <c r="Z1" s="3" t="s">
        <v>44</v>
      </c>
    </row>
    <row r="2" spans="1:26">
      <c r="A2" s="22">
        <v>32173</v>
      </c>
      <c r="B2" s="25" t="s">
        <v>45</v>
      </c>
      <c r="C2" s="25" t="s">
        <v>46</v>
      </c>
      <c r="D2" s="25" t="s">
        <v>41</v>
      </c>
      <c r="E2" s="25" t="s">
        <v>41</v>
      </c>
      <c r="F2" s="25" t="s">
        <v>39</v>
      </c>
      <c r="H2" s="23">
        <f ca="1">'Index Data'!E111</f>
        <v>3.5152118459528439E-2</v>
      </c>
      <c r="I2" s="23">
        <f ca="1">'Index Data'!D111</f>
        <v>2.5330000000000012E-2</v>
      </c>
      <c r="J2" s="23">
        <f ca="1">'Index Data'!B111</f>
        <v>1.8080625709967636E-2</v>
      </c>
      <c r="K2" s="23">
        <f ca="1">'Index Data'!C111</f>
        <v>9.8400000000000043E-2</v>
      </c>
      <c r="L2" s="23">
        <f ca="1">'Index Data'!AH111</f>
        <v>-7.0999999999999994E-2</v>
      </c>
      <c r="M2" s="23">
        <f ca="1">'Index Data'!V111</f>
        <v>1.16754408459413E-2</v>
      </c>
      <c r="N2" s="23">
        <f ca="1">'Index Data'!W111</f>
        <v>7.7691642692138699E-2</v>
      </c>
      <c r="O2" s="23">
        <f ca="1">'Index Data'!R111</f>
        <v>4.4672771945490327E-4</v>
      </c>
      <c r="P2" s="23" t="str">
        <f ca="1">'Index Data'!S111</f>
        <v/>
      </c>
      <c r="Q2" s="23">
        <f ca="1">'Index Data'!U111</f>
        <v>4.49375793482861E-2</v>
      </c>
      <c r="R2" s="24"/>
      <c r="S2" s="23">
        <f ca="1">IF(B2="OW",0.8*I2+0.2*H2,IF(B2="NW",0.6*I2+0.4*H2,0.4*I2+0.6*H2))</f>
        <v>2.7294423691905698E-2</v>
      </c>
      <c r="T2" s="2">
        <f t="shared" ref="T2:T65" ca="1" si="0">IF(C2="R1G",M2,N2)</f>
        <v>1.16754408459413E-2</v>
      </c>
      <c r="U2" s="2">
        <f t="shared" ref="U2:U65" ca="1" si="1">IF(E2="EAFE",J2,T2)</f>
        <v>1.16754408459413E-2</v>
      </c>
      <c r="V2" s="2">
        <f t="shared" ref="V2:V65" ca="1" si="2">IF(D2="EM",K2,T2)</f>
        <v>1.16754408459413E-2</v>
      </c>
      <c r="W2" s="2">
        <f t="shared" ref="W2:W65" ca="1" si="3">IF(F2="MTM",O2,IF(F2="MVL",P2,Y2))</f>
        <v>4.4672771945490327E-4</v>
      </c>
      <c r="X2" s="2">
        <v>7.1798619886842274E-3</v>
      </c>
      <c r="Y2" s="2">
        <f ca="1">0.25*U2+0.1*V2+0.65*T2</f>
        <v>1.1675440845941302E-2</v>
      </c>
      <c r="Z2" s="2">
        <f t="shared" ref="Z2:Z65" ca="1" si="4">0.2*X2+0.075*W2+0.1*V2+0.25*U2+0.375*T2</f>
        <v>9.9341715900034058E-3</v>
      </c>
    </row>
    <row r="3" spans="1:26">
      <c r="A3" s="22">
        <v>32202</v>
      </c>
      <c r="B3" s="25" t="s">
        <v>45</v>
      </c>
      <c r="C3" s="25" t="s">
        <v>47</v>
      </c>
      <c r="D3" s="25" t="s">
        <v>41</v>
      </c>
      <c r="E3" s="25" t="s">
        <v>41</v>
      </c>
      <c r="F3" s="25" t="s">
        <v>39</v>
      </c>
      <c r="H3" s="23">
        <f ca="1">'Index Data'!E112</f>
        <v>1.1870417117441967E-2</v>
      </c>
      <c r="I3" s="23">
        <f ca="1">'Index Data'!D112</f>
        <v>5.8078862415027341E-2</v>
      </c>
      <c r="J3" s="23">
        <f ca="1">'Index Data'!B112</f>
        <v>6.6914815240293815E-2</v>
      </c>
      <c r="K3" s="23">
        <f ca="1">'Index Data'!C112</f>
        <v>3.3685360524398247E-3</v>
      </c>
      <c r="L3" s="23">
        <f ca="1">'Index Data'!AH112</f>
        <v>-4.9100000000000005E-2</v>
      </c>
      <c r="M3" s="23">
        <f ca="1">'Index Data'!V112</f>
        <v>5.4497741064905264E-2</v>
      </c>
      <c r="N3" s="23">
        <f ca="1">'Index Data'!W112</f>
        <v>4.4317031153426223E-2</v>
      </c>
      <c r="O3" s="23">
        <f ca="1">'Index Data'!R112</f>
        <v>5.5592766242464883E-2</v>
      </c>
      <c r="P3" s="23" t="str">
        <f ca="1">'Index Data'!S112</f>
        <v/>
      </c>
      <c r="Q3" s="23">
        <f ca="1">'Index Data'!U112</f>
        <v>4.9155845799478612E-2</v>
      </c>
      <c r="R3" s="24"/>
      <c r="S3" s="23">
        <f t="shared" ref="S3:S66" ca="1" si="5">IF(B3="OW",0.8*I3+0.2*H3,IF(B3="NW",0.6*I3+0.4*H3,0.4*I3+0.6*H3))</f>
        <v>4.8837173355510272E-2</v>
      </c>
      <c r="T3" s="2">
        <f t="shared" ca="1" si="0"/>
        <v>4.4317031153426223E-2</v>
      </c>
      <c r="U3" s="2">
        <f t="shared" ca="1" si="1"/>
        <v>4.4317031153426223E-2</v>
      </c>
      <c r="V3" s="2">
        <f t="shared" ca="1" si="2"/>
        <v>4.4317031153426223E-2</v>
      </c>
      <c r="W3" s="2">
        <f t="shared" ca="1" si="3"/>
        <v>5.5592766242464883E-2</v>
      </c>
      <c r="X3" s="2">
        <v>5.7951077696229952E-2</v>
      </c>
      <c r="Y3" s="2">
        <f t="shared" ref="Y3:Y66" ca="1" si="6">0.25*U3+0.1*V3+0.65*T3</f>
        <v>4.4317031153426223E-2</v>
      </c>
      <c r="Z3" s="2">
        <f t="shared" ca="1" si="4"/>
        <v>4.7889520593664872E-2</v>
      </c>
    </row>
    <row r="4" spans="1:26">
      <c r="A4" s="22">
        <v>32233</v>
      </c>
      <c r="B4" s="25" t="s">
        <v>45</v>
      </c>
      <c r="C4" s="25" t="s">
        <v>47</v>
      </c>
      <c r="D4" s="25" t="s">
        <v>41</v>
      </c>
      <c r="E4" s="25" t="s">
        <v>41</v>
      </c>
      <c r="F4" s="25" t="s">
        <v>39</v>
      </c>
      <c r="H4" s="23">
        <f ca="1">'Index Data'!E113</f>
        <v>-9.3849306524901796E-3</v>
      </c>
      <c r="I4" s="23">
        <f ca="1">'Index Data'!D113</f>
        <v>3.1100213848536205E-2</v>
      </c>
      <c r="J4" s="23">
        <f ca="1">'Index Data'!B113</f>
        <v>6.1675477264917025E-2</v>
      </c>
      <c r="K4" s="23">
        <f ca="1">'Index Data'!C113</f>
        <v>0.10743126758007444</v>
      </c>
      <c r="L4" s="23">
        <f ca="1">'Index Data'!AH113</f>
        <v>5.21E-2</v>
      </c>
      <c r="M4" s="23">
        <f ca="1">'Index Data'!V113</f>
        <v>-3.36104748168886E-2</v>
      </c>
      <c r="N4" s="23">
        <f ca="1">'Index Data'!W113</f>
        <v>-1.9367106141311836E-2</v>
      </c>
      <c r="O4" s="23">
        <f ca="1">'Index Data'!R113</f>
        <v>-4.0186125211505892E-2</v>
      </c>
      <c r="P4" s="23" t="str">
        <f ca="1">'Index Data'!S113</f>
        <v/>
      </c>
      <c r="Q4" s="23">
        <f ca="1">'Index Data'!U113</f>
        <v>-2.6273251465656556E-2</v>
      </c>
      <c r="R4" s="24"/>
      <c r="S4" s="23">
        <f t="shared" ca="1" si="5"/>
        <v>2.3003184948330927E-2</v>
      </c>
      <c r="T4" s="2">
        <f t="shared" ca="1" si="0"/>
        <v>-1.9367106141311836E-2</v>
      </c>
      <c r="U4" s="2">
        <f t="shared" ca="1" si="1"/>
        <v>-1.9367106141311836E-2</v>
      </c>
      <c r="V4" s="2">
        <f t="shared" ca="1" si="2"/>
        <v>-1.9367106141311836E-2</v>
      </c>
      <c r="W4" s="2">
        <f t="shared" ca="1" si="3"/>
        <v>-4.0186125211505892E-2</v>
      </c>
      <c r="X4" s="2">
        <v>-8.9815977784852199E-3</v>
      </c>
      <c r="Y4" s="2">
        <f t="shared" ca="1" si="6"/>
        <v>-1.9367106141311836E-2</v>
      </c>
      <c r="Z4" s="2">
        <f t="shared" ca="1" si="4"/>
        <v>-1.8851430899011069E-2</v>
      </c>
    </row>
    <row r="5" spans="1:26">
      <c r="A5" s="22">
        <v>32263</v>
      </c>
      <c r="B5" s="25" t="s">
        <v>45</v>
      </c>
      <c r="C5" s="25" t="s">
        <v>47</v>
      </c>
      <c r="D5" s="25" t="s">
        <v>41</v>
      </c>
      <c r="E5" s="25" t="s">
        <v>41</v>
      </c>
      <c r="F5" s="25" t="s">
        <v>39</v>
      </c>
      <c r="H5" s="23">
        <f ca="1">'Index Data'!E114</f>
        <v>-5.3964922800180219E-3</v>
      </c>
      <c r="I5" s="23">
        <f ca="1">'Index Data'!D114</f>
        <v>1.2980279272675244E-2</v>
      </c>
      <c r="J5" s="23">
        <f ca="1">'Index Data'!B114</f>
        <v>1.471672446147583E-2</v>
      </c>
      <c r="K5" s="23">
        <f ca="1">'Index Data'!C114</f>
        <v>5.3338795575583825E-2</v>
      </c>
      <c r="L5" s="23">
        <f ca="1">'Index Data'!AH114</f>
        <v>-4.0000000000000001E-3</v>
      </c>
      <c r="M5" s="23">
        <f ca="1">'Index Data'!V114</f>
        <v>1.5655863633038162E-3</v>
      </c>
      <c r="N5" s="23">
        <f ca="1">'Index Data'!W114</f>
        <v>1.4510433386837825E-2</v>
      </c>
      <c r="O5" s="23">
        <f ca="1">'Index Data'!R114</f>
        <v>3.9665050683120248E-3</v>
      </c>
      <c r="P5" s="23" t="str">
        <f ca="1">'Index Data'!S114</f>
        <v/>
      </c>
      <c r="Q5" s="23">
        <f ca="1">'Index Data'!U114</f>
        <v>8.2011892963330078E-3</v>
      </c>
      <c r="R5" s="24"/>
      <c r="S5" s="23">
        <f t="shared" ca="1" si="5"/>
        <v>9.3049249621365918E-3</v>
      </c>
      <c r="T5" s="2">
        <f t="shared" ca="1" si="0"/>
        <v>1.4510433386837825E-2</v>
      </c>
      <c r="U5" s="2">
        <f t="shared" ca="1" si="1"/>
        <v>1.4510433386837825E-2</v>
      </c>
      <c r="V5" s="2">
        <f t="shared" ca="1" si="2"/>
        <v>1.4510433386837825E-2</v>
      </c>
      <c r="W5" s="2">
        <f t="shared" ca="1" si="3"/>
        <v>3.9665050683120248E-3</v>
      </c>
      <c r="X5" s="2">
        <v>6.4158962641179193E-3</v>
      </c>
      <c r="Y5" s="2">
        <f t="shared" ca="1" si="6"/>
        <v>1.4510433386837825E-2</v>
      </c>
      <c r="Z5" s="2">
        <f t="shared" ca="1" si="4"/>
        <v>1.2100731338404409E-2</v>
      </c>
    </row>
    <row r="6" spans="1:26">
      <c r="A6" s="22">
        <v>32294</v>
      </c>
      <c r="B6" s="25" t="s">
        <v>45</v>
      </c>
      <c r="C6" s="25" t="s">
        <v>47</v>
      </c>
      <c r="D6" s="25" t="s">
        <v>41</v>
      </c>
      <c r="E6" s="25" t="s">
        <v>41</v>
      </c>
      <c r="F6" s="25" t="s">
        <v>39</v>
      </c>
      <c r="H6" s="23">
        <f ca="1">'Index Data'!E115</f>
        <v>-6.7219291635268073E-3</v>
      </c>
      <c r="I6" s="23">
        <f ca="1">'Index Data'!D115</f>
        <v>-1.952097710785948E-2</v>
      </c>
      <c r="J6" s="23">
        <f ca="1">'Index Data'!B115</f>
        <v>-3.1832651749425359E-2</v>
      </c>
      <c r="K6" s="23">
        <f ca="1">'Index Data'!C115</f>
        <v>2.9947106409458572E-2</v>
      </c>
      <c r="L6" s="23">
        <f ca="1">'Index Data'!AH115</f>
        <v>5.3E-3</v>
      </c>
      <c r="M6" s="23">
        <f ca="1">'Index Data'!V115</f>
        <v>-3.6083679074387877E-3</v>
      </c>
      <c r="N6" s="23">
        <f ca="1">'Index Data'!W115</f>
        <v>1.4556040756914192E-2</v>
      </c>
      <c r="O6" s="23">
        <f ca="1">'Index Data'!R115</f>
        <v>6.3652326602282516E-3</v>
      </c>
      <c r="P6" s="23" t="str">
        <f ca="1">'Index Data'!S115</f>
        <v/>
      </c>
      <c r="Q6" s="23">
        <f ca="1">'Index Data'!U115</f>
        <v>6.0209874419404497E-3</v>
      </c>
      <c r="R6" s="24"/>
      <c r="S6" s="23">
        <f t="shared" ca="1" si="5"/>
        <v>-1.6961167518992949E-2</v>
      </c>
      <c r="T6" s="2">
        <f t="shared" ca="1" si="0"/>
        <v>1.4556040756914192E-2</v>
      </c>
      <c r="U6" s="2">
        <f t="shared" ca="1" si="1"/>
        <v>1.4556040756914192E-2</v>
      </c>
      <c r="V6" s="2">
        <f t="shared" ca="1" si="2"/>
        <v>1.4556040756914192E-2</v>
      </c>
      <c r="W6" s="2">
        <f t="shared" ca="1" si="3"/>
        <v>6.3652326602282516E-3</v>
      </c>
      <c r="X6" s="2">
        <v>-2.7089108651139364E-3</v>
      </c>
      <c r="Y6" s="2">
        <f t="shared" ca="1" si="6"/>
        <v>1.4556040756914192E-2</v>
      </c>
      <c r="Z6" s="2">
        <f t="shared" ca="1" si="4"/>
        <v>1.048873982525712E-2</v>
      </c>
    </row>
    <row r="7" spans="1:26">
      <c r="A7" s="22">
        <v>32324</v>
      </c>
      <c r="B7" s="25" t="s">
        <v>45</v>
      </c>
      <c r="C7" s="25" t="s">
        <v>47</v>
      </c>
      <c r="D7" s="25" t="s">
        <v>41</v>
      </c>
      <c r="E7" s="25" t="s">
        <v>41</v>
      </c>
      <c r="F7" s="25" t="s">
        <v>39</v>
      </c>
      <c r="H7" s="23">
        <f ca="1">'Index Data'!E116</f>
        <v>2.4126001456664381E-2</v>
      </c>
      <c r="I7" s="23">
        <f ca="1">'Index Data'!D116</f>
        <v>-7.9206494932591734E-4</v>
      </c>
      <c r="J7" s="23">
        <f ca="1">'Index Data'!B116</f>
        <v>-2.6152966448761351E-2</v>
      </c>
      <c r="K7" s="23">
        <f ca="1">'Index Data'!C116</f>
        <v>3.3985348538630014E-2</v>
      </c>
      <c r="L7" s="23">
        <f ca="1">'Index Data'!AH116</f>
        <v>-3.7999999999999999E-2</v>
      </c>
      <c r="M7" s="23">
        <f ca="1">'Index Data'!V116</f>
        <v>5.5904992302617147E-2</v>
      </c>
      <c r="N7" s="23">
        <f ca="1">'Index Data'!W116</f>
        <v>4.7245960950658E-2</v>
      </c>
      <c r="O7" s="23">
        <f ca="1">'Index Data'!R116</f>
        <v>3.6205016357688038E-2</v>
      </c>
      <c r="P7" s="23">
        <f ca="1">'Index Data'!S116</f>
        <v>3.5935779284762007E-2</v>
      </c>
      <c r="Q7" s="23">
        <f ca="1">'Index Data'!U116</f>
        <v>5.129958960328318E-2</v>
      </c>
      <c r="R7" s="24"/>
      <c r="S7" s="23">
        <f t="shared" ca="1" si="5"/>
        <v>4.1915483318721424E-3</v>
      </c>
      <c r="T7" s="2">
        <f t="shared" ca="1" si="0"/>
        <v>4.7245960950658E-2</v>
      </c>
      <c r="U7" s="2">
        <f t="shared" ca="1" si="1"/>
        <v>4.7245960950658E-2</v>
      </c>
      <c r="V7" s="2">
        <f t="shared" ca="1" si="2"/>
        <v>4.7245960950658E-2</v>
      </c>
      <c r="W7" s="2">
        <f t="shared" ca="1" si="3"/>
        <v>3.6205016357688038E-2</v>
      </c>
      <c r="X7" s="2">
        <v>2.698399858999757E-2</v>
      </c>
      <c r="Y7" s="2">
        <f t="shared" ca="1" si="6"/>
        <v>4.7245960950658E-2</v>
      </c>
      <c r="Z7" s="2">
        <f t="shared" ca="1" si="4"/>
        <v>4.2365497634053173E-2</v>
      </c>
    </row>
    <row r="8" spans="1:26">
      <c r="A8" s="22">
        <v>32355</v>
      </c>
      <c r="B8" s="25" t="s">
        <v>45</v>
      </c>
      <c r="C8" s="25" t="s">
        <v>47</v>
      </c>
      <c r="D8" s="25" t="s">
        <v>41</v>
      </c>
      <c r="E8" s="25" t="s">
        <v>41</v>
      </c>
      <c r="F8" s="25" t="s">
        <v>39</v>
      </c>
      <c r="H8" s="23">
        <f ca="1">'Index Data'!E117</f>
        <v>-5.244910658725334E-3</v>
      </c>
      <c r="I8" s="23">
        <f ca="1">'Index Data'!D117</f>
        <v>1.874538346514857E-2</v>
      </c>
      <c r="J8" s="23">
        <f ca="1">'Index Data'!B117</f>
        <v>3.1579922913249479E-2</v>
      </c>
      <c r="K8" s="23">
        <f ca="1">'Index Data'!C117</f>
        <v>-2.5418157913958003E-2</v>
      </c>
      <c r="L8" s="23">
        <f ca="1">'Index Data'!AH117</f>
        <v>-3.7000000000000002E-3</v>
      </c>
      <c r="M8" s="23">
        <f ca="1">'Index Data'!V117</f>
        <v>-1.641256352578525E-2</v>
      </c>
      <c r="N8" s="23">
        <f ca="1">'Index Data'!W117</f>
        <v>3.097376760145155E-4</v>
      </c>
      <c r="O8" s="23">
        <f ca="1">'Index Data'!R117</f>
        <v>-9.4716901704903333E-3</v>
      </c>
      <c r="P8" s="23">
        <f ca="1">'Index Data'!S117</f>
        <v>-3.468919599395603E-3</v>
      </c>
      <c r="Q8" s="23">
        <f ca="1">'Index Data'!U117</f>
        <v>-7.8074170461939155E-3</v>
      </c>
      <c r="R8" s="24"/>
      <c r="S8" s="23">
        <f t="shared" ca="1" si="5"/>
        <v>1.3947324640373789E-2</v>
      </c>
      <c r="T8" s="2">
        <f t="shared" ca="1" si="0"/>
        <v>3.097376760145155E-4</v>
      </c>
      <c r="U8" s="2">
        <f t="shared" ca="1" si="1"/>
        <v>3.097376760145155E-4</v>
      </c>
      <c r="V8" s="2">
        <f t="shared" ca="1" si="2"/>
        <v>3.097376760145155E-4</v>
      </c>
      <c r="W8" s="2">
        <f t="shared" ca="1" si="3"/>
        <v>-9.4716901704903333E-3</v>
      </c>
      <c r="X8" s="2">
        <v>1.0650150393214524E-2</v>
      </c>
      <c r="Y8" s="2">
        <f t="shared" ca="1" si="6"/>
        <v>3.097376760145155E-4</v>
      </c>
      <c r="Z8" s="2">
        <f t="shared" ca="1" si="4"/>
        <v>1.6442131309666534E-3</v>
      </c>
    </row>
    <row r="9" spans="1:26">
      <c r="A9" s="22">
        <v>32386</v>
      </c>
      <c r="B9" s="25" t="s">
        <v>45</v>
      </c>
      <c r="C9" s="25" t="s">
        <v>47</v>
      </c>
      <c r="D9" s="25" t="s">
        <v>41</v>
      </c>
      <c r="E9" s="25" t="s">
        <v>41</v>
      </c>
      <c r="F9" s="25" t="s">
        <v>39</v>
      </c>
      <c r="H9" s="23">
        <f ca="1">'Index Data'!E118</f>
        <v>2.621388144176335E-3</v>
      </c>
      <c r="I9" s="23">
        <f ca="1">'Index Data'!D118</f>
        <v>-5.4715062558026467E-2</v>
      </c>
      <c r="J9" s="23">
        <f ca="1">'Index Data'!B118</f>
        <v>-6.4822985161692895E-2</v>
      </c>
      <c r="K9" s="23">
        <f ca="1">'Index Data'!C118</f>
        <v>-2.6755602188413347E-2</v>
      </c>
      <c r="L9" s="23">
        <f ca="1">'Index Data'!AH118</f>
        <v>-4.5999999999999999E-3</v>
      </c>
      <c r="M9" s="23">
        <f ca="1">'Index Data'!V118</f>
        <v>-3.6605680727313843E-2</v>
      </c>
      <c r="N9" s="23">
        <f ca="1">'Index Data'!W118</f>
        <v>-1.9709889481707328E-2</v>
      </c>
      <c r="O9" s="23">
        <f ca="1">'Index Data'!R118</f>
        <v>-4.4836379090522724E-2</v>
      </c>
      <c r="P9" s="23">
        <f ca="1">'Index Data'!S118</f>
        <v>-1.9482342372691187E-2</v>
      </c>
      <c r="Q9" s="23">
        <f ca="1">'Index Data'!U118</f>
        <v>-2.7892271662763528E-2</v>
      </c>
      <c r="R9" s="24"/>
      <c r="S9" s="23">
        <f t="shared" ca="1" si="5"/>
        <v>-4.3247772417585914E-2</v>
      </c>
      <c r="T9" s="2">
        <f t="shared" ca="1" si="0"/>
        <v>-1.9709889481707328E-2</v>
      </c>
      <c r="U9" s="2">
        <f t="shared" ca="1" si="1"/>
        <v>-1.9709889481707328E-2</v>
      </c>
      <c r="V9" s="2">
        <f t="shared" ca="1" si="2"/>
        <v>-1.9709889481707328E-2</v>
      </c>
      <c r="W9" s="2">
        <f t="shared" ca="1" si="3"/>
        <v>-4.4836379090522724E-2</v>
      </c>
      <c r="X9" s="2">
        <v>-5.2667635047596417E-2</v>
      </c>
      <c r="Y9" s="2">
        <f t="shared" ca="1" si="6"/>
        <v>-1.9709889481707328E-2</v>
      </c>
      <c r="Z9" s="2">
        <f t="shared" ca="1" si="4"/>
        <v>-2.8185925315546301E-2</v>
      </c>
    </row>
    <row r="10" spans="1:26">
      <c r="A10" s="22">
        <v>32416</v>
      </c>
      <c r="B10" s="25" t="s">
        <v>45</v>
      </c>
      <c r="C10" s="25" t="s">
        <v>47</v>
      </c>
      <c r="D10" s="25" t="s">
        <v>41</v>
      </c>
      <c r="E10" s="25" t="s">
        <v>41</v>
      </c>
      <c r="F10" s="25" t="s">
        <v>39</v>
      </c>
      <c r="H10" s="23">
        <f ca="1">'Index Data'!E119</f>
        <v>2.263949135421001E-2</v>
      </c>
      <c r="I10" s="23">
        <f ca="1">'Index Data'!D119</f>
        <v>4.3205776983733533E-2</v>
      </c>
      <c r="J10" s="23">
        <f ca="1">'Index Data'!B119</f>
        <v>4.3894055230616721E-2</v>
      </c>
      <c r="K10" s="23">
        <f ca="1">'Index Data'!C119</f>
        <v>6.4762051440012292E-2</v>
      </c>
      <c r="L10" s="23">
        <f ca="1">'Index Data'!AH119</f>
        <v>-9.1499999999999998E-2</v>
      </c>
      <c r="M10" s="23">
        <f ca="1">'Index Data'!V119</f>
        <v>5.0818398956669605E-2</v>
      </c>
      <c r="N10" s="23">
        <f ca="1">'Index Data'!W119</f>
        <v>3.2558648087179336E-2</v>
      </c>
      <c r="O10" s="23">
        <f ca="1">'Index Data'!R119</f>
        <v>4.3826473859844242E-2</v>
      </c>
      <c r="P10" s="23">
        <f ca="1">'Index Data'!S119</f>
        <v>5.783325698579949E-2</v>
      </c>
      <c r="Q10" s="23">
        <f ca="1">'Index Data'!U119</f>
        <v>4.1436796839239794E-2</v>
      </c>
      <c r="R10" s="24"/>
      <c r="S10" s="23">
        <f t="shared" ca="1" si="5"/>
        <v>3.9092519857828835E-2</v>
      </c>
      <c r="T10" s="2">
        <f t="shared" ca="1" si="0"/>
        <v>3.2558648087179336E-2</v>
      </c>
      <c r="U10" s="2">
        <f t="shared" ca="1" si="1"/>
        <v>3.2558648087179336E-2</v>
      </c>
      <c r="V10" s="2">
        <f t="shared" ca="1" si="2"/>
        <v>3.2558648087179336E-2</v>
      </c>
      <c r="W10" s="2">
        <f t="shared" ca="1" si="3"/>
        <v>4.3826473859844242E-2</v>
      </c>
      <c r="X10" s="2">
        <v>4.7978589211852281E-2</v>
      </c>
      <c r="Y10" s="2">
        <f t="shared" ca="1" si="6"/>
        <v>3.2558648087179336E-2</v>
      </c>
      <c r="Z10" s="2">
        <f t="shared" ca="1" si="4"/>
        <v>3.6487723245063788E-2</v>
      </c>
    </row>
    <row r="11" spans="1:26">
      <c r="A11" s="22">
        <v>32447</v>
      </c>
      <c r="B11" s="25" t="s">
        <v>45</v>
      </c>
      <c r="C11" s="25" t="s">
        <v>47</v>
      </c>
      <c r="D11" s="25" t="s">
        <v>41</v>
      </c>
      <c r="E11" s="25" t="s">
        <v>41</v>
      </c>
      <c r="F11" s="25" t="s">
        <v>39</v>
      </c>
      <c r="H11" s="23">
        <f ca="1">'Index Data'!E120</f>
        <v>1.8826263800116264E-2</v>
      </c>
      <c r="I11" s="23">
        <f ca="1">'Index Data'!D120</f>
        <v>6.5661818768717684E-2</v>
      </c>
      <c r="J11" s="23">
        <f ca="1">'Index Data'!B120</f>
        <v>8.5797380619509075E-2</v>
      </c>
      <c r="K11" s="23">
        <f ca="1">'Index Data'!C120</f>
        <v>-6.4366818543430586E-3</v>
      </c>
      <c r="L11" s="23">
        <f ca="1">'Index Data'!AH120</f>
        <v>5.2499999999999998E-2</v>
      </c>
      <c r="M11" s="23">
        <f ca="1">'Index Data'!V120</f>
        <v>1.9480972235779805E-2</v>
      </c>
      <c r="N11" s="23">
        <f ca="1">'Index Data'!W120</f>
        <v>2.2672455378678326E-2</v>
      </c>
      <c r="O11" s="23">
        <f ca="1">'Index Data'!R120</f>
        <v>1.9820971867007667E-2</v>
      </c>
      <c r="P11" s="23">
        <f ca="1">'Index Data'!S120</f>
        <v>2.1597921403052833E-2</v>
      </c>
      <c r="Q11" s="23">
        <f ca="1">'Index Data'!U120</f>
        <v>2.1096948807513484E-2</v>
      </c>
      <c r="R11" s="24"/>
      <c r="S11" s="23">
        <f t="shared" ca="1" si="5"/>
        <v>5.6294707774997399E-2</v>
      </c>
      <c r="T11" s="2">
        <f t="shared" ca="1" si="0"/>
        <v>2.2672455378678326E-2</v>
      </c>
      <c r="U11" s="2">
        <f t="shared" ca="1" si="1"/>
        <v>2.2672455378678326E-2</v>
      </c>
      <c r="V11" s="2">
        <f t="shared" ca="1" si="2"/>
        <v>2.2672455378678326E-2</v>
      </c>
      <c r="W11" s="2">
        <f t="shared" ca="1" si="3"/>
        <v>1.9820971867007667E-2</v>
      </c>
      <c r="X11" s="2">
        <v>2.8152955529278073E-2</v>
      </c>
      <c r="Y11" s="2">
        <f t="shared" ca="1" si="6"/>
        <v>2.2672455378678326E-2</v>
      </c>
      <c r="Z11" s="2">
        <f t="shared" ca="1" si="4"/>
        <v>2.3554694145422977E-2</v>
      </c>
    </row>
    <row r="12" spans="1:26">
      <c r="A12" s="22">
        <v>32477</v>
      </c>
      <c r="B12" s="25" t="s">
        <v>45</v>
      </c>
      <c r="C12" s="25" t="s">
        <v>47</v>
      </c>
      <c r="D12" s="25" t="s">
        <v>41</v>
      </c>
      <c r="E12" s="25" t="s">
        <v>41</v>
      </c>
      <c r="F12" s="25" t="s">
        <v>39</v>
      </c>
      <c r="H12" s="23">
        <f ca="1">'Index Data'!E121</f>
        <v>-1.214782707881827E-2</v>
      </c>
      <c r="I12" s="23">
        <f ca="1">'Index Data'!D121</f>
        <v>3.3731878265698491E-2</v>
      </c>
      <c r="J12" s="23">
        <f ca="1">'Index Data'!B121</f>
        <v>5.9776570041298091E-2</v>
      </c>
      <c r="K12" s="23">
        <f ca="1">'Index Data'!C121</f>
        <v>-4.2946571553355902E-3</v>
      </c>
      <c r="L12" s="23">
        <f ca="1">'Index Data'!AH121</f>
        <v>2.3399999999999997E-2</v>
      </c>
      <c r="M12" s="23">
        <f ca="1">'Index Data'!V121</f>
        <v>-1.8862504787437829E-2</v>
      </c>
      <c r="N12" s="23">
        <f ca="1">'Index Data'!W121</f>
        <v>-1.2114588127013316E-2</v>
      </c>
      <c r="O12" s="23">
        <f ca="1">'Index Data'!R121</f>
        <v>-2.1734587251828613E-2</v>
      </c>
      <c r="P12" s="23">
        <f ca="1">'Index Data'!S121</f>
        <v>-1.3935251417368706E-2</v>
      </c>
      <c r="Q12" s="23">
        <f ca="1">'Index Data'!U121</f>
        <v>-1.5314560159489017E-2</v>
      </c>
      <c r="R12" s="24"/>
      <c r="S12" s="23">
        <f t="shared" ca="1" si="5"/>
        <v>2.4555937196795139E-2</v>
      </c>
      <c r="T12" s="2">
        <f t="shared" ca="1" si="0"/>
        <v>-1.2114588127013316E-2</v>
      </c>
      <c r="U12" s="2">
        <f t="shared" ca="1" si="1"/>
        <v>-1.2114588127013316E-2</v>
      </c>
      <c r="V12" s="2">
        <f t="shared" ca="1" si="2"/>
        <v>-1.2114588127013316E-2</v>
      </c>
      <c r="W12" s="2">
        <f t="shared" ca="1" si="3"/>
        <v>-2.1734587251828613E-2</v>
      </c>
      <c r="X12" s="2">
        <v>2.0420783188751131E-3</v>
      </c>
      <c r="Y12" s="2">
        <f t="shared" ca="1" si="6"/>
        <v>-1.2114588127013316E-2</v>
      </c>
      <c r="Z12" s="2">
        <f t="shared" ca="1" si="4"/>
        <v>-1.0004754772196778E-2</v>
      </c>
    </row>
    <row r="13" spans="1:26">
      <c r="A13" s="22">
        <v>32508</v>
      </c>
      <c r="B13" s="25" t="s">
        <v>45</v>
      </c>
      <c r="C13" s="25" t="s">
        <v>47</v>
      </c>
      <c r="D13" s="25" t="s">
        <v>41</v>
      </c>
      <c r="E13" s="25" t="s">
        <v>41</v>
      </c>
      <c r="F13" s="25" t="s">
        <v>39</v>
      </c>
      <c r="H13" s="23">
        <f ca="1">'Index Data'!E122</f>
        <v>1.125801050747608E-3</v>
      </c>
      <c r="I13" s="23">
        <f ca="1">'Index Data'!D122</f>
        <v>9.2220286835207766E-3</v>
      </c>
      <c r="J13" s="23">
        <f ca="1">'Index Data'!B122</f>
        <v>5.7532747324258518E-3</v>
      </c>
      <c r="K13" s="23">
        <f ca="1">'Index Data'!C122</f>
        <v>2.6610132319614122E-2</v>
      </c>
      <c r="L13" s="23">
        <f ca="1">'Index Data'!AH122</f>
        <v>-2.9399999999999999E-2</v>
      </c>
      <c r="M13" s="23">
        <f ca="1">'Index Data'!V122</f>
        <v>2.8342790224316544E-2</v>
      </c>
      <c r="N13" s="23">
        <f ca="1">'Index Data'!W122</f>
        <v>1.2065170554462148E-2</v>
      </c>
      <c r="O13" s="23">
        <f ca="1">'Index Data'!R122</f>
        <v>-2.990813928647737E-3</v>
      </c>
      <c r="P13" s="23">
        <f ca="1">'Index Data'!S122</f>
        <v>1.0263299301450817E-2</v>
      </c>
      <c r="Q13" s="23">
        <f ca="1">'Index Data'!U122</f>
        <v>1.9947083860577513E-2</v>
      </c>
      <c r="R13" s="24"/>
      <c r="S13" s="23">
        <f t="shared" ca="1" si="5"/>
        <v>7.6027831569661433E-3</v>
      </c>
      <c r="T13" s="2">
        <f t="shared" ca="1" si="0"/>
        <v>1.2065170554462148E-2</v>
      </c>
      <c r="U13" s="2">
        <f t="shared" ca="1" si="1"/>
        <v>1.2065170554462148E-2</v>
      </c>
      <c r="V13" s="2">
        <f t="shared" ca="1" si="2"/>
        <v>1.2065170554462148E-2</v>
      </c>
      <c r="W13" s="2">
        <f t="shared" ca="1" si="3"/>
        <v>-2.990813928647737E-3</v>
      </c>
      <c r="X13" s="2">
        <v>-1.0158614102060103E-2</v>
      </c>
      <c r="Y13" s="2">
        <f t="shared" ca="1" si="6"/>
        <v>1.2065170554462148E-2</v>
      </c>
      <c r="Z13" s="2">
        <f t="shared" ca="1" si="4"/>
        <v>6.4912147869244565E-3</v>
      </c>
    </row>
    <row r="14" spans="1:26">
      <c r="A14" s="22">
        <v>32539</v>
      </c>
      <c r="B14" s="25" t="s">
        <v>45</v>
      </c>
      <c r="C14" s="25" t="s">
        <v>47</v>
      </c>
      <c r="D14" s="25" t="s">
        <v>41</v>
      </c>
      <c r="E14" s="25" t="s">
        <v>41</v>
      </c>
      <c r="F14" s="25" t="s">
        <v>39</v>
      </c>
      <c r="H14" s="23">
        <f ca="1">'Index Data'!E123</f>
        <v>1.4388281768115132E-2</v>
      </c>
      <c r="I14" s="23">
        <f ca="1">'Index Data'!D123</f>
        <v>3.6220370833366933E-2</v>
      </c>
      <c r="J14" s="23">
        <f ca="1">'Index Data'!B123</f>
        <v>1.7799955557298415E-2</v>
      </c>
      <c r="K14" s="23">
        <f ca="1">'Index Data'!C123</f>
        <v>-1.2604144413586912E-2</v>
      </c>
      <c r="L14" s="23">
        <f ca="1">'Index Data'!AH123</f>
        <v>-5.0199999999999995E-2</v>
      </c>
      <c r="M14" s="23">
        <f ca="1">'Index Data'!V123</f>
        <v>6.990049076760399E-2</v>
      </c>
      <c r="N14" s="23">
        <f ca="1">'Index Data'!W123</f>
        <v>6.8570705269092994E-2</v>
      </c>
      <c r="O14" s="23">
        <f ca="1">'Index Data'!R123</f>
        <v>7.5637454467538057E-2</v>
      </c>
      <c r="P14" s="23">
        <f ca="1">'Index Data'!S123</f>
        <v>6.3666826232647203E-2</v>
      </c>
      <c r="Q14" s="23">
        <f ca="1">'Index Data'!U123</f>
        <v>6.9340431291166668E-2</v>
      </c>
      <c r="R14" s="24"/>
      <c r="S14" s="23">
        <f t="shared" ca="1" si="5"/>
        <v>3.1853953020316572E-2</v>
      </c>
      <c r="T14" s="2">
        <f t="shared" ca="1" si="0"/>
        <v>6.8570705269092994E-2</v>
      </c>
      <c r="U14" s="2">
        <f t="shared" ca="1" si="1"/>
        <v>6.8570705269092994E-2</v>
      </c>
      <c r="V14" s="2">
        <f t="shared" ca="1" si="2"/>
        <v>6.8570705269092994E-2</v>
      </c>
      <c r="W14" s="2">
        <f t="shared" ca="1" si="3"/>
        <v>7.5637454467538057E-2</v>
      </c>
      <c r="X14" s="2">
        <v>6.6699999999999982E-2</v>
      </c>
      <c r="Y14" s="2">
        <f t="shared" ca="1" si="6"/>
        <v>6.8570705269092994E-2</v>
      </c>
      <c r="Z14" s="2">
        <f t="shared" ca="1" si="4"/>
        <v>6.8726570405157783E-2</v>
      </c>
    </row>
    <row r="15" spans="1:26">
      <c r="A15" s="22">
        <v>32567</v>
      </c>
      <c r="B15" s="25" t="s">
        <v>45</v>
      </c>
      <c r="C15" s="25" t="s">
        <v>47</v>
      </c>
      <c r="D15" s="25" t="s">
        <v>41</v>
      </c>
      <c r="E15" s="25" t="s">
        <v>41</v>
      </c>
      <c r="F15" s="25" t="s">
        <v>39</v>
      </c>
      <c r="H15" s="23">
        <f ca="1">'Index Data'!E124</f>
        <v>-7.2484366117112325E-3</v>
      </c>
      <c r="I15" s="23">
        <f ca="1">'Index Data'!D124</f>
        <v>-5.9074422876356251E-3</v>
      </c>
      <c r="J15" s="23">
        <f ca="1">'Index Data'!B124</f>
        <v>5.3335002894977605E-3</v>
      </c>
      <c r="K15" s="23">
        <f ca="1">'Index Data'!C124</f>
        <v>7.6445982979950922E-2</v>
      </c>
      <c r="L15" s="23">
        <f ca="1">'Index Data'!AH124</f>
        <v>-3.0999999999999999E-3</v>
      </c>
      <c r="M15" s="23">
        <f ca="1">'Index Data'!V124</f>
        <v>-2.3315339973136714E-2</v>
      </c>
      <c r="N15" s="23">
        <f ca="1">'Index Data'!W124</f>
        <v>-1.5819172535590384E-2</v>
      </c>
      <c r="O15" s="23">
        <f ca="1">'Index Data'!R124</f>
        <v>-1.6135458167330721E-2</v>
      </c>
      <c r="P15" s="23">
        <f ca="1">'Index Data'!S124</f>
        <v>-1.9101910191019068E-2</v>
      </c>
      <c r="Q15" s="23">
        <f ca="1">'Index Data'!U124</f>
        <v>-1.9702147407501109E-2</v>
      </c>
      <c r="R15" s="24"/>
      <c r="S15" s="23">
        <f t="shared" ca="1" si="5"/>
        <v>-6.1756411524507473E-3</v>
      </c>
      <c r="T15" s="2">
        <f t="shared" ca="1" si="0"/>
        <v>-1.5819172535590384E-2</v>
      </c>
      <c r="U15" s="2">
        <f t="shared" ca="1" si="1"/>
        <v>-1.5819172535590384E-2</v>
      </c>
      <c r="V15" s="2">
        <f t="shared" ca="1" si="2"/>
        <v>-1.5819172535590384E-2</v>
      </c>
      <c r="W15" s="2">
        <f t="shared" ca="1" si="3"/>
        <v>-1.6135458167330721E-2</v>
      </c>
      <c r="X15" s="2">
        <v>-2.0000000000000018E-3</v>
      </c>
      <c r="Y15" s="2">
        <f t="shared" ca="1" si="6"/>
        <v>-1.5819172535590384E-2</v>
      </c>
      <c r="Z15" s="2">
        <f t="shared" ca="1" si="4"/>
        <v>-1.3079059450852833E-2</v>
      </c>
    </row>
    <row r="16" spans="1:26">
      <c r="A16" s="22">
        <v>32598</v>
      </c>
      <c r="B16" s="25" t="s">
        <v>45</v>
      </c>
      <c r="C16" s="25" t="s">
        <v>47</v>
      </c>
      <c r="D16" s="25" t="s">
        <v>41</v>
      </c>
      <c r="E16" s="25" t="s">
        <v>41</v>
      </c>
      <c r="F16" s="25" t="s">
        <v>39</v>
      </c>
      <c r="H16" s="23">
        <f ca="1">'Index Data'!E125</f>
        <v>4.3235504652827227E-3</v>
      </c>
      <c r="I16" s="23">
        <f ca="1">'Index Data'!D125</f>
        <v>-5.5040987136224717E-3</v>
      </c>
      <c r="J16" s="23">
        <f ca="1">'Index Data'!B125</f>
        <v>-1.9434498257058893E-2</v>
      </c>
      <c r="K16" s="23">
        <f ca="1">'Index Data'!C125</f>
        <v>9.9691812943856331E-2</v>
      </c>
      <c r="L16" s="23">
        <f ca="1">'Index Data'!AH125</f>
        <v>-1.3600000000000001E-2</v>
      </c>
      <c r="M16" s="23">
        <f ca="1">'Index Data'!V125</f>
        <v>2.3469731959832863E-2</v>
      </c>
      <c r="N16" s="23">
        <f ca="1">'Index Data'!W125</f>
        <v>2.1992931624960393E-2</v>
      </c>
      <c r="O16" s="23">
        <f ca="1">'Index Data'!R125</f>
        <v>4.5960720793682859E-2</v>
      </c>
      <c r="P16" s="23">
        <f ca="1">'Index Data'!S125</f>
        <v>2.9363784665579075E-2</v>
      </c>
      <c r="Q16" s="23">
        <f ca="1">'Index Data'!U125</f>
        <v>2.2701841969357792E-2</v>
      </c>
      <c r="R16" s="24"/>
      <c r="S16" s="23">
        <f t="shared" ca="1" si="5"/>
        <v>-3.538568877841433E-3</v>
      </c>
      <c r="T16" s="2">
        <f t="shared" ca="1" si="0"/>
        <v>2.1992931624960393E-2</v>
      </c>
      <c r="U16" s="2">
        <f t="shared" ca="1" si="1"/>
        <v>2.1992931624960393E-2</v>
      </c>
      <c r="V16" s="2">
        <f t="shared" ca="1" si="2"/>
        <v>2.1992931624960393E-2</v>
      </c>
      <c r="W16" s="2">
        <f t="shared" ca="1" si="3"/>
        <v>4.5960720793682859E-2</v>
      </c>
      <c r="X16" s="2">
        <v>3.2100000037573961E-2</v>
      </c>
      <c r="Y16" s="2">
        <f t="shared" ca="1" si="6"/>
        <v>2.1992931624960396E-2</v>
      </c>
      <c r="Z16" s="2">
        <f t="shared" ca="1" si="4"/>
        <v>2.5811929495137293E-2</v>
      </c>
    </row>
    <row r="17" spans="1:26">
      <c r="A17" s="22">
        <v>32628</v>
      </c>
      <c r="B17" s="25" t="s">
        <v>45</v>
      </c>
      <c r="C17" s="25" t="s">
        <v>47</v>
      </c>
      <c r="D17" s="25" t="s">
        <v>41</v>
      </c>
      <c r="E17" s="25" t="s">
        <v>41</v>
      </c>
      <c r="F17" s="25" t="s">
        <v>39</v>
      </c>
      <c r="H17" s="23">
        <f ca="1">'Index Data'!E126</f>
        <v>2.0925989280419756E-2</v>
      </c>
      <c r="I17" s="23">
        <f ca="1">'Index Data'!D126</f>
        <v>2.5169264682727267E-2</v>
      </c>
      <c r="J17" s="23">
        <f ca="1">'Index Data'!B126</f>
        <v>9.472323715713063E-3</v>
      </c>
      <c r="K17" s="23">
        <f ca="1">'Index Data'!C126</f>
        <v>0.18977701961739984</v>
      </c>
      <c r="L17" s="23">
        <f ca="1">'Index Data'!AH126</f>
        <v>-1.1899999999999999E-2</v>
      </c>
      <c r="M17" s="23">
        <f ca="1">'Index Data'!V126</f>
        <v>6.0174680238822616E-2</v>
      </c>
      <c r="N17" s="23">
        <f ca="1">'Index Data'!W126</f>
        <v>4.0972988019656736E-2</v>
      </c>
      <c r="O17" s="23">
        <f ca="1">'Index Data'!R126</f>
        <v>6.2330623306233179E-2</v>
      </c>
      <c r="P17" s="23">
        <f ca="1">'Index Data'!S126</f>
        <v>5.398177496038039E-2</v>
      </c>
      <c r="Q17" s="23">
        <f ca="1">'Index Data'!U126</f>
        <v>5.0581774570244334E-2</v>
      </c>
      <c r="R17" s="24"/>
      <c r="S17" s="23">
        <f t="shared" ca="1" si="5"/>
        <v>2.4320609602265768E-2</v>
      </c>
      <c r="T17" s="2">
        <f t="shared" ca="1" si="0"/>
        <v>4.0972988019656736E-2</v>
      </c>
      <c r="U17" s="2">
        <f t="shared" ca="1" si="1"/>
        <v>4.0972988019656736E-2</v>
      </c>
      <c r="V17" s="2">
        <f t="shared" ca="1" si="2"/>
        <v>4.0972988019656736E-2</v>
      </c>
      <c r="W17" s="2">
        <f t="shared" ca="1" si="3"/>
        <v>6.2330623306233179E-2</v>
      </c>
      <c r="X17" s="2">
        <v>5.1199999981360378E-2</v>
      </c>
      <c r="Y17" s="2">
        <f t="shared" ca="1" si="6"/>
        <v>4.0972988019656736E-2</v>
      </c>
      <c r="Z17" s="2">
        <f t="shared" ca="1" si="4"/>
        <v>4.4620213058490704E-2</v>
      </c>
    </row>
    <row r="18" spans="1:26">
      <c r="A18" s="22">
        <v>32659</v>
      </c>
      <c r="B18" s="25" t="s">
        <v>45</v>
      </c>
      <c r="C18" s="25" t="s">
        <v>47</v>
      </c>
      <c r="D18" s="25" t="s">
        <v>41</v>
      </c>
      <c r="E18" s="25" t="s">
        <v>41</v>
      </c>
      <c r="F18" s="25" t="s">
        <v>39</v>
      </c>
      <c r="H18" s="23">
        <f ca="1">'Index Data'!E127</f>
        <v>2.6277576096062464E-2</v>
      </c>
      <c r="I18" s="23">
        <f ca="1">'Index Data'!D127</f>
        <v>-2.3583710268244636E-2</v>
      </c>
      <c r="J18" s="23">
        <f ca="1">'Index Data'!B127</f>
        <v>-5.4233061007421257E-2</v>
      </c>
      <c r="K18" s="23">
        <f ca="1">'Index Data'!C127</f>
        <v>1.3467151415843082E-2</v>
      </c>
      <c r="L18" s="23">
        <f ca="1">'Index Data'!AH127</f>
        <v>-4.5199999999999997E-2</v>
      </c>
      <c r="M18" s="23">
        <f ca="1">'Index Data'!V127</f>
        <v>4.5352368653896823E-2</v>
      </c>
      <c r="N18" s="23">
        <f ca="1">'Index Data'!W127</f>
        <v>3.9864239432273893E-2</v>
      </c>
      <c r="O18" s="23">
        <f ca="1">'Index Data'!R127</f>
        <v>6.5415451895043664E-2</v>
      </c>
      <c r="P18" s="23">
        <f ca="1">'Index Data'!S127</f>
        <v>4.2994079503806064E-2</v>
      </c>
      <c r="Q18" s="23">
        <f ca="1">'Index Data'!U127</f>
        <v>4.2638841601409995E-2</v>
      </c>
      <c r="R18" s="24"/>
      <c r="S18" s="23">
        <f t="shared" ca="1" si="5"/>
        <v>-1.3611452995383216E-2</v>
      </c>
      <c r="T18" s="2">
        <f t="shared" ca="1" si="0"/>
        <v>3.9864239432273893E-2</v>
      </c>
      <c r="U18" s="2">
        <f t="shared" ca="1" si="1"/>
        <v>3.9864239432273893E-2</v>
      </c>
      <c r="V18" s="2">
        <f t="shared" ca="1" si="2"/>
        <v>3.9864239432273893E-2</v>
      </c>
      <c r="W18" s="2">
        <f t="shared" ca="1" si="3"/>
        <v>6.5415451895043664E-2</v>
      </c>
      <c r="X18" s="2">
        <v>3.7899999965393727E-2</v>
      </c>
      <c r="Y18" s="2">
        <f t="shared" ca="1" si="6"/>
        <v>3.9864239432273893E-2</v>
      </c>
      <c r="Z18" s="2">
        <f t="shared" ca="1" si="4"/>
        <v>4.1387732473605596E-2</v>
      </c>
    </row>
    <row r="19" spans="1:26">
      <c r="A19" s="22">
        <v>32689</v>
      </c>
      <c r="B19" s="25" t="s">
        <v>45</v>
      </c>
      <c r="C19" s="25" t="s">
        <v>46</v>
      </c>
      <c r="D19" s="25" t="s">
        <v>41</v>
      </c>
      <c r="E19" s="25" t="s">
        <v>41</v>
      </c>
      <c r="F19" s="25" t="s">
        <v>39</v>
      </c>
      <c r="H19" s="23">
        <f ca="1">'Index Data'!E128</f>
        <v>3.0448151070719163E-2</v>
      </c>
      <c r="I19" s="23">
        <f ca="1">'Index Data'!D128</f>
        <v>-1.3881679329275013E-2</v>
      </c>
      <c r="J19" s="23">
        <f ca="1">'Index Data'!B128</f>
        <v>-1.6611288125339789E-2</v>
      </c>
      <c r="K19" s="23">
        <f ca="1">'Index Data'!C128</f>
        <v>-0.1213116410670978</v>
      </c>
      <c r="L19" s="23">
        <f ca="1">'Index Data'!AH128</f>
        <v>3.85E-2</v>
      </c>
      <c r="M19" s="23">
        <f ca="1">'Index Data'!V128</f>
        <v>-6.7599254234962667E-3</v>
      </c>
      <c r="N19" s="23">
        <f ca="1">'Index Data'!W128</f>
        <v>-3.807884794176319E-3</v>
      </c>
      <c r="O19" s="23">
        <f ca="1">'Index Data'!R128</f>
        <v>1.5392508978964155E-3</v>
      </c>
      <c r="P19" s="23">
        <f ca="1">'Index Data'!S128</f>
        <v>9.2354822723792022E-3</v>
      </c>
      <c r="Q19" s="23">
        <f ca="1">'Index Data'!U128</f>
        <v>-5.0902804456396025E-3</v>
      </c>
      <c r="R19" s="24"/>
      <c r="S19" s="23">
        <f t="shared" ca="1" si="5"/>
        <v>-5.0157132492761776E-3</v>
      </c>
      <c r="T19" s="2">
        <f t="shared" ca="1" si="0"/>
        <v>-6.7599254234962667E-3</v>
      </c>
      <c r="U19" s="2">
        <f t="shared" ca="1" si="1"/>
        <v>-6.7599254234962667E-3</v>
      </c>
      <c r="V19" s="2">
        <f t="shared" ca="1" si="2"/>
        <v>-6.7599254234962667E-3</v>
      </c>
      <c r="W19" s="2">
        <f t="shared" ca="1" si="3"/>
        <v>1.5392508978964155E-3</v>
      </c>
      <c r="X19" s="2">
        <v>-3.3999999457275942E-3</v>
      </c>
      <c r="Y19" s="2">
        <f t="shared" ca="1" si="6"/>
        <v>-6.7599254234962675E-3</v>
      </c>
      <c r="Z19" s="2">
        <f t="shared" ca="1" si="4"/>
        <v>-5.465502103838081E-3</v>
      </c>
    </row>
    <row r="20" spans="1:26">
      <c r="A20" s="22">
        <v>32720</v>
      </c>
      <c r="B20" s="25" t="s">
        <v>45</v>
      </c>
      <c r="C20" s="25" t="s">
        <v>46</v>
      </c>
      <c r="D20" s="25" t="s">
        <v>41</v>
      </c>
      <c r="E20" s="25" t="s">
        <v>41</v>
      </c>
      <c r="F20" s="25" t="s">
        <v>39</v>
      </c>
      <c r="H20" s="23">
        <f ca="1">'Index Data'!E129</f>
        <v>2.1256931608133117E-2</v>
      </c>
      <c r="I20" s="23">
        <f ca="1">'Index Data'!D129</f>
        <v>0.11301552866861796</v>
      </c>
      <c r="J20" s="23">
        <f ca="1">'Index Data'!B129</f>
        <v>0.12578429082532955</v>
      </c>
      <c r="K20" s="23">
        <f ca="1">'Index Data'!C129</f>
        <v>6.5781151170145463E-2</v>
      </c>
      <c r="L20" s="23">
        <f ca="1">'Index Data'!AH129</f>
        <v>-1.8000000000000002E-2</v>
      </c>
      <c r="M20" s="23">
        <f ca="1">'Index Data'!V129</f>
        <v>0.10109862269104976</v>
      </c>
      <c r="N20" s="23">
        <f ca="1">'Index Data'!W129</f>
        <v>6.7453659117760911E-2</v>
      </c>
      <c r="O20" s="23">
        <f ca="1">'Index Data'!R129</f>
        <v>0.11612021857923494</v>
      </c>
      <c r="P20" s="23">
        <f ca="1">'Index Data'!S129</f>
        <v>8.4456744933488023E-2</v>
      </c>
      <c r="Q20" s="23">
        <f ca="1">'Index Data'!U129</f>
        <v>8.3888406216816161E-2</v>
      </c>
      <c r="R20" s="24"/>
      <c r="S20" s="23">
        <f t="shared" ca="1" si="5"/>
        <v>9.4663809256521E-2</v>
      </c>
      <c r="T20" s="2">
        <f t="shared" ca="1" si="0"/>
        <v>0.10109862269104976</v>
      </c>
      <c r="U20" s="2">
        <f t="shared" ca="1" si="1"/>
        <v>0.10109862269104976</v>
      </c>
      <c r="V20" s="2">
        <f t="shared" ca="1" si="2"/>
        <v>0.10109862269104976</v>
      </c>
      <c r="W20" s="2">
        <f t="shared" ca="1" si="3"/>
        <v>0.11612021857923494</v>
      </c>
      <c r="X20" s="2">
        <v>9.0999999991127511E-2</v>
      </c>
      <c r="Y20" s="2">
        <f t="shared" ca="1" si="6"/>
        <v>0.10109862269104977</v>
      </c>
      <c r="Z20" s="2">
        <f t="shared" ca="1" si="4"/>
        <v>0.1002055178426792</v>
      </c>
    </row>
    <row r="21" spans="1:26">
      <c r="A21" s="22">
        <v>32751</v>
      </c>
      <c r="B21" s="25" t="s">
        <v>45</v>
      </c>
      <c r="C21" s="25" t="s">
        <v>46</v>
      </c>
      <c r="D21" s="25" t="s">
        <v>41</v>
      </c>
      <c r="E21" s="25" t="s">
        <v>41</v>
      </c>
      <c r="F21" s="25" t="s">
        <v>39</v>
      </c>
      <c r="H21" s="23">
        <f ca="1">'Index Data'!E130</f>
        <v>-1.4815772462831334E-2</v>
      </c>
      <c r="I21" s="23">
        <f ca="1">'Index Data'!D130</f>
        <v>-2.3503951960215274E-2</v>
      </c>
      <c r="J21" s="23">
        <f ca="1">'Index Data'!B130</f>
        <v>-4.4787670962019778E-2</v>
      </c>
      <c r="K21" s="23">
        <f ca="1">'Index Data'!C130</f>
        <v>2.3199352576207241E-2</v>
      </c>
      <c r="L21" s="23">
        <f ca="1">'Index Data'!AH130</f>
        <v>-2.3799999999999998E-2</v>
      </c>
      <c r="M21" s="23">
        <f ca="1">'Index Data'!V130</f>
        <v>1.6514145270093688E-2</v>
      </c>
      <c r="N21" s="23">
        <f ca="1">'Index Data'!W130</f>
        <v>2.4731432823327033E-2</v>
      </c>
      <c r="O21" s="23">
        <f ca="1">'Index Data'!R130</f>
        <v>5.3549571603426303E-3</v>
      </c>
      <c r="P21" s="23">
        <f ca="1">'Index Data'!S130</f>
        <v>4.9394912324030159E-3</v>
      </c>
      <c r="Q21" s="23">
        <f ca="1">'Index Data'!U130</f>
        <v>2.0716066975418591E-2</v>
      </c>
      <c r="R21" s="24"/>
      <c r="S21" s="23">
        <f t="shared" ca="1" si="5"/>
        <v>-2.1766316060738488E-2</v>
      </c>
      <c r="T21" s="2">
        <f t="shared" ca="1" si="0"/>
        <v>1.6514145270093688E-2</v>
      </c>
      <c r="U21" s="2">
        <f t="shared" ca="1" si="1"/>
        <v>1.6514145270093688E-2</v>
      </c>
      <c r="V21" s="2">
        <f t="shared" ca="1" si="2"/>
        <v>1.6514145270093688E-2</v>
      </c>
      <c r="W21" s="2">
        <f t="shared" ca="1" si="3"/>
        <v>5.3549571603426303E-3</v>
      </c>
      <c r="X21" s="2">
        <v>1.0699999973039942E-2</v>
      </c>
      <c r="Y21" s="2">
        <f t="shared" ca="1" si="6"/>
        <v>1.6514145270093688E-2</v>
      </c>
      <c r="Z21" s="2">
        <f t="shared" ca="1" si="4"/>
        <v>1.4514377102451608E-2</v>
      </c>
    </row>
    <row r="22" spans="1:26">
      <c r="A22" s="22">
        <v>32781</v>
      </c>
      <c r="B22" s="25" t="s">
        <v>45</v>
      </c>
      <c r="C22" s="25" t="s">
        <v>46</v>
      </c>
      <c r="D22" s="25" t="s">
        <v>41</v>
      </c>
      <c r="E22" s="25" t="s">
        <v>41</v>
      </c>
      <c r="F22" s="25" t="s">
        <v>39</v>
      </c>
      <c r="H22" s="23">
        <f ca="1">'Index Data'!E131</f>
        <v>5.1178415831191161E-3</v>
      </c>
      <c r="I22" s="23">
        <f ca="1">'Index Data'!D131</f>
        <v>3.0277902121507917E-2</v>
      </c>
      <c r="J22" s="23">
        <f ca="1">'Index Data'!B131</f>
        <v>4.5735469250269535E-2</v>
      </c>
      <c r="K22" s="23">
        <f ca="1">'Index Data'!C131</f>
        <v>0.12602161877142107</v>
      </c>
      <c r="L22" s="23">
        <f ca="1">'Index Data'!AH131</f>
        <v>1.52E-2</v>
      </c>
      <c r="M22" s="23">
        <f ca="1">'Index Data'!V131</f>
        <v>4.5578945202378526E-3</v>
      </c>
      <c r="N22" s="23">
        <f ca="1">'Index Data'!W131</f>
        <v>-9.5485323216004375E-3</v>
      </c>
      <c r="O22" s="23">
        <f ca="1">'Index Data'!R131</f>
        <v>2.2371024197230454E-2</v>
      </c>
      <c r="P22" s="23">
        <f ca="1">'Index Data'!S131</f>
        <v>4.9971327926600613E-3</v>
      </c>
      <c r="Q22" s="23">
        <f ca="1">'Index Data'!U131</f>
        <v>-2.5304085300942914E-3</v>
      </c>
      <c r="R22" s="24"/>
      <c r="S22" s="23">
        <f t="shared" ca="1" si="5"/>
        <v>2.5245890013830159E-2</v>
      </c>
      <c r="T22" s="2">
        <f t="shared" ca="1" si="0"/>
        <v>4.5578945202378526E-3</v>
      </c>
      <c r="U22" s="2">
        <f t="shared" ca="1" si="1"/>
        <v>4.5578945202378526E-3</v>
      </c>
      <c r="V22" s="2">
        <f t="shared" ca="1" si="2"/>
        <v>4.5578945202378526E-3</v>
      </c>
      <c r="W22" s="2">
        <f t="shared" ca="1" si="3"/>
        <v>2.2371024197230454E-2</v>
      </c>
      <c r="X22" s="2">
        <v>-1.1000000401409915E-3</v>
      </c>
      <c r="Y22" s="2">
        <f t="shared" ca="1" si="6"/>
        <v>4.5578945202378526E-3</v>
      </c>
      <c r="Z22" s="2">
        <f t="shared" ca="1" si="4"/>
        <v>4.7623003339365292E-3</v>
      </c>
    </row>
    <row r="23" spans="1:26">
      <c r="A23" s="22">
        <v>32812</v>
      </c>
      <c r="B23" s="25" t="s">
        <v>45</v>
      </c>
      <c r="C23" s="25" t="s">
        <v>46</v>
      </c>
      <c r="D23" s="25" t="s">
        <v>41</v>
      </c>
      <c r="E23" s="25" t="s">
        <v>41</v>
      </c>
      <c r="F23" s="25" t="s">
        <v>39</v>
      </c>
      <c r="H23" s="23">
        <f ca="1">'Index Data'!E132</f>
        <v>2.4623338642713394E-2</v>
      </c>
      <c r="I23" s="23">
        <f ca="1">'Index Data'!D132</f>
        <v>-3.2165929471427393E-2</v>
      </c>
      <c r="J23" s="23">
        <f ca="1">'Index Data'!B132</f>
        <v>-3.9982519280205693E-2</v>
      </c>
      <c r="K23" s="23">
        <f ca="1">'Index Data'!C132</f>
        <v>1.4001404823226321E-2</v>
      </c>
      <c r="L23" s="23">
        <f ca="1">'Index Data'!AH132</f>
        <v>2.8300000000000002E-2</v>
      </c>
      <c r="M23" s="23">
        <f ca="1">'Index Data'!V132</f>
        <v>-1.7636756557452546E-2</v>
      </c>
      <c r="N23" s="23">
        <f ca="1">'Index Data'!W132</f>
        <v>-3.5657337658767302E-2</v>
      </c>
      <c r="O23" s="23">
        <f ca="1">'Index Data'!R132</f>
        <v>-1.2950282822268599E-2</v>
      </c>
      <c r="P23" s="23">
        <f ca="1">'Index Data'!S132</f>
        <v>-7.2546462341049932E-3</v>
      </c>
      <c r="Q23" s="23">
        <f ca="1">'Index Data'!U132</f>
        <v>-2.6715420413590565E-2</v>
      </c>
      <c r="R23" s="24"/>
      <c r="S23" s="23">
        <f t="shared" ca="1" si="5"/>
        <v>-2.0808075848599238E-2</v>
      </c>
      <c r="T23" s="2">
        <f t="shared" ca="1" si="0"/>
        <v>-1.7636756557452546E-2</v>
      </c>
      <c r="U23" s="2">
        <f t="shared" ca="1" si="1"/>
        <v>-1.7636756557452546E-2</v>
      </c>
      <c r="V23" s="2">
        <f t="shared" ca="1" si="2"/>
        <v>-1.7636756557452546E-2</v>
      </c>
      <c r="W23" s="2">
        <f t="shared" ca="1" si="3"/>
        <v>-1.2950282822268599E-2</v>
      </c>
      <c r="X23" s="2">
        <v>-5.1599999940056485E-2</v>
      </c>
      <c r="Y23" s="2">
        <f t="shared" ca="1" si="6"/>
        <v>-1.7636756557452546E-2</v>
      </c>
      <c r="Z23" s="2">
        <f t="shared" ca="1" si="4"/>
        <v>-2.4077919703834536E-2</v>
      </c>
    </row>
    <row r="24" spans="1:26">
      <c r="A24" s="22">
        <v>32842</v>
      </c>
      <c r="B24" s="25" t="s">
        <v>45</v>
      </c>
      <c r="C24" s="25" t="s">
        <v>46</v>
      </c>
      <c r="D24" s="25" t="s">
        <v>41</v>
      </c>
      <c r="E24" s="25" t="s">
        <v>41</v>
      </c>
      <c r="F24" s="25" t="s">
        <v>39</v>
      </c>
      <c r="H24" s="23">
        <f ca="1">'Index Data'!E133</f>
        <v>9.5310907237512975E-3</v>
      </c>
      <c r="I24" s="23">
        <f ca="1">'Index Data'!D133</f>
        <v>3.9350608252809505E-2</v>
      </c>
      <c r="J24" s="23">
        <f ca="1">'Index Data'!B133</f>
        <v>5.0474659308902929E-2</v>
      </c>
      <c r="K24" s="23">
        <f ca="1">'Index Data'!C133</f>
        <v>-4.659647178350422E-2</v>
      </c>
      <c r="L24" s="23">
        <f ca="1">'Index Data'!AH133</f>
        <v>0.09</v>
      </c>
      <c r="M24" s="23">
        <f ca="1">'Index Data'!V133</f>
        <v>2.6127300213730911E-2</v>
      </c>
      <c r="N24" s="23">
        <f ca="1">'Index Data'!W133</f>
        <v>1.1489009892522198E-2</v>
      </c>
      <c r="O24" s="23">
        <f ca="1">'Index Data'!R133</f>
        <v>2.6692806514854412E-2</v>
      </c>
      <c r="P24" s="23">
        <f ca="1">'Index Data'!S133</f>
        <v>2.2415633467443876E-2</v>
      </c>
      <c r="Q24" s="23">
        <f ca="1">'Index Data'!U133</f>
        <v>1.8874368607431111E-2</v>
      </c>
      <c r="R24" s="24"/>
      <c r="S24" s="23">
        <f t="shared" ca="1" si="5"/>
        <v>3.3386704746997869E-2</v>
      </c>
      <c r="T24" s="2">
        <f t="shared" ca="1" si="0"/>
        <v>2.6127300213730911E-2</v>
      </c>
      <c r="U24" s="2">
        <f t="shared" ca="1" si="1"/>
        <v>2.6127300213730911E-2</v>
      </c>
      <c r="V24" s="2">
        <f t="shared" ca="1" si="2"/>
        <v>2.6127300213730911E-2</v>
      </c>
      <c r="W24" s="2">
        <f t="shared" ca="1" si="3"/>
        <v>2.6692806514854412E-2</v>
      </c>
      <c r="X24" s="2">
        <v>1.6699999987836556E-2</v>
      </c>
      <c r="Y24" s="2">
        <f t="shared" ca="1" si="6"/>
        <v>2.6127300213730914E-2</v>
      </c>
      <c r="Z24" s="2">
        <f t="shared" ca="1" si="4"/>
        <v>2.4284253141136303E-2</v>
      </c>
    </row>
    <row r="25" spans="1:26">
      <c r="A25" s="22">
        <v>32873</v>
      </c>
      <c r="B25" s="25" t="s">
        <v>45</v>
      </c>
      <c r="C25" s="25" t="s">
        <v>46</v>
      </c>
      <c r="D25" s="25" t="s">
        <v>41</v>
      </c>
      <c r="E25" s="25" t="s">
        <v>41</v>
      </c>
      <c r="F25" s="25" t="s">
        <v>39</v>
      </c>
      <c r="H25" s="23">
        <f ca="1">'Index Data'!E134</f>
        <v>2.6758216792043279E-3</v>
      </c>
      <c r="I25" s="23">
        <f ca="1">'Index Data'!D134</f>
        <v>3.2868836208117341E-2</v>
      </c>
      <c r="J25" s="23">
        <f ca="1">'Index Data'!B134</f>
        <v>3.7137735650900713E-2</v>
      </c>
      <c r="K25" s="23">
        <f ca="1">'Index Data'!C134</f>
        <v>0.1220634536207315</v>
      </c>
      <c r="L25" s="23">
        <f ca="1">'Index Data'!AH134</f>
        <v>-1.55E-2</v>
      </c>
      <c r="M25" s="23">
        <f ca="1">'Index Data'!V134</f>
        <v>1.8685036729966152E-2</v>
      </c>
      <c r="N25" s="23">
        <f ca="1">'Index Data'!W134</f>
        <v>2.2115745960165346E-2</v>
      </c>
      <c r="O25" s="23">
        <f ca="1">'Index Data'!R134</f>
        <v>1.0282021151586411E-2</v>
      </c>
      <c r="P25" s="23">
        <f ca="1">'Index Data'!S134</f>
        <v>2.5899453902987545E-2</v>
      </c>
      <c r="Q25" s="23">
        <f ca="1">'Index Data'!U134</f>
        <v>2.0130202360579528E-2</v>
      </c>
      <c r="R25" s="24"/>
      <c r="S25" s="23">
        <f t="shared" ca="1" si="5"/>
        <v>2.6830233302334743E-2</v>
      </c>
      <c r="T25" s="2">
        <f t="shared" ca="1" si="0"/>
        <v>1.8685036729966152E-2</v>
      </c>
      <c r="U25" s="2">
        <f t="shared" ca="1" si="1"/>
        <v>1.8685036729966152E-2</v>
      </c>
      <c r="V25" s="2">
        <f t="shared" ca="1" si="2"/>
        <v>1.8685036729966152E-2</v>
      </c>
      <c r="W25" s="2">
        <f t="shared" ca="1" si="3"/>
        <v>1.0282021151586411E-2</v>
      </c>
      <c r="X25" s="2">
        <v>1.5299999949986098E-2</v>
      </c>
      <c r="Y25" s="2">
        <f t="shared" ca="1" si="6"/>
        <v>1.8685036729966152E-2</v>
      </c>
      <c r="Z25" s="2">
        <f t="shared" ca="1" si="4"/>
        <v>1.7377803205591662E-2</v>
      </c>
    </row>
    <row r="26" spans="1:26">
      <c r="A26" s="22">
        <v>32904</v>
      </c>
      <c r="B26" s="25" t="s">
        <v>45</v>
      </c>
      <c r="C26" s="25" t="s">
        <v>46</v>
      </c>
      <c r="D26" s="25" t="s">
        <v>41</v>
      </c>
      <c r="E26" s="25" t="s">
        <v>41</v>
      </c>
      <c r="F26" s="25" t="s">
        <v>39</v>
      </c>
      <c r="H26" s="23">
        <f ca="1">'Index Data'!E135</f>
        <v>-1.1883182275931449E-2</v>
      </c>
      <c r="I26" s="23">
        <f ca="1">'Index Data'!D135</f>
        <v>-4.5917597861109258E-2</v>
      </c>
      <c r="J26" s="23">
        <f ca="1">'Index Data'!B135</f>
        <v>-3.7005850091946832E-2</v>
      </c>
      <c r="K26" s="23">
        <f ca="1">'Index Data'!C135</f>
        <v>3.2894452838333713E-2</v>
      </c>
      <c r="L26" s="23">
        <f ca="1">'Index Data'!AH135</f>
        <v>1.78E-2</v>
      </c>
      <c r="M26" s="23">
        <f ca="1">'Index Data'!V135</f>
        <v>-8.0381009375623494E-2</v>
      </c>
      <c r="N26" s="23">
        <f ca="1">'Index Data'!W135</f>
        <v>-6.2301229847234144E-2</v>
      </c>
      <c r="O26" s="23">
        <f ca="1">'Index Data'!R135</f>
        <v>-8.3745274789182866E-2</v>
      </c>
      <c r="P26" s="23">
        <f ca="1">'Index Data'!S135</f>
        <v>-7.1666210027789737E-2</v>
      </c>
      <c r="Q26" s="23">
        <f ca="1">'Index Data'!U135</f>
        <v>-7.1356922970495645E-2</v>
      </c>
      <c r="R26" s="24"/>
      <c r="S26" s="23">
        <f t="shared" ca="1" si="5"/>
        <v>-3.9110714744073703E-2</v>
      </c>
      <c r="T26" s="2">
        <f t="shared" ca="1" si="0"/>
        <v>-8.0381009375623494E-2</v>
      </c>
      <c r="U26" s="2">
        <f t="shared" ca="1" si="1"/>
        <v>-8.0381009375623494E-2</v>
      </c>
      <c r="V26" s="2">
        <f t="shared" ca="1" si="2"/>
        <v>-8.0381009375623494E-2</v>
      </c>
      <c r="W26" s="2">
        <f t="shared" ca="1" si="3"/>
        <v>-8.3745274789182866E-2</v>
      </c>
      <c r="X26" s="2">
        <v>-7.6399999986741851E-2</v>
      </c>
      <c r="Y26" s="2">
        <f t="shared" ca="1" si="6"/>
        <v>-8.0381009375623494E-2</v>
      </c>
      <c r="Z26" s="2">
        <f t="shared" ca="1" si="4"/>
        <v>-7.9837127403864117E-2</v>
      </c>
    </row>
    <row r="27" spans="1:26">
      <c r="A27" s="22">
        <v>32932</v>
      </c>
      <c r="B27" s="25" t="s">
        <v>45</v>
      </c>
      <c r="C27" s="25" t="s">
        <v>46</v>
      </c>
      <c r="D27" s="25" t="s">
        <v>41</v>
      </c>
      <c r="E27" s="25" t="s">
        <v>41</v>
      </c>
      <c r="F27" s="25" t="s">
        <v>39</v>
      </c>
      <c r="H27" s="23">
        <f ca="1">'Index Data'!E136</f>
        <v>3.2358336730533579E-3</v>
      </c>
      <c r="I27" s="23">
        <f ca="1">'Index Data'!D136</f>
        <v>-4.1976834420716702E-2</v>
      </c>
      <c r="J27" s="23">
        <f ca="1">'Index Data'!B136</f>
        <v>-6.9582883496805858E-2</v>
      </c>
      <c r="K27" s="23">
        <f ca="1">'Index Data'!C136</f>
        <v>3.9244368286872514E-2</v>
      </c>
      <c r="L27" s="23">
        <f ca="1">'Index Data'!AH136</f>
        <v>-8.5000000000000006E-3</v>
      </c>
      <c r="M27" s="23">
        <f ca="1">'Index Data'!V136</f>
        <v>7.0606609472783433E-3</v>
      </c>
      <c r="N27" s="23">
        <f ca="1">'Index Data'!W136</f>
        <v>2.524113864491833E-2</v>
      </c>
      <c r="O27" s="23">
        <f ca="1">'Index Data'!R136</f>
        <v>8.7273881307520975E-3</v>
      </c>
      <c r="P27" s="23">
        <f ca="1">'Index Data'!S136</f>
        <v>1.1931866093262434E-2</v>
      </c>
      <c r="Q27" s="23">
        <f ca="1">'Index Data'!U136</f>
        <v>1.5736740166865187E-2</v>
      </c>
      <c r="R27" s="24"/>
      <c r="S27" s="23">
        <f t="shared" ca="1" si="5"/>
        <v>-3.2934300801962697E-2</v>
      </c>
      <c r="T27" s="2">
        <f t="shared" ca="1" si="0"/>
        <v>7.0606609472783433E-3</v>
      </c>
      <c r="U27" s="2">
        <f t="shared" ca="1" si="1"/>
        <v>7.0606609472783433E-3</v>
      </c>
      <c r="V27" s="2">
        <f t="shared" ca="1" si="2"/>
        <v>7.0606609472783433E-3</v>
      </c>
      <c r="W27" s="2">
        <f t="shared" ca="1" si="3"/>
        <v>8.7273881307520975E-3</v>
      </c>
      <c r="X27" s="2">
        <v>1.920000002312916E-2</v>
      </c>
      <c r="Y27" s="2">
        <f t="shared" ca="1" si="6"/>
        <v>7.0606609472783442E-3</v>
      </c>
      <c r="Z27" s="2">
        <f t="shared" ca="1" si="4"/>
        <v>9.6135333012090374E-3</v>
      </c>
    </row>
    <row r="28" spans="1:26">
      <c r="A28" s="22">
        <v>32963</v>
      </c>
      <c r="B28" s="25" t="s">
        <v>45</v>
      </c>
      <c r="C28" s="25" t="s">
        <v>46</v>
      </c>
      <c r="D28" s="25" t="s">
        <v>41</v>
      </c>
      <c r="E28" s="25" t="s">
        <v>41</v>
      </c>
      <c r="F28" s="25" t="s">
        <v>39</v>
      </c>
      <c r="H28" s="23">
        <f ca="1">'Index Data'!E137</f>
        <v>7.3650793650798852E-4</v>
      </c>
      <c r="I28" s="23">
        <f ca="1">'Index Data'!D137</f>
        <v>-6.1726543163579221E-2</v>
      </c>
      <c r="J28" s="23">
        <f ca="1">'Index Data'!B137</f>
        <v>-0.10397102366835662</v>
      </c>
      <c r="K28" s="23">
        <f ca="1">'Index Data'!C137</f>
        <v>-0.13532534384299849</v>
      </c>
      <c r="L28" s="23">
        <f ca="1">'Index Data'!AH137</f>
        <v>-9.4600000000000004E-2</v>
      </c>
      <c r="M28" s="23">
        <f ca="1">'Index Data'!V137</f>
        <v>3.9816051350536362E-2</v>
      </c>
      <c r="N28" s="23">
        <f ca="1">'Index Data'!W137</f>
        <v>1.0220764692946837E-2</v>
      </c>
      <c r="O28" s="23">
        <f ca="1">'Index Data'!R137</f>
        <v>3.0517539719993787E-2</v>
      </c>
      <c r="P28" s="23">
        <f ca="1">'Index Data'!S137</f>
        <v>1.5666013916086911E-2</v>
      </c>
      <c r="Q28" s="23">
        <f ca="1">'Index Data'!U137</f>
        <v>2.4862030399149374E-2</v>
      </c>
      <c r="R28" s="24"/>
      <c r="S28" s="23">
        <f t="shared" ca="1" si="5"/>
        <v>-4.9233932943561778E-2</v>
      </c>
      <c r="T28" s="2">
        <f t="shared" ca="1" si="0"/>
        <v>3.9816051350536362E-2</v>
      </c>
      <c r="U28" s="2">
        <f t="shared" ca="1" si="1"/>
        <v>3.9816051350536362E-2</v>
      </c>
      <c r="V28" s="2">
        <f t="shared" ca="1" si="2"/>
        <v>3.9816051350536362E-2</v>
      </c>
      <c r="W28" s="2">
        <f t="shared" ca="1" si="3"/>
        <v>3.0517539719993787E-2</v>
      </c>
      <c r="X28" s="2">
        <v>2.4300000018537382E-2</v>
      </c>
      <c r="Y28" s="2">
        <f t="shared" ca="1" si="6"/>
        <v>3.9816051350536362E-2</v>
      </c>
      <c r="Z28" s="2">
        <f t="shared" ca="1" si="4"/>
        <v>3.601545271184587E-2</v>
      </c>
    </row>
    <row r="29" spans="1:26">
      <c r="A29" s="22">
        <v>32993</v>
      </c>
      <c r="B29" s="25" t="s">
        <v>48</v>
      </c>
      <c r="C29" s="25" t="s">
        <v>46</v>
      </c>
      <c r="D29" s="25" t="s">
        <v>41</v>
      </c>
      <c r="E29" s="25" t="s">
        <v>41</v>
      </c>
      <c r="F29" s="25" t="s">
        <v>43</v>
      </c>
      <c r="H29" s="23">
        <f ca="1">'Index Data'!E138</f>
        <v>-9.16150644604612E-3</v>
      </c>
      <c r="I29" s="23">
        <f ca="1">'Index Data'!D138</f>
        <v>-1.2549960031974368E-2</v>
      </c>
      <c r="J29" s="23">
        <f ca="1">'Index Data'!B138</f>
        <v>-7.6701334420757319E-3</v>
      </c>
      <c r="K29" s="23">
        <f ca="1">'Index Data'!C138</f>
        <v>7.2182689177247614E-2</v>
      </c>
      <c r="L29" s="23">
        <f ca="1">'Index Data'!AH138</f>
        <v>3.2000000000000002E-3</v>
      </c>
      <c r="M29" s="23">
        <f ca="1">'Index Data'!V138</f>
        <v>-1.3019295901562989E-2</v>
      </c>
      <c r="N29" s="23">
        <f ca="1">'Index Data'!W138</f>
        <v>-3.8955139125496877E-2</v>
      </c>
      <c r="O29" s="23">
        <f ca="1">'Index Data'!R138</f>
        <v>-1.2211876049458271E-2</v>
      </c>
      <c r="P29" s="23">
        <f ca="1">'Index Data'!S138</f>
        <v>-2.797719161504706E-2</v>
      </c>
      <c r="Q29" s="23">
        <f ca="1">'Index Data'!U138</f>
        <v>-2.5994239404619163E-2</v>
      </c>
      <c r="R29" s="24"/>
      <c r="S29" s="23">
        <f t="shared" ca="1" si="5"/>
        <v>-1.0516887880417419E-2</v>
      </c>
      <c r="T29" s="2">
        <f t="shared" ca="1" si="0"/>
        <v>-1.3019295901562989E-2</v>
      </c>
      <c r="U29" s="2">
        <f t="shared" ca="1" si="1"/>
        <v>-1.3019295901562989E-2</v>
      </c>
      <c r="V29" s="2">
        <f t="shared" ca="1" si="2"/>
        <v>-1.3019295901562989E-2</v>
      </c>
      <c r="W29" s="2">
        <f t="shared" ca="1" si="3"/>
        <v>-1.3019295901562991E-2</v>
      </c>
      <c r="X29" s="2">
        <v>-1.3899999986523359E-2</v>
      </c>
      <c r="Y29" s="2">
        <f t="shared" ca="1" si="6"/>
        <v>-1.3019295901562991E-2</v>
      </c>
      <c r="Z29" s="2">
        <f t="shared" ca="1" si="4"/>
        <v>-1.3195436718555064E-2</v>
      </c>
    </row>
    <row r="30" spans="1:26">
      <c r="A30" s="22">
        <v>33024</v>
      </c>
      <c r="B30" s="25" t="s">
        <v>48</v>
      </c>
      <c r="C30" s="25" t="s">
        <v>46</v>
      </c>
      <c r="D30" s="25" t="s">
        <v>41</v>
      </c>
      <c r="E30" s="25" t="s">
        <v>41</v>
      </c>
      <c r="F30" s="25" t="s">
        <v>43</v>
      </c>
      <c r="H30" s="23">
        <f ca="1">'Index Data'!E139</f>
        <v>2.9608380503547378E-2</v>
      </c>
      <c r="I30" s="23">
        <f ca="1">'Index Data'!D139</f>
        <v>0.10448474054885462</v>
      </c>
      <c r="J30" s="23">
        <f ca="1">'Index Data'!B139</f>
        <v>0.11440675613056399</v>
      </c>
      <c r="K30" s="23">
        <f ca="1">'Index Data'!C139</f>
        <v>8.2115126013967837E-2</v>
      </c>
      <c r="L30" s="23">
        <f ca="1">'Index Data'!AH139</f>
        <v>-1.9099999999999999E-2</v>
      </c>
      <c r="M30" s="23">
        <f ca="1">'Index Data'!V139</f>
        <v>0.10393317382361579</v>
      </c>
      <c r="N30" s="23">
        <f ca="1">'Index Data'!W139</f>
        <v>8.2998503111951449E-2</v>
      </c>
      <c r="O30" s="23">
        <f ca="1">'Index Data'!R139</f>
        <v>0.11451089476124264</v>
      </c>
      <c r="P30" s="23">
        <f ca="1">'Index Data'!S139</f>
        <v>8.2971090947457374E-2</v>
      </c>
      <c r="Q30" s="23">
        <f ca="1">'Index Data'!U139</f>
        <v>9.3582396590992462E-2</v>
      </c>
      <c r="R30" s="24"/>
      <c r="S30" s="23">
        <f t="shared" ca="1" si="5"/>
        <v>5.9558924521670276E-2</v>
      </c>
      <c r="T30" s="2">
        <f t="shared" ca="1" si="0"/>
        <v>0.10393317382361579</v>
      </c>
      <c r="U30" s="2">
        <f t="shared" ca="1" si="1"/>
        <v>0.10393317382361579</v>
      </c>
      <c r="V30" s="2">
        <f t="shared" ca="1" si="2"/>
        <v>0.10393317382361579</v>
      </c>
      <c r="W30" s="2">
        <f t="shared" ca="1" si="3"/>
        <v>0.10393317382361579</v>
      </c>
      <c r="X30" s="2">
        <v>0.11179999998615386</v>
      </c>
      <c r="Y30" s="2">
        <f t="shared" ca="1" si="6"/>
        <v>0.10393317382361579</v>
      </c>
      <c r="Z30" s="2">
        <f t="shared" ca="1" si="4"/>
        <v>0.10550653905612342</v>
      </c>
    </row>
    <row r="31" spans="1:26">
      <c r="A31" s="22">
        <v>33054</v>
      </c>
      <c r="B31" s="25" t="s">
        <v>48</v>
      </c>
      <c r="C31" s="25" t="s">
        <v>46</v>
      </c>
      <c r="D31" s="25" t="s">
        <v>41</v>
      </c>
      <c r="E31" s="25" t="s">
        <v>41</v>
      </c>
      <c r="F31" s="25" t="s">
        <v>43</v>
      </c>
      <c r="H31" s="23">
        <f ca="1">'Index Data'!E140</f>
        <v>1.6045175253115721E-2</v>
      </c>
      <c r="I31" s="23">
        <f ca="1">'Index Data'!D140</f>
        <v>-6.7137213512465481E-3</v>
      </c>
      <c r="J31" s="23">
        <f ca="1">'Index Data'!B140</f>
        <v>-8.5681428972448001E-3</v>
      </c>
      <c r="K31" s="23">
        <f ca="1">'Index Data'!C140</f>
        <v>3.455463801811904E-2</v>
      </c>
      <c r="L31" s="23">
        <f ca="1">'Index Data'!AH140</f>
        <v>-1.21E-2</v>
      </c>
      <c r="M31" s="23">
        <f ca="1">'Index Data'!V140</f>
        <v>1.0817901821362079E-2</v>
      </c>
      <c r="N31" s="23">
        <f ca="1">'Index Data'!W140</f>
        <v>-2.2733059324191614E-2</v>
      </c>
      <c r="O31" s="23">
        <f ca="1">'Index Data'!R140</f>
        <v>2.3987798114253882E-2</v>
      </c>
      <c r="P31" s="23">
        <f ca="1">'Index Data'!S140</f>
        <v>-7.326292817894953E-3</v>
      </c>
      <c r="Q31" s="23">
        <f ca="1">'Index Data'!U140</f>
        <v>-5.4586069635029141E-3</v>
      </c>
      <c r="R31" s="24"/>
      <c r="S31" s="23">
        <f t="shared" ca="1" si="5"/>
        <v>6.9416166113708128E-3</v>
      </c>
      <c r="T31" s="2">
        <f t="shared" ca="1" si="0"/>
        <v>1.0817901821362079E-2</v>
      </c>
      <c r="U31" s="2">
        <f t="shared" ca="1" si="1"/>
        <v>1.0817901821362079E-2</v>
      </c>
      <c r="V31" s="2">
        <f t="shared" ca="1" si="2"/>
        <v>1.0817901821362079E-2</v>
      </c>
      <c r="W31" s="2">
        <f t="shared" ca="1" si="3"/>
        <v>1.0817901821362079E-2</v>
      </c>
      <c r="X31" s="2">
        <v>1.0199999951550298E-2</v>
      </c>
      <c r="Y31" s="2">
        <f t="shared" ca="1" si="6"/>
        <v>1.0817901821362079E-2</v>
      </c>
      <c r="Z31" s="2">
        <f t="shared" ca="1" si="4"/>
        <v>1.0694321447399721E-2</v>
      </c>
    </row>
    <row r="32" spans="1:26">
      <c r="A32" s="22">
        <v>33085</v>
      </c>
      <c r="B32" s="25" t="s">
        <v>48</v>
      </c>
      <c r="C32" s="25" t="s">
        <v>46</v>
      </c>
      <c r="D32" s="25" t="s">
        <v>41</v>
      </c>
      <c r="E32" s="25" t="s">
        <v>41</v>
      </c>
      <c r="F32" s="25" t="s">
        <v>43</v>
      </c>
      <c r="H32" s="23">
        <f ca="1">'Index Data'!E141</f>
        <v>1.3833121143864405E-2</v>
      </c>
      <c r="I32" s="23">
        <f ca="1">'Index Data'!D141</f>
        <v>1.0153407958914154E-2</v>
      </c>
      <c r="J32" s="23">
        <f ca="1">'Index Data'!B141</f>
        <v>1.4344081481754476E-2</v>
      </c>
      <c r="K32" s="23">
        <f ca="1">'Index Data'!C141</f>
        <v>8.8189708617482931E-2</v>
      </c>
      <c r="L32" s="23">
        <f ca="1">'Index Data'!AH141</f>
        <v>2.81E-2</v>
      </c>
      <c r="M32" s="23">
        <f ca="1">'Index Data'!V141</f>
        <v>-9.1221998608159091E-3</v>
      </c>
      <c r="N32" s="23">
        <f ca="1">'Index Data'!W141</f>
        <v>-8.7278546970372579E-3</v>
      </c>
      <c r="O32" s="23">
        <f ca="1">'Index Data'!R141</f>
        <v>6.093432633717033E-3</v>
      </c>
      <c r="P32" s="23">
        <f ca="1">'Index Data'!S141</f>
        <v>2.1591489027598296E-3</v>
      </c>
      <c r="Q32" s="23">
        <f ca="1">'Index Data'!U141</f>
        <v>-8.9336981119329268E-3</v>
      </c>
      <c r="R32" s="24"/>
      <c r="S32" s="23">
        <f t="shared" ca="1" si="5"/>
        <v>1.2361235869884305E-2</v>
      </c>
      <c r="T32" s="2">
        <f t="shared" ca="1" si="0"/>
        <v>-9.1221998608159091E-3</v>
      </c>
      <c r="U32" s="2">
        <f t="shared" ca="1" si="1"/>
        <v>-9.1221998608159091E-3</v>
      </c>
      <c r="V32" s="2">
        <f t="shared" ca="1" si="2"/>
        <v>-9.1221998608159091E-3</v>
      </c>
      <c r="W32" s="2">
        <f t="shared" ca="1" si="3"/>
        <v>-9.1221998608159091E-3</v>
      </c>
      <c r="X32" s="2">
        <v>1.0500000015519095E-2</v>
      </c>
      <c r="Y32" s="2">
        <f t="shared" ca="1" si="6"/>
        <v>-9.1221998608159091E-3</v>
      </c>
      <c r="Z32" s="2">
        <f t="shared" ca="1" si="4"/>
        <v>-5.1977598855489082E-3</v>
      </c>
    </row>
    <row r="33" spans="1:26">
      <c r="A33" s="22">
        <v>33116</v>
      </c>
      <c r="B33" s="25" t="s">
        <v>48</v>
      </c>
      <c r="C33" s="25" t="s">
        <v>46</v>
      </c>
      <c r="D33" s="25" t="s">
        <v>41</v>
      </c>
      <c r="E33" s="25" t="s">
        <v>41</v>
      </c>
      <c r="F33" s="25" t="s">
        <v>43</v>
      </c>
      <c r="H33" s="23">
        <f ca="1">'Index Data'!E142</f>
        <v>-1.3354584752106964E-2</v>
      </c>
      <c r="I33" s="23">
        <f ca="1">'Index Data'!D142</f>
        <v>-9.4004981847666397E-2</v>
      </c>
      <c r="J33" s="23">
        <f ca="1">'Index Data'!B142</f>
        <v>-9.6837614978426106E-2</v>
      </c>
      <c r="K33" s="23">
        <f ca="1">'Index Data'!C142</f>
        <v>-0.12758154109101263</v>
      </c>
      <c r="L33" s="23">
        <f ca="1">'Index Data'!AH142</f>
        <v>3.95E-2</v>
      </c>
      <c r="M33" s="23">
        <f ca="1">'Index Data'!V142</f>
        <v>-9.5858167875175676E-2</v>
      </c>
      <c r="N33" s="23">
        <f ca="1">'Index Data'!W142</f>
        <v>-8.7943755045337635E-2</v>
      </c>
      <c r="O33" s="23">
        <f ca="1">'Index Data'!R142</f>
        <v>-8.4791386271870758E-2</v>
      </c>
      <c r="P33" s="23">
        <f ca="1">'Index Data'!S142</f>
        <v>-8.2771858351613908E-2</v>
      </c>
      <c r="Q33" s="23">
        <f ca="1">'Index Data'!U142</f>
        <v>-9.1778137513845129E-2</v>
      </c>
      <c r="R33" s="24"/>
      <c r="S33" s="23">
        <f t="shared" ca="1" si="5"/>
        <v>-4.5614743590330735E-2</v>
      </c>
      <c r="T33" s="2">
        <f t="shared" ca="1" si="0"/>
        <v>-9.5858167875175676E-2</v>
      </c>
      <c r="U33" s="2">
        <f t="shared" ca="1" si="1"/>
        <v>-9.5858167875175676E-2</v>
      </c>
      <c r="V33" s="2">
        <f t="shared" ca="1" si="2"/>
        <v>-9.5858167875175676E-2</v>
      </c>
      <c r="W33" s="2">
        <f t="shared" ca="1" si="3"/>
        <v>-9.5858167875175676E-2</v>
      </c>
      <c r="X33" s="2">
        <v>-8.6500000002157962E-2</v>
      </c>
      <c r="Y33" s="2">
        <f t="shared" ca="1" si="6"/>
        <v>-9.5858167875175676E-2</v>
      </c>
      <c r="Z33" s="2">
        <f t="shared" ca="1" si="4"/>
        <v>-9.3986534300572133E-2</v>
      </c>
    </row>
    <row r="34" spans="1:26">
      <c r="A34" s="22">
        <v>33146</v>
      </c>
      <c r="B34" s="25" t="s">
        <v>48</v>
      </c>
      <c r="C34" s="25" t="s">
        <v>46</v>
      </c>
      <c r="D34" s="25" t="s">
        <v>41</v>
      </c>
      <c r="E34" s="25" t="s">
        <v>41</v>
      </c>
      <c r="F34" s="25" t="s">
        <v>40</v>
      </c>
      <c r="H34" s="23">
        <f ca="1">'Index Data'!E143</f>
        <v>8.2729586841589868E-3</v>
      </c>
      <c r="I34" s="23">
        <f ca="1">'Index Data'!D143</f>
        <v>-0.1044844712484278</v>
      </c>
      <c r="J34" s="23">
        <f ca="1">'Index Data'!B143</f>
        <v>-0.13907320698036071</v>
      </c>
      <c r="K34" s="23">
        <f ca="1">'Index Data'!C143</f>
        <v>-0.12770907309905716</v>
      </c>
      <c r="L34" s="23">
        <f ca="1">'Index Data'!AH143</f>
        <v>4.6500000000000007E-2</v>
      </c>
      <c r="M34" s="23">
        <f ca="1">'Index Data'!V143</f>
        <v>-5.3913335572724173E-2</v>
      </c>
      <c r="N34" s="23">
        <f ca="1">'Index Data'!W143</f>
        <v>-4.840220243914993E-2</v>
      </c>
      <c r="O34" s="23">
        <f ca="1">'Index Data'!R143</f>
        <v>-4.4558823529411783E-2</v>
      </c>
      <c r="P34" s="23">
        <f ca="1">'Index Data'!S143</f>
        <v>-2.1823617339312464E-2</v>
      </c>
      <c r="Q34" s="23">
        <f ca="1">'Index Data'!U143</f>
        <v>-5.1107900711082774E-2</v>
      </c>
      <c r="R34" s="24"/>
      <c r="S34" s="23">
        <f t="shared" ca="1" si="5"/>
        <v>-3.6830013288875738E-2</v>
      </c>
      <c r="T34" s="2">
        <f t="shared" ca="1" si="0"/>
        <v>-5.3913335572724173E-2</v>
      </c>
      <c r="U34" s="2">
        <f t="shared" ca="1" si="1"/>
        <v>-5.3913335572724173E-2</v>
      </c>
      <c r="V34" s="2">
        <f t="shared" ca="1" si="2"/>
        <v>-5.3913335572724173E-2</v>
      </c>
      <c r="W34" s="2">
        <f t="shared" ca="1" si="3"/>
        <v>-2.1823617339312464E-2</v>
      </c>
      <c r="X34" s="2">
        <v>-4.5499999992440365E-2</v>
      </c>
      <c r="Y34" s="2">
        <f t="shared" ca="1" si="6"/>
        <v>-5.3913335572724173E-2</v>
      </c>
      <c r="Z34" s="2">
        <f t="shared" ca="1" si="4"/>
        <v>-4.982393958916153E-2</v>
      </c>
    </row>
    <row r="35" spans="1:26">
      <c r="A35" s="22">
        <v>33177</v>
      </c>
      <c r="B35" s="25" t="s">
        <v>48</v>
      </c>
      <c r="C35" s="25" t="s">
        <v>46</v>
      </c>
      <c r="D35" s="25" t="s">
        <v>41</v>
      </c>
      <c r="E35" s="25" t="s">
        <v>41</v>
      </c>
      <c r="F35" s="25" t="s">
        <v>40</v>
      </c>
      <c r="H35" s="23">
        <f ca="1">'Index Data'!E144</f>
        <v>1.2696023692770838E-2</v>
      </c>
      <c r="I35" s="23">
        <f ca="1">'Index Data'!D144</f>
        <v>9.2023877049401751E-2</v>
      </c>
      <c r="J35" s="23">
        <f ca="1">'Index Data'!B144</f>
        <v>0.1561399173399817</v>
      </c>
      <c r="K35" s="23">
        <f ca="1">'Index Data'!C144</f>
        <v>-1.8575706531910905E-2</v>
      </c>
      <c r="L35" s="23">
        <f ca="1">'Index Data'!AH144</f>
        <v>-5.2699999999999997E-2</v>
      </c>
      <c r="M35" s="23">
        <f ca="1">'Index Data'!V144</f>
        <v>4.0054145215693707E-3</v>
      </c>
      <c r="N35" s="23">
        <f ca="1">'Index Data'!W144</f>
        <v>-1.3681296100019474E-2</v>
      </c>
      <c r="O35" s="23">
        <f ca="1">'Index Data'!R144</f>
        <v>1.262120978913356E-2</v>
      </c>
      <c r="P35" s="23">
        <f ca="1">'Index Data'!S144</f>
        <v>1.2530562347188284E-2</v>
      </c>
      <c r="Q35" s="23">
        <f ca="1">'Index Data'!U144</f>
        <v>-4.9431537320810681E-3</v>
      </c>
      <c r="R35" s="24"/>
      <c r="S35" s="23">
        <f t="shared" ca="1" si="5"/>
        <v>4.4427165035423204E-2</v>
      </c>
      <c r="T35" s="2">
        <f t="shared" ca="1" si="0"/>
        <v>4.0054145215693707E-3</v>
      </c>
      <c r="U35" s="2">
        <f t="shared" ca="1" si="1"/>
        <v>4.0054145215693707E-3</v>
      </c>
      <c r="V35" s="2">
        <f t="shared" ca="1" si="2"/>
        <v>4.0054145215693707E-3</v>
      </c>
      <c r="W35" s="2">
        <f t="shared" ca="1" si="3"/>
        <v>1.2530562347188284E-2</v>
      </c>
      <c r="X35" s="2">
        <v>1.8500000013694784E-2</v>
      </c>
      <c r="Y35" s="2">
        <f t="shared" ca="1" si="6"/>
        <v>4.0054145215693707E-3</v>
      </c>
      <c r="Z35" s="2">
        <f t="shared" ca="1" si="4"/>
        <v>7.5437177069158715E-3</v>
      </c>
    </row>
    <row r="36" spans="1:26">
      <c r="A36" s="22">
        <v>33207</v>
      </c>
      <c r="B36" s="25" t="s">
        <v>48</v>
      </c>
      <c r="C36" s="25" t="s">
        <v>46</v>
      </c>
      <c r="D36" s="25" t="s">
        <v>41</v>
      </c>
      <c r="E36" s="25" t="s">
        <v>41</v>
      </c>
      <c r="F36" s="25" t="s">
        <v>40</v>
      </c>
      <c r="H36" s="23">
        <f ca="1">'Index Data'!E145</f>
        <v>2.1525996596111804E-2</v>
      </c>
      <c r="I36" s="23">
        <f ca="1">'Index Data'!D145</f>
        <v>-1.6761480748619023E-2</v>
      </c>
      <c r="J36" s="23">
        <f ca="1">'Index Data'!B145</f>
        <v>-5.8703238474136006E-2</v>
      </c>
      <c r="K36" s="23">
        <f ca="1">'Index Data'!C145</f>
        <v>-5.2157330154946363E-2</v>
      </c>
      <c r="L36" s="23">
        <f ca="1">'Index Data'!AH145</f>
        <v>5.1999999999999998E-3</v>
      </c>
      <c r="M36" s="23">
        <f ca="1">'Index Data'!V145</f>
        <v>6.7367304313231319E-2</v>
      </c>
      <c r="N36" s="23">
        <f ca="1">'Index Data'!W145</f>
        <v>6.9333421055517097E-2</v>
      </c>
      <c r="O36" s="23">
        <f ca="1">'Index Data'!R145</f>
        <v>6.3991488068095348E-2</v>
      </c>
      <c r="P36" s="23">
        <f ca="1">'Index Data'!S145</f>
        <v>5.3857099736966972E-2</v>
      </c>
      <c r="Q36" s="23">
        <f ca="1">'Index Data'!U145</f>
        <v>6.8256333830104363E-2</v>
      </c>
      <c r="R36" s="24"/>
      <c r="S36" s="23">
        <f t="shared" ca="1" si="5"/>
        <v>6.2110056582194723E-3</v>
      </c>
      <c r="T36" s="2">
        <f t="shared" ca="1" si="0"/>
        <v>6.7367304313231319E-2</v>
      </c>
      <c r="U36" s="2">
        <f t="shared" ca="1" si="1"/>
        <v>6.7367304313231319E-2</v>
      </c>
      <c r="V36" s="2">
        <f t="shared" ca="1" si="2"/>
        <v>6.7367304313231319E-2</v>
      </c>
      <c r="W36" s="2">
        <f t="shared" ca="1" si="3"/>
        <v>5.3857099736966972E-2</v>
      </c>
      <c r="X36" s="2">
        <v>6.0899999971252949E-2</v>
      </c>
      <c r="Y36" s="2">
        <f t="shared" ca="1" si="6"/>
        <v>6.7367304313231319E-2</v>
      </c>
      <c r="Z36" s="2">
        <f t="shared" ca="1" si="4"/>
        <v>6.5060578101615821E-2</v>
      </c>
    </row>
    <row r="37" spans="1:26">
      <c r="A37" s="22">
        <v>33238</v>
      </c>
      <c r="B37" s="25" t="s">
        <v>48</v>
      </c>
      <c r="C37" s="25" t="s">
        <v>46</v>
      </c>
      <c r="D37" s="25" t="s">
        <v>41</v>
      </c>
      <c r="E37" s="25" t="s">
        <v>41</v>
      </c>
      <c r="F37" s="25" t="s">
        <v>40</v>
      </c>
      <c r="H37" s="23">
        <f ca="1">'Index Data'!E146</f>
        <v>1.5581368062888757E-2</v>
      </c>
      <c r="I37" s="23">
        <f ca="1">'Index Data'!D146</f>
        <v>2.1575253444242208E-2</v>
      </c>
      <c r="J37" s="23">
        <f ca="1">'Index Data'!B146</f>
        <v>1.6589295067194598E-2</v>
      </c>
      <c r="K37" s="23">
        <f ca="1">'Index Data'!C146</f>
        <v>4.2251395805040018E-2</v>
      </c>
      <c r="L37" s="23">
        <f ca="1">'Index Data'!AH146</f>
        <v>3.3700000000000001E-2</v>
      </c>
      <c r="M37" s="23">
        <f ca="1">'Index Data'!V146</f>
        <v>3.5357457162085278E-2</v>
      </c>
      <c r="N37" s="23">
        <f ca="1">'Index Data'!W146</f>
        <v>2.5430680885972154E-2</v>
      </c>
      <c r="O37" s="23">
        <f ca="1">'Index Data'!R146</f>
        <v>1.8285714285714301E-2</v>
      </c>
      <c r="P37" s="23">
        <f ca="1">'Index Data'!S146</f>
        <v>2.5818330605564658E-2</v>
      </c>
      <c r="Q37" s="23">
        <f ca="1">'Index Data'!U146</f>
        <v>3.0282738095238047E-2</v>
      </c>
      <c r="R37" s="24"/>
      <c r="S37" s="23">
        <f t="shared" ca="1" si="5"/>
        <v>1.7978922215430137E-2</v>
      </c>
      <c r="T37" s="2">
        <f t="shared" ca="1" si="0"/>
        <v>3.5357457162085278E-2</v>
      </c>
      <c r="U37" s="2">
        <f t="shared" ca="1" si="1"/>
        <v>3.5357457162085278E-2</v>
      </c>
      <c r="V37" s="2">
        <f t="shared" ca="1" si="2"/>
        <v>3.5357457162085278E-2</v>
      </c>
      <c r="W37" s="2">
        <f t="shared" ca="1" si="3"/>
        <v>2.5818330605564658E-2</v>
      </c>
      <c r="X37" s="2">
        <v>2.7000000040160455E-2</v>
      </c>
      <c r="Y37" s="2">
        <f t="shared" ca="1" si="6"/>
        <v>3.5357457162085278E-2</v>
      </c>
      <c r="Z37" s="2">
        <f t="shared" ca="1" si="4"/>
        <v>3.2970531245961263E-2</v>
      </c>
    </row>
    <row r="38" spans="1:26">
      <c r="A38" s="22">
        <v>33269</v>
      </c>
      <c r="B38" s="25" t="s">
        <v>48</v>
      </c>
      <c r="C38" s="25" t="s">
        <v>46</v>
      </c>
      <c r="D38" s="25" t="s">
        <v>41</v>
      </c>
      <c r="E38" s="25" t="s">
        <v>41</v>
      </c>
      <c r="F38" s="25" t="s">
        <v>40</v>
      </c>
      <c r="H38" s="23">
        <f ca="1">'Index Data'!E147</f>
        <v>1.2361653457797007E-2</v>
      </c>
      <c r="I38" s="23">
        <f ca="1">'Index Data'!D147</f>
        <v>3.6985964048263979E-2</v>
      </c>
      <c r="J38" s="23">
        <f ca="1">'Index Data'!B147</f>
        <v>3.2625642259730289E-2</v>
      </c>
      <c r="K38" s="23">
        <f ca="1">'Index Data'!C147</f>
        <v>8.083586699483615E-2</v>
      </c>
      <c r="L38" s="23">
        <f ca="1">'Index Data'!AH147</f>
        <v>-7.6700000000000004E-2</v>
      </c>
      <c r="M38" s="23">
        <f ca="1">'Index Data'!V147</f>
        <v>5.1599999999999965E-2</v>
      </c>
      <c r="N38" s="23">
        <f ca="1">'Index Data'!W147</f>
        <v>4.510000000000005E-2</v>
      </c>
      <c r="O38" s="23">
        <f ca="1">'Index Data'!R147</f>
        <v>2.4130190796857451E-2</v>
      </c>
      <c r="P38" s="23">
        <f ca="1">'Index Data'!S147</f>
        <v>1.8308005265047278E-2</v>
      </c>
      <c r="Q38" s="23">
        <f ca="1">'Index Data'!U147</f>
        <v>4.8259550805228611E-2</v>
      </c>
      <c r="R38" s="24"/>
      <c r="S38" s="23">
        <f t="shared" ca="1" si="5"/>
        <v>2.2211377693983798E-2</v>
      </c>
      <c r="T38" s="2">
        <f t="shared" ca="1" si="0"/>
        <v>5.1599999999999965E-2</v>
      </c>
      <c r="U38" s="2">
        <f t="shared" ca="1" si="1"/>
        <v>5.1599999999999965E-2</v>
      </c>
      <c r="V38" s="2">
        <f t="shared" ca="1" si="2"/>
        <v>5.1599999999999965E-2</v>
      </c>
      <c r="W38" s="2">
        <f t="shared" ca="1" si="3"/>
        <v>1.8308005265047278E-2</v>
      </c>
      <c r="X38" s="2">
        <v>3.4699999965430051E-2</v>
      </c>
      <c r="Y38" s="2">
        <f t="shared" ca="1" si="6"/>
        <v>5.1599999999999965E-2</v>
      </c>
      <c r="Z38" s="2">
        <f t="shared" ca="1" si="4"/>
        <v>4.5723100387964531E-2</v>
      </c>
    </row>
    <row r="39" spans="1:26">
      <c r="A39" s="22">
        <v>33297</v>
      </c>
      <c r="B39" s="25" t="s">
        <v>48</v>
      </c>
      <c r="C39" s="25" t="s">
        <v>46</v>
      </c>
      <c r="D39" s="25" t="s">
        <v>41</v>
      </c>
      <c r="E39" s="25" t="s">
        <v>41</v>
      </c>
      <c r="F39" s="25" t="s">
        <v>40</v>
      </c>
      <c r="H39" s="23">
        <f ca="1">'Index Data'!E148</f>
        <v>8.5360843565983682E-3</v>
      </c>
      <c r="I39" s="23">
        <f ca="1">'Index Data'!D148</f>
        <v>9.4042869807497584E-2</v>
      </c>
      <c r="J39" s="23">
        <f ca="1">'Index Data'!B148</f>
        <v>0.10749286612107872</v>
      </c>
      <c r="K39" s="23">
        <f ca="1">'Index Data'!C148</f>
        <v>0.14792820146454708</v>
      </c>
      <c r="L39" s="23">
        <f ca="1">'Index Data'!AH148</f>
        <v>8.6999999999999994E-3</v>
      </c>
      <c r="M39" s="23">
        <f ca="1">'Index Data'!V148</f>
        <v>7.9593001141118336E-2</v>
      </c>
      <c r="N39" s="23">
        <f ca="1">'Index Data'!W148</f>
        <v>6.6500813319299482E-2</v>
      </c>
      <c r="O39" s="23">
        <f ca="1">'Index Data'!R148</f>
        <v>8.0821917808219262E-2</v>
      </c>
      <c r="P39" s="23">
        <f ca="1">'Index Data'!S148</f>
        <v>5.9616137877007321E-2</v>
      </c>
      <c r="Q39" s="23">
        <f ca="1">'Index Data'!U148</f>
        <v>7.2906081534937467E-2</v>
      </c>
      <c r="R39" s="24"/>
      <c r="S39" s="23">
        <f t="shared" ca="1" si="5"/>
        <v>4.2738798536958056E-2</v>
      </c>
      <c r="T39" s="2">
        <f t="shared" ca="1" si="0"/>
        <v>7.9593001141118336E-2</v>
      </c>
      <c r="U39" s="2">
        <f t="shared" ca="1" si="1"/>
        <v>7.9593001141118336E-2</v>
      </c>
      <c r="V39" s="2">
        <f t="shared" ca="1" si="2"/>
        <v>7.9593001141118336E-2</v>
      </c>
      <c r="W39" s="2">
        <f t="shared" ca="1" si="3"/>
        <v>5.9616137877007321E-2</v>
      </c>
      <c r="X39" s="2">
        <v>6.7800000023725104E-2</v>
      </c>
      <c r="Y39" s="2">
        <f t="shared" ca="1" si="6"/>
        <v>7.9593001141118336E-2</v>
      </c>
      <c r="Z39" s="2">
        <f t="shared" ca="1" si="4"/>
        <v>7.573613617283137E-2</v>
      </c>
    </row>
    <row r="40" spans="1:26">
      <c r="A40" s="22">
        <v>33328</v>
      </c>
      <c r="B40" s="25" t="s">
        <v>48</v>
      </c>
      <c r="C40" s="25" t="s">
        <v>46</v>
      </c>
      <c r="D40" s="25" t="s">
        <v>41</v>
      </c>
      <c r="E40" s="25" t="s">
        <v>41</v>
      </c>
      <c r="F40" s="25" t="s">
        <v>40</v>
      </c>
      <c r="H40" s="23">
        <f ca="1">'Index Data'!E149</f>
        <v>6.8796958450258452E-3</v>
      </c>
      <c r="I40" s="23">
        <f ca="1">'Index Data'!D149</f>
        <v>-2.7905395139526969E-2</v>
      </c>
      <c r="J40" s="23">
        <f ca="1">'Index Data'!B149</f>
        <v>-5.9791477787851294E-2</v>
      </c>
      <c r="K40" s="23">
        <f ca="1">'Index Data'!C149</f>
        <v>4.1114006768058077E-2</v>
      </c>
      <c r="L40" s="23">
        <f ca="1">'Index Data'!AH149</f>
        <v>-3.2199999999999999E-2</v>
      </c>
      <c r="M40" s="23">
        <f ca="1">'Index Data'!V149</f>
        <v>3.9372852990399006E-2</v>
      </c>
      <c r="N40" s="23">
        <f ca="1">'Index Data'!W149</f>
        <v>1.4803516956755839E-2</v>
      </c>
      <c r="O40" s="23">
        <f ca="1">'Index Data'!R149</f>
        <v>4.6514575411913651E-2</v>
      </c>
      <c r="P40" s="23">
        <f ca="1">'Index Data'!S149</f>
        <v>2.5580363743900696E-2</v>
      </c>
      <c r="Q40" s="23">
        <f ca="1">'Index Data'!U149</f>
        <v>2.7225736025941378E-2</v>
      </c>
      <c r="R40" s="24"/>
      <c r="S40" s="23">
        <f t="shared" ca="1" si="5"/>
        <v>-7.0343405487952818E-3</v>
      </c>
      <c r="T40" s="2">
        <f t="shared" ca="1" si="0"/>
        <v>3.9372852990399006E-2</v>
      </c>
      <c r="U40" s="2">
        <f t="shared" ca="1" si="1"/>
        <v>3.9372852990399006E-2</v>
      </c>
      <c r="V40" s="2">
        <f t="shared" ca="1" si="2"/>
        <v>3.9372852990399006E-2</v>
      </c>
      <c r="W40" s="2">
        <f t="shared" ca="1" si="3"/>
        <v>2.5580363743900696E-2</v>
      </c>
      <c r="X40" s="2">
        <v>2.919999997152356E-2</v>
      </c>
      <c r="Y40" s="2">
        <f t="shared" ca="1" si="6"/>
        <v>3.9372852990399006E-2</v>
      </c>
      <c r="Z40" s="2">
        <f t="shared" ca="1" si="4"/>
        <v>3.6303845693136549E-2</v>
      </c>
    </row>
    <row r="41" spans="1:26">
      <c r="A41" s="22">
        <v>33358</v>
      </c>
      <c r="B41" s="25" t="s">
        <v>45</v>
      </c>
      <c r="C41" s="25" t="s">
        <v>46</v>
      </c>
      <c r="D41" s="25" t="s">
        <v>41</v>
      </c>
      <c r="E41" s="25" t="s">
        <v>41</v>
      </c>
      <c r="F41" s="25" t="s">
        <v>39</v>
      </c>
      <c r="H41" s="23">
        <f ca="1">'Index Data'!E150</f>
        <v>1.0833408253169093E-2</v>
      </c>
      <c r="I41" s="23">
        <f ca="1">'Index Data'!D150</f>
        <v>8.4251265257515359E-3</v>
      </c>
      <c r="J41" s="23">
        <f ca="1">'Index Data'!B150</f>
        <v>1.0111183134020396E-2</v>
      </c>
      <c r="K41" s="23">
        <f ca="1">'Index Data'!C150</f>
        <v>1.0535754315175942E-2</v>
      </c>
      <c r="L41" s="23">
        <f ca="1">'Index Data'!AH150</f>
        <v>1.7000000000000001E-3</v>
      </c>
      <c r="M41" s="23">
        <f ca="1">'Index Data'!V150</f>
        <v>-4.5762711864407307E-3</v>
      </c>
      <c r="N41" s="23">
        <f ca="1">'Index Data'!W150</f>
        <v>7.337989567677468E-3</v>
      </c>
      <c r="O41" s="23">
        <f ca="1">'Index Data'!R150</f>
        <v>-2.5432965968268596E-3</v>
      </c>
      <c r="P41" s="23">
        <f ca="1">'Index Data'!S150</f>
        <v>-7.9296424452123156E-4</v>
      </c>
      <c r="Q41" s="23">
        <f ca="1">'Index Data'!U150</f>
        <v>1.1564306922956854E-3</v>
      </c>
      <c r="R41" s="24"/>
      <c r="S41" s="23">
        <f t="shared" ca="1" si="5"/>
        <v>8.9067828712350479E-3</v>
      </c>
      <c r="T41" s="2">
        <f t="shared" ca="1" si="0"/>
        <v>-4.5762711864407307E-3</v>
      </c>
      <c r="U41" s="2">
        <f t="shared" ca="1" si="1"/>
        <v>-4.5762711864407307E-3</v>
      </c>
      <c r="V41" s="2">
        <f t="shared" ca="1" si="2"/>
        <v>-4.5762711864407307E-3</v>
      </c>
      <c r="W41" s="2">
        <f t="shared" ca="1" si="3"/>
        <v>-2.5432965968268596E-3</v>
      </c>
      <c r="X41" s="2">
        <v>1.4300000032833493E-2</v>
      </c>
      <c r="Y41" s="2">
        <f t="shared" ca="1" si="6"/>
        <v>-4.5762711864407307E-3</v>
      </c>
      <c r="Z41" s="2">
        <f t="shared" ca="1" si="4"/>
        <v>-6.4854384836484551E-4</v>
      </c>
    </row>
    <row r="42" spans="1:26">
      <c r="A42" s="22">
        <v>33389</v>
      </c>
      <c r="B42" s="25" t="s">
        <v>45</v>
      </c>
      <c r="C42" s="25" t="s">
        <v>46</v>
      </c>
      <c r="D42" s="25" t="s">
        <v>41</v>
      </c>
      <c r="E42" s="25" t="s">
        <v>41</v>
      </c>
      <c r="F42" s="25" t="s">
        <v>39</v>
      </c>
      <c r="H42" s="23">
        <f ca="1">'Index Data'!E151</f>
        <v>5.8478231867301004E-3</v>
      </c>
      <c r="I42" s="23">
        <f ca="1">'Index Data'!D151</f>
        <v>2.3920231452779606E-2</v>
      </c>
      <c r="J42" s="23">
        <f ca="1">'Index Data'!B151</f>
        <v>1.0729472106200946E-2</v>
      </c>
      <c r="K42" s="23">
        <f ca="1">'Index Data'!C151</f>
        <v>7.8453120378586108E-2</v>
      </c>
      <c r="L42" s="23">
        <f ca="1">'Index Data'!AH151</f>
        <v>1.03E-2</v>
      </c>
      <c r="M42" s="23">
        <f ca="1">'Index Data'!V151</f>
        <v>4.4696066746126341E-2</v>
      </c>
      <c r="N42" s="23">
        <f ca="1">'Index Data'!W151</f>
        <v>3.7212568018255301E-2</v>
      </c>
      <c r="O42" s="23">
        <f ca="1">'Index Data'!R151</f>
        <v>2.2826614861583241E-2</v>
      </c>
      <c r="P42" s="23">
        <f ca="1">'Index Data'!S151</f>
        <v>2.0453069764086135E-2</v>
      </c>
      <c r="Q42" s="23">
        <f ca="1">'Index Data'!U151</f>
        <v>4.1052697302697408E-2</v>
      </c>
      <c r="R42" s="24"/>
      <c r="S42" s="23">
        <f t="shared" ca="1" si="5"/>
        <v>2.0305749799569707E-2</v>
      </c>
      <c r="T42" s="2">
        <f t="shared" ca="1" si="0"/>
        <v>4.4696066746126341E-2</v>
      </c>
      <c r="U42" s="2">
        <f t="shared" ca="1" si="1"/>
        <v>4.4696066746126341E-2</v>
      </c>
      <c r="V42" s="2">
        <f t="shared" ca="1" si="2"/>
        <v>4.4696066746126341E-2</v>
      </c>
      <c r="W42" s="2">
        <f t="shared" ca="1" si="3"/>
        <v>2.2826614861583241E-2</v>
      </c>
      <c r="X42" s="2">
        <v>5.8800000004408881E-2</v>
      </c>
      <c r="Y42" s="2">
        <f t="shared" ca="1" si="6"/>
        <v>4.4696066746126348E-2</v>
      </c>
      <c r="Z42" s="2">
        <f t="shared" ca="1" si="4"/>
        <v>4.5876644506442119E-2</v>
      </c>
    </row>
    <row r="43" spans="1:26">
      <c r="A43" s="22">
        <v>33419</v>
      </c>
      <c r="B43" s="25" t="s">
        <v>45</v>
      </c>
      <c r="C43" s="25" t="s">
        <v>46</v>
      </c>
      <c r="D43" s="25" t="s">
        <v>41</v>
      </c>
      <c r="E43" s="25" t="s">
        <v>41</v>
      </c>
      <c r="F43" s="25" t="s">
        <v>39</v>
      </c>
      <c r="H43" s="23">
        <f ca="1">'Index Data'!E152</f>
        <v>-5.0843336207091142E-4</v>
      </c>
      <c r="I43" s="23">
        <f ca="1">'Index Data'!D152</f>
        <v>-6.0973236360491033E-2</v>
      </c>
      <c r="J43" s="23">
        <f ca="1">'Index Data'!B152</f>
        <v>-7.3219349632932529E-2</v>
      </c>
      <c r="K43" s="23">
        <f ca="1">'Index Data'!C152</f>
        <v>-3.5721631813507085E-2</v>
      </c>
      <c r="L43" s="23">
        <f ca="1">'Index Data'!AH152</f>
        <v>2.3799999999999998E-2</v>
      </c>
      <c r="M43" s="23">
        <f ca="1">'Index Data'!V152</f>
        <v>-4.7591883302094282E-2</v>
      </c>
      <c r="N43" s="23">
        <f ca="1">'Index Data'!W152</f>
        <v>-4.2139109832458992E-2</v>
      </c>
      <c r="O43" s="23">
        <f ca="1">'Index Data'!R152</f>
        <v>-3.9529914529914514E-2</v>
      </c>
      <c r="P43" s="23">
        <f ca="1">'Index Data'!S152</f>
        <v>-2.4497154370956939E-2</v>
      </c>
      <c r="Q43" s="23">
        <f ca="1">'Index Data'!U152</f>
        <v>-4.4831619036195293E-2</v>
      </c>
      <c r="R43" s="24"/>
      <c r="S43" s="23">
        <f t="shared" ca="1" si="5"/>
        <v>-4.8880275760807015E-2</v>
      </c>
      <c r="T43" s="2">
        <f t="shared" ca="1" si="0"/>
        <v>-4.7591883302094282E-2</v>
      </c>
      <c r="U43" s="2">
        <f t="shared" ca="1" si="1"/>
        <v>-4.7591883302094282E-2</v>
      </c>
      <c r="V43" s="2">
        <f t="shared" ca="1" si="2"/>
        <v>-4.7591883302094282E-2</v>
      </c>
      <c r="W43" s="2">
        <f t="shared" ca="1" si="3"/>
        <v>-3.9529914529914514E-2</v>
      </c>
      <c r="X43" s="2">
        <v>-3.9500000032447913E-2</v>
      </c>
      <c r="Y43" s="2">
        <f t="shared" ca="1" si="6"/>
        <v>-4.7591883302094282E-2</v>
      </c>
      <c r="Z43" s="2">
        <f t="shared" ca="1" si="4"/>
        <v>-4.5368858990251525E-2</v>
      </c>
    </row>
    <row r="44" spans="1:26">
      <c r="A44" s="22">
        <v>33450</v>
      </c>
      <c r="B44" s="25" t="s">
        <v>45</v>
      </c>
      <c r="C44" s="25" t="s">
        <v>46</v>
      </c>
      <c r="D44" s="25" t="s">
        <v>41</v>
      </c>
      <c r="E44" s="25" t="s">
        <v>41</v>
      </c>
      <c r="F44" s="25" t="s">
        <v>39</v>
      </c>
      <c r="H44" s="23">
        <f ca="1">'Index Data'!E153</f>
        <v>1.3867386207811826E-2</v>
      </c>
      <c r="I44" s="23">
        <f ca="1">'Index Data'!D153</f>
        <v>4.763805517601355E-2</v>
      </c>
      <c r="J44" s="23">
        <f ca="1">'Index Data'!B153</f>
        <v>4.9403351348019021E-2</v>
      </c>
      <c r="K44" s="23">
        <f ca="1">'Index Data'!C153</f>
        <v>5.1834470989761246E-2</v>
      </c>
      <c r="L44" s="23">
        <f ca="1">'Index Data'!AH153</f>
        <v>-1.7299999999999999E-2</v>
      </c>
      <c r="M44" s="23">
        <f ca="1">'Index Data'!V153</f>
        <v>5.3734919140925826E-2</v>
      </c>
      <c r="N44" s="23">
        <f ca="1">'Index Data'!W153</f>
        <v>4.1784452296819825E-2</v>
      </c>
      <c r="O44" s="23">
        <f ca="1">'Index Data'!R153</f>
        <v>6.637004078605864E-2</v>
      </c>
      <c r="P44" s="23">
        <f ca="1">'Index Data'!S153</f>
        <v>4.1274097695318319E-2</v>
      </c>
      <c r="Q44" s="23">
        <f ca="1">'Index Data'!U153</f>
        <v>4.8003265101092617E-2</v>
      </c>
      <c r="R44" s="24"/>
      <c r="S44" s="23">
        <f t="shared" ca="1" si="5"/>
        <v>4.0883921382373206E-2</v>
      </c>
      <c r="T44" s="2">
        <f t="shared" ca="1" si="0"/>
        <v>5.3734919140925826E-2</v>
      </c>
      <c r="U44" s="2">
        <f t="shared" ca="1" si="1"/>
        <v>5.3734919140925826E-2</v>
      </c>
      <c r="V44" s="2">
        <f t="shared" ca="1" si="2"/>
        <v>5.3734919140925826E-2</v>
      </c>
      <c r="W44" s="2">
        <f t="shared" ca="1" si="3"/>
        <v>6.637004078605864E-2</v>
      </c>
      <c r="X44" s="2">
        <v>4.7900000018044508E-2</v>
      </c>
      <c r="Y44" s="2">
        <f t="shared" ca="1" si="6"/>
        <v>5.3734919140925833E-2</v>
      </c>
      <c r="Z44" s="2">
        <f t="shared" ca="1" si="4"/>
        <v>5.3515569439734526E-2</v>
      </c>
    </row>
    <row r="45" spans="1:26">
      <c r="A45" s="22">
        <v>33481</v>
      </c>
      <c r="B45" s="25" t="s">
        <v>45</v>
      </c>
      <c r="C45" s="25" t="s">
        <v>46</v>
      </c>
      <c r="D45" s="25" t="s">
        <v>41</v>
      </c>
      <c r="E45" s="25" t="s">
        <v>41</v>
      </c>
      <c r="F45" s="25" t="s">
        <v>39</v>
      </c>
      <c r="H45" s="23">
        <f ca="1">'Index Data'!E154</f>
        <v>2.1640016579044869E-2</v>
      </c>
      <c r="I45" s="23">
        <f ca="1">'Index Data'!D154</f>
        <v>-2.0149472450174187E-3</v>
      </c>
      <c r="J45" s="23">
        <f ca="1">'Index Data'!B154</f>
        <v>-2.0063399118311082E-2</v>
      </c>
      <c r="K45" s="23">
        <f ca="1">'Index Data'!C154</f>
        <v>2.1091056580815285E-2</v>
      </c>
      <c r="L45" s="23">
        <f ca="1">'Index Data'!AH154</f>
        <v>-3.85E-2</v>
      </c>
      <c r="M45" s="23">
        <f ca="1">'Index Data'!V154</f>
        <v>3.3455136012992208E-2</v>
      </c>
      <c r="N45" s="23">
        <f ca="1">'Index Data'!W154</f>
        <v>1.8061561943525782E-2</v>
      </c>
      <c r="O45" s="23">
        <f ca="1">'Index Data'!R154</f>
        <v>3.3147890588780704E-2</v>
      </c>
      <c r="P45" s="23">
        <f ca="1">'Index Data'!S154</f>
        <v>1.4825126152775328E-2</v>
      </c>
      <c r="Q45" s="23">
        <f ca="1">'Index Data'!U154</f>
        <v>2.6152601779455435E-2</v>
      </c>
      <c r="R45" s="24"/>
      <c r="S45" s="23">
        <f t="shared" ca="1" si="5"/>
        <v>2.7160455197950389E-3</v>
      </c>
      <c r="T45" s="2">
        <f t="shared" ca="1" si="0"/>
        <v>3.3455136012992208E-2</v>
      </c>
      <c r="U45" s="2">
        <f t="shared" ca="1" si="1"/>
        <v>3.3455136012992208E-2</v>
      </c>
      <c r="V45" s="2">
        <f t="shared" ca="1" si="2"/>
        <v>3.3455136012992208E-2</v>
      </c>
      <c r="W45" s="2">
        <f t="shared" ca="1" si="3"/>
        <v>3.3147890588780704E-2</v>
      </c>
      <c r="X45" s="2">
        <v>3.1100000005485962E-2</v>
      </c>
      <c r="Y45" s="2">
        <f t="shared" ca="1" si="6"/>
        <v>3.3455136012992215E-2</v>
      </c>
      <c r="Z45" s="2">
        <f t="shared" ca="1" si="4"/>
        <v>3.2961065404675097E-2</v>
      </c>
    </row>
    <row r="46" spans="1:26">
      <c r="A46" s="22">
        <v>33511</v>
      </c>
      <c r="B46" s="25" t="s">
        <v>45</v>
      </c>
      <c r="C46" s="25" t="s">
        <v>46</v>
      </c>
      <c r="D46" s="25" t="s">
        <v>41</v>
      </c>
      <c r="E46" s="25" t="s">
        <v>41</v>
      </c>
      <c r="F46" s="25" t="s">
        <v>39</v>
      </c>
      <c r="H46" s="23">
        <f ca="1">'Index Data'!E155</f>
        <v>2.0263489419853543E-2</v>
      </c>
      <c r="I46" s="23">
        <f ca="1">'Index Data'!D155</f>
        <v>2.5468962226056269E-2</v>
      </c>
      <c r="J46" s="23">
        <f ca="1">'Index Data'!B155</f>
        <v>5.6658956758241528E-2</v>
      </c>
      <c r="K46" s="23">
        <f ca="1">'Index Data'!C155</f>
        <v>-3.8331678252234491E-2</v>
      </c>
      <c r="L46" s="23">
        <f ca="1">'Index Data'!AH155</f>
        <v>1.26E-2</v>
      </c>
      <c r="M46" s="23">
        <f ca="1">'Index Data'!V155</f>
        <v>-1.7443230926376986E-2</v>
      </c>
      <c r="N46" s="23">
        <f ca="1">'Index Data'!W155</f>
        <v>-7.4962518740630162E-3</v>
      </c>
      <c r="O46" s="23">
        <f ca="1">'Index Data'!R155</f>
        <v>-2.4343728965671999E-2</v>
      </c>
      <c r="P46" s="23">
        <f ca="1">'Index Data'!S155</f>
        <v>-1.543156956208596E-3</v>
      </c>
      <c r="Q46" s="23">
        <f ca="1">'Index Data'!U155</f>
        <v>-1.256787528463831E-2</v>
      </c>
      <c r="R46" s="24"/>
      <c r="S46" s="23">
        <f t="shared" ca="1" si="5"/>
        <v>2.4427867664815726E-2</v>
      </c>
      <c r="T46" s="2">
        <f t="shared" ca="1" si="0"/>
        <v>-1.7443230926376986E-2</v>
      </c>
      <c r="U46" s="2">
        <f t="shared" ca="1" si="1"/>
        <v>-1.7443230926376986E-2</v>
      </c>
      <c r="V46" s="2">
        <f t="shared" ca="1" si="2"/>
        <v>-1.7443230926376986E-2</v>
      </c>
      <c r="W46" s="2">
        <f t="shared" ca="1" si="3"/>
        <v>-2.4343728965671999E-2</v>
      </c>
      <c r="X46" s="2">
        <v>-1.440000000272168E-2</v>
      </c>
      <c r="Y46" s="2">
        <f t="shared" ca="1" si="6"/>
        <v>-1.7443230926376986E-2</v>
      </c>
      <c r="Z46" s="2">
        <f t="shared" ca="1" si="4"/>
        <v>-1.735212209459305E-2</v>
      </c>
    </row>
    <row r="47" spans="1:26">
      <c r="A47" s="22">
        <v>33542</v>
      </c>
      <c r="B47" s="25" t="s">
        <v>45</v>
      </c>
      <c r="C47" s="25" t="s">
        <v>46</v>
      </c>
      <c r="D47" s="25" t="s">
        <v>41</v>
      </c>
      <c r="E47" s="25" t="s">
        <v>41</v>
      </c>
      <c r="F47" s="25" t="s">
        <v>39</v>
      </c>
      <c r="H47" s="23">
        <f ca="1">'Index Data'!E156</f>
        <v>1.1133899794901831E-2</v>
      </c>
      <c r="I47" s="23">
        <f ca="1">'Index Data'!D156</f>
        <v>1.7404814067041703E-2</v>
      </c>
      <c r="J47" s="23">
        <f ca="1">'Index Data'!B156</f>
        <v>1.442645310954058E-2</v>
      </c>
      <c r="K47" s="23">
        <f ca="1">'Index Data'!C156</f>
        <v>4.0788930194134737E-2</v>
      </c>
      <c r="L47" s="23">
        <f ca="1">'Index Data'!AH156</f>
        <v>1.55E-2</v>
      </c>
      <c r="M47" s="23">
        <f ca="1">'Index Data'!V156</f>
        <v>1.5833666533386678E-2</v>
      </c>
      <c r="N47" s="23">
        <f ca="1">'Index Data'!W156</f>
        <v>1.6616314199395806E-2</v>
      </c>
      <c r="O47" s="23">
        <f ca="1">'Index Data'!R156</f>
        <v>3.633436817293316E-2</v>
      </c>
      <c r="P47" s="23">
        <f ca="1">'Index Data'!S156</f>
        <v>2.8163209232037325E-2</v>
      </c>
      <c r="Q47" s="23">
        <f ca="1">'Index Data'!U156</f>
        <v>1.6024361760314451E-2</v>
      </c>
      <c r="R47" s="24"/>
      <c r="S47" s="23">
        <f t="shared" ca="1" si="5"/>
        <v>1.6150631212613731E-2</v>
      </c>
      <c r="T47" s="2">
        <f t="shared" ca="1" si="0"/>
        <v>1.5833666533386678E-2</v>
      </c>
      <c r="U47" s="2">
        <f t="shared" ca="1" si="1"/>
        <v>1.5833666533386678E-2</v>
      </c>
      <c r="V47" s="2">
        <f t="shared" ca="1" si="2"/>
        <v>1.5833666533386678E-2</v>
      </c>
      <c r="W47" s="2">
        <f t="shared" ca="1" si="3"/>
        <v>3.633436817293316E-2</v>
      </c>
      <c r="X47" s="2">
        <v>1.3099999997803868E-2</v>
      </c>
      <c r="Y47" s="2">
        <f t="shared" ca="1" si="6"/>
        <v>1.5833666533386678E-2</v>
      </c>
      <c r="Z47" s="2">
        <f t="shared" ca="1" si="4"/>
        <v>1.6824485849236105E-2</v>
      </c>
    </row>
    <row r="48" spans="1:26">
      <c r="A48" s="22">
        <v>33572</v>
      </c>
      <c r="B48" s="25" t="s">
        <v>45</v>
      </c>
      <c r="C48" s="25" t="s">
        <v>46</v>
      </c>
      <c r="D48" s="25" t="s">
        <v>41</v>
      </c>
      <c r="E48" s="25" t="s">
        <v>41</v>
      </c>
      <c r="F48" s="25" t="s">
        <v>39</v>
      </c>
      <c r="H48" s="23">
        <f ca="1">'Index Data'!E157</f>
        <v>9.169184915345463E-3</v>
      </c>
      <c r="I48" s="23">
        <f ca="1">'Index Data'!D157</f>
        <v>-4.3031561169557586E-2</v>
      </c>
      <c r="J48" s="23">
        <f ca="1">'Index Data'!B157</f>
        <v>-4.6419081491491987E-2</v>
      </c>
      <c r="K48" s="23">
        <f ca="1">'Index Data'!C157</f>
        <v>-1.4849356748354697E-2</v>
      </c>
      <c r="L48" s="23">
        <f ca="1">'Index Data'!AH157</f>
        <v>2.3399999999999997E-2</v>
      </c>
      <c r="M48" s="23">
        <f ca="1">'Index Data'!V157</f>
        <v>-2.5584507596630716E-2</v>
      </c>
      <c r="N48" s="23">
        <f ca="1">'Index Data'!W157</f>
        <v>-5.134555060260855E-2</v>
      </c>
      <c r="O48" s="23">
        <f ca="1">'Index Data'!R157</f>
        <v>-3.0511483412848112E-2</v>
      </c>
      <c r="P48" s="23">
        <f ca="1">'Index Data'!S157</f>
        <v>-1.5833778727952996E-2</v>
      </c>
      <c r="Q48" s="23">
        <f ca="1">'Index Data'!U157</f>
        <v>-3.784318575315359E-2</v>
      </c>
      <c r="R48" s="24"/>
      <c r="S48" s="23">
        <f t="shared" ca="1" si="5"/>
        <v>-3.2591411952576983E-2</v>
      </c>
      <c r="T48" s="2">
        <f t="shared" ca="1" si="0"/>
        <v>-2.5584507596630716E-2</v>
      </c>
      <c r="U48" s="2">
        <f t="shared" ca="1" si="1"/>
        <v>-2.5584507596630716E-2</v>
      </c>
      <c r="V48" s="2">
        <f t="shared" ca="1" si="2"/>
        <v>-2.5584507596630716E-2</v>
      </c>
      <c r="W48" s="2">
        <f t="shared" ca="1" si="3"/>
        <v>-3.0511483412848112E-2</v>
      </c>
      <c r="X48" s="2">
        <v>-4.3699999997385941E-2</v>
      </c>
      <c r="Y48" s="2">
        <f t="shared" ca="1" si="6"/>
        <v>-2.5584507596630716E-2</v>
      </c>
      <c r="Z48" s="2">
        <f t="shared" ca="1" si="4"/>
        <v>-2.9577129262998065E-2</v>
      </c>
    </row>
    <row r="49" spans="1:26">
      <c r="A49" s="22">
        <v>33603</v>
      </c>
      <c r="B49" s="25" t="s">
        <v>45</v>
      </c>
      <c r="C49" s="25" t="s">
        <v>46</v>
      </c>
      <c r="D49" s="25" t="s">
        <v>41</v>
      </c>
      <c r="E49" s="25" t="s">
        <v>41</v>
      </c>
      <c r="F49" s="25" t="s">
        <v>39</v>
      </c>
      <c r="H49" s="23">
        <f ca="1">'Index Data'!E158</f>
        <v>2.9698299731320668E-2</v>
      </c>
      <c r="I49" s="23">
        <f ca="1">'Index Data'!D158</f>
        <v>7.4262813442164788E-2</v>
      </c>
      <c r="J49" s="23">
        <f ca="1">'Index Data'!B158</f>
        <v>5.1956586140960437E-2</v>
      </c>
      <c r="K49" s="23">
        <f ca="1">'Index Data'!C158</f>
        <v>0.11236068215388756</v>
      </c>
      <c r="L49" s="23">
        <f ca="1">'Index Data'!AH158</f>
        <v>-3.4500000000000003E-2</v>
      </c>
      <c r="M49" s="23">
        <f ca="1">'Index Data'!V158</f>
        <v>0.14129907901114888</v>
      </c>
      <c r="N49" s="23">
        <f ca="1">'Index Data'!W158</f>
        <v>8.3797424295161807E-2</v>
      </c>
      <c r="O49" s="23">
        <f ca="1">'Index Data'!R158</f>
        <v>0.13664454108491644</v>
      </c>
      <c r="P49" s="23">
        <f ca="1">'Index Data'!S158</f>
        <v>9.8296110243703688E-2</v>
      </c>
      <c r="Q49" s="23">
        <f ca="1">'Index Data'!U158</f>
        <v>0.11427491305005301</v>
      </c>
      <c r="R49" s="24"/>
      <c r="S49" s="23">
        <f t="shared" ca="1" si="5"/>
        <v>6.5349910699995961E-2</v>
      </c>
      <c r="T49" s="2">
        <f t="shared" ca="1" si="0"/>
        <v>0.14129907901114888</v>
      </c>
      <c r="U49" s="2">
        <f t="shared" ca="1" si="1"/>
        <v>0.14129907901114888</v>
      </c>
      <c r="V49" s="2">
        <f t="shared" ca="1" si="2"/>
        <v>0.14129907901114888</v>
      </c>
      <c r="W49" s="2">
        <f t="shared" ca="1" si="3"/>
        <v>0.13664454108491644</v>
      </c>
      <c r="X49" s="2">
        <v>9.189999999334697E-2</v>
      </c>
      <c r="Y49" s="2">
        <f t="shared" ca="1" si="6"/>
        <v>0.14129907901114888</v>
      </c>
      <c r="Z49" s="2">
        <f t="shared" ca="1" si="4"/>
        <v>0.13107017286312106</v>
      </c>
    </row>
    <row r="50" spans="1:26">
      <c r="A50" s="22">
        <v>33634</v>
      </c>
      <c r="B50" s="25" t="s">
        <v>45</v>
      </c>
      <c r="C50" s="25" t="s">
        <v>46</v>
      </c>
      <c r="D50" s="25" t="s">
        <v>41</v>
      </c>
      <c r="E50" s="25" t="s">
        <v>41</v>
      </c>
      <c r="F50" s="25" t="s">
        <v>39</v>
      </c>
      <c r="H50" s="23">
        <f ca="1">'Index Data'!E159</f>
        <v>-1.3604222686983336E-2</v>
      </c>
      <c r="I50" s="23">
        <f ca="1">'Index Data'!D159</f>
        <v>-1.4949790880901351E-2</v>
      </c>
      <c r="J50" s="23">
        <f ca="1">'Index Data'!B159</f>
        <v>-2.1066627069668525E-2</v>
      </c>
      <c r="K50" s="23">
        <f ca="1">'Index Data'!C159</f>
        <v>0.11576882450580943</v>
      </c>
      <c r="L50" s="23">
        <f ca="1">'Index Data'!AH159</f>
        <v>5.1000000000000004E-3</v>
      </c>
      <c r="M50" s="23">
        <f ca="1">'Index Data'!V159</f>
        <v>-2.4067388688327356E-2</v>
      </c>
      <c r="N50" s="23">
        <f ca="1">'Index Data'!W159</f>
        <v>1.6860698514653389E-3</v>
      </c>
      <c r="O50" s="23">
        <f ca="1">'Index Data'!R159</f>
        <v>-5.6282722513088905E-2</v>
      </c>
      <c r="P50" s="23">
        <f ca="1">'Index Data'!S159</f>
        <v>-2.6670375177699476E-2</v>
      </c>
      <c r="Q50" s="23">
        <f ca="1">'Index Data'!U159</f>
        <v>-1.2390245226430707E-2</v>
      </c>
      <c r="R50" s="24"/>
      <c r="S50" s="23">
        <f t="shared" ca="1" si="5"/>
        <v>-1.4680677242117749E-2</v>
      </c>
      <c r="T50" s="2">
        <f t="shared" ca="1" si="0"/>
        <v>-2.4067388688327356E-2</v>
      </c>
      <c r="U50" s="2">
        <f t="shared" ca="1" si="1"/>
        <v>-2.4067388688327356E-2</v>
      </c>
      <c r="V50" s="2">
        <f t="shared" ca="1" si="2"/>
        <v>-2.4067388688327356E-2</v>
      </c>
      <c r="W50" s="2">
        <f t="shared" ca="1" si="3"/>
        <v>-5.6282722513088905E-2</v>
      </c>
      <c r="X50" s="2">
        <v>4.6599999982277707E-2</v>
      </c>
      <c r="Y50" s="2">
        <f t="shared" ca="1" si="6"/>
        <v>-2.4067388688327356E-2</v>
      </c>
      <c r="Z50" s="2">
        <f t="shared" ca="1" si="4"/>
        <v>-1.2350060991063458E-2</v>
      </c>
    </row>
    <row r="51" spans="1:26">
      <c r="A51" s="22">
        <v>33663</v>
      </c>
      <c r="B51" s="25" t="s">
        <v>45</v>
      </c>
      <c r="C51" s="25" t="s">
        <v>47</v>
      </c>
      <c r="D51" s="25" t="s">
        <v>41</v>
      </c>
      <c r="E51" s="25" t="s">
        <v>41</v>
      </c>
      <c r="F51" s="25" t="s">
        <v>39</v>
      </c>
      <c r="H51" s="23">
        <f ca="1">'Index Data'!E160</f>
        <v>6.5021606558700587E-3</v>
      </c>
      <c r="I51" s="23">
        <f ca="1">'Index Data'!D160</f>
        <v>-1.5107188770369387E-2</v>
      </c>
      <c r="J51" s="23">
        <f ca="1">'Index Data'!B160</f>
        <v>-3.5517934769974668E-2</v>
      </c>
      <c r="K51" s="23">
        <f ca="1">'Index Data'!C160</f>
        <v>4.4413188715479744E-2</v>
      </c>
      <c r="L51" s="23">
        <f ca="1">'Index Data'!AH160</f>
        <v>-8.1000000000000013E-3</v>
      </c>
      <c r="M51" s="23">
        <f ca="1">'Index Data'!V160</f>
        <v>1.6682381954013909E-3</v>
      </c>
      <c r="N51" s="23">
        <f ca="1">'Index Data'!W160</f>
        <v>2.4527092016671914E-2</v>
      </c>
      <c r="O51" s="23">
        <f ca="1">'Index Data'!R160</f>
        <v>9.922116718233143E-3</v>
      </c>
      <c r="P51" s="23">
        <f ca="1">'Index Data'!S160</f>
        <v>-5.4611843149705366E-3</v>
      </c>
      <c r="Q51" s="23">
        <f ca="1">'Index Data'!U160</f>
        <v>1.2174677769533094E-2</v>
      </c>
      <c r="R51" s="24"/>
      <c r="S51" s="23">
        <f t="shared" ca="1" si="5"/>
        <v>-1.0785318885121499E-2</v>
      </c>
      <c r="T51" s="2">
        <f t="shared" ca="1" si="0"/>
        <v>2.4527092016671914E-2</v>
      </c>
      <c r="U51" s="2">
        <f t="shared" ca="1" si="1"/>
        <v>2.4527092016671914E-2</v>
      </c>
      <c r="V51" s="2">
        <f t="shared" ca="1" si="2"/>
        <v>2.4527092016671914E-2</v>
      </c>
      <c r="W51" s="2">
        <f t="shared" ca="1" si="3"/>
        <v>9.922116718233143E-3</v>
      </c>
      <c r="X51" s="2">
        <v>3.8000000044510207E-2</v>
      </c>
      <c r="Y51" s="2">
        <f t="shared" ca="1" si="6"/>
        <v>2.4527092016671914E-2</v>
      </c>
      <c r="Z51" s="2">
        <f t="shared" ca="1" si="4"/>
        <v>2.6126300474856666E-2</v>
      </c>
    </row>
    <row r="52" spans="1:26">
      <c r="A52" s="22">
        <v>33694</v>
      </c>
      <c r="B52" s="25" t="s">
        <v>45</v>
      </c>
      <c r="C52" s="25" t="s">
        <v>47</v>
      </c>
      <c r="D52" s="25" t="s">
        <v>41</v>
      </c>
      <c r="E52" s="25" t="s">
        <v>41</v>
      </c>
      <c r="F52" s="25" t="s">
        <v>39</v>
      </c>
      <c r="H52" s="23">
        <f ca="1">'Index Data'!E161</f>
        <v>-5.637589278549078E-3</v>
      </c>
      <c r="I52" s="23">
        <f ca="1">'Index Data'!D161</f>
        <v>-4.451390309812249E-2</v>
      </c>
      <c r="J52" s="23">
        <f ca="1">'Index Data'!B161</f>
        <v>-6.5738913510468081E-2</v>
      </c>
      <c r="K52" s="23">
        <f ca="1">'Index Data'!C161</f>
        <v>3.3848703804418186E-2</v>
      </c>
      <c r="L52" s="23">
        <f ca="1">'Index Data'!AH161</f>
        <v>-2.9399999999999999E-2</v>
      </c>
      <c r="M52" s="23">
        <f ca="1">'Index Data'!V161</f>
        <v>-2.7371469949312104E-2</v>
      </c>
      <c r="N52" s="23">
        <f ca="1">'Index Data'!W161</f>
        <v>-1.4551713346894066E-2</v>
      </c>
      <c r="O52" s="23">
        <f ca="1">'Index Data'!R161</f>
        <v>-3.0424677794210812E-2</v>
      </c>
      <c r="P52" s="23">
        <f ca="1">'Index Data'!S161</f>
        <v>-2.1836988794176903E-2</v>
      </c>
      <c r="Q52" s="23">
        <f ca="1">'Index Data'!U161</f>
        <v>-2.1300570187347347E-2</v>
      </c>
      <c r="R52" s="24"/>
      <c r="S52" s="23">
        <f t="shared" ca="1" si="5"/>
        <v>-3.673864033420781E-2</v>
      </c>
      <c r="T52" s="2">
        <f t="shared" ca="1" si="0"/>
        <v>-1.4551713346894066E-2</v>
      </c>
      <c r="U52" s="2">
        <f t="shared" ca="1" si="1"/>
        <v>-1.4551713346894066E-2</v>
      </c>
      <c r="V52" s="2">
        <f t="shared" ca="1" si="2"/>
        <v>-1.4551713346894066E-2</v>
      </c>
      <c r="W52" s="2">
        <f t="shared" ca="1" si="3"/>
        <v>-3.0424677794210812E-2</v>
      </c>
      <c r="X52" s="2">
        <v>-2.0700000010409503E-2</v>
      </c>
      <c r="Y52" s="2">
        <f t="shared" ca="1" si="6"/>
        <v>-1.4551713346894066E-2</v>
      </c>
      <c r="Z52" s="2">
        <f t="shared" ca="1" si="4"/>
        <v>-1.6971843013145908E-2</v>
      </c>
    </row>
    <row r="53" spans="1:26">
      <c r="A53" s="22">
        <v>33724</v>
      </c>
      <c r="B53" s="25" t="s">
        <v>45</v>
      </c>
      <c r="C53" s="25" t="s">
        <v>47</v>
      </c>
      <c r="D53" s="25" t="s">
        <v>41</v>
      </c>
      <c r="E53" s="25" t="s">
        <v>41</v>
      </c>
      <c r="F53" s="25" t="s">
        <v>39</v>
      </c>
      <c r="H53" s="23">
        <f ca="1">'Index Data'!E162</f>
        <v>7.2231301575771938E-3</v>
      </c>
      <c r="I53" s="23">
        <f ca="1">'Index Data'!D162</f>
        <v>1.3409933393392526E-2</v>
      </c>
      <c r="J53" s="23">
        <f ca="1">'Index Data'!B162</f>
        <v>5.006878572713847E-3</v>
      </c>
      <c r="K53" s="23">
        <f ca="1">'Index Data'!C162</f>
        <v>-6.9388777555109771E-3</v>
      </c>
      <c r="L53" s="23">
        <f ca="1">'Index Data'!AH162</f>
        <v>-1.6899999999999998E-2</v>
      </c>
      <c r="M53" s="23">
        <f ca="1">'Index Data'!V162</f>
        <v>7.2960095294819704E-3</v>
      </c>
      <c r="N53" s="23">
        <f ca="1">'Index Data'!W162</f>
        <v>4.3188313750397049E-2</v>
      </c>
      <c r="O53" s="23">
        <f ca="1">'Index Data'!R162</f>
        <v>1.0241882763129198E-2</v>
      </c>
      <c r="P53" s="23">
        <f ca="1">'Index Data'!S162</f>
        <v>2.330363262508563E-2</v>
      </c>
      <c r="Q53" s="23">
        <f ca="1">'Index Data'!U162</f>
        <v>2.415003259768915E-2</v>
      </c>
      <c r="R53" s="24"/>
      <c r="S53" s="23">
        <f t="shared" ca="1" si="5"/>
        <v>1.217257274622946E-2</v>
      </c>
      <c r="T53" s="2">
        <f t="shared" ca="1" si="0"/>
        <v>4.3188313750397049E-2</v>
      </c>
      <c r="U53" s="2">
        <f t="shared" ca="1" si="1"/>
        <v>4.3188313750397049E-2</v>
      </c>
      <c r="V53" s="2">
        <f t="shared" ca="1" si="2"/>
        <v>4.3188313750397049E-2</v>
      </c>
      <c r="W53" s="2">
        <f t="shared" ca="1" si="3"/>
        <v>1.0241882763129198E-2</v>
      </c>
      <c r="X53" s="2">
        <v>8.7999999905232773E-3</v>
      </c>
      <c r="Y53" s="2">
        <f t="shared" ca="1" si="6"/>
        <v>4.3188313750397049E-2</v>
      </c>
      <c r="Z53" s="2">
        <f t="shared" ca="1" si="4"/>
        <v>3.383966867437721E-2</v>
      </c>
    </row>
    <row r="54" spans="1:26">
      <c r="A54" s="22">
        <v>33755</v>
      </c>
      <c r="B54" s="25" t="s">
        <v>45</v>
      </c>
      <c r="C54" s="25" t="s">
        <v>47</v>
      </c>
      <c r="D54" s="25" t="s">
        <v>41</v>
      </c>
      <c r="E54" s="25" t="s">
        <v>41</v>
      </c>
      <c r="F54" s="25" t="s">
        <v>39</v>
      </c>
      <c r="H54" s="23">
        <f ca="1">'Index Data'!E163</f>
        <v>1.8869814306604466E-2</v>
      </c>
      <c r="I54" s="23">
        <f ca="1">'Index Data'!D163</f>
        <v>3.8327576910185158E-2</v>
      </c>
      <c r="J54" s="23">
        <f ca="1">'Index Data'!B163</f>
        <v>6.7242961565365814E-2</v>
      </c>
      <c r="K54" s="23">
        <f ca="1">'Index Data'!C163</f>
        <v>-3.607194208309177E-3</v>
      </c>
      <c r="L54" s="23">
        <f ca="1">'Index Data'!AH163</f>
        <v>-4.4000000000000003E-3</v>
      </c>
      <c r="M54" s="23">
        <f ca="1">'Index Data'!V163</f>
        <v>7.24316334072424E-3</v>
      </c>
      <c r="N54" s="23">
        <f ca="1">'Index Data'!W163</f>
        <v>4.8706240487061368E-3</v>
      </c>
      <c r="O54" s="23">
        <f ca="1">'Index Data'!R163</f>
        <v>1.8011216566005194E-2</v>
      </c>
      <c r="P54" s="23">
        <f ca="1">'Index Data'!S163</f>
        <v>6.4746595222148753E-3</v>
      </c>
      <c r="Q54" s="23">
        <f ca="1">'Index Data'!U163</f>
        <v>6.2032722938562233E-3</v>
      </c>
      <c r="R54" s="24"/>
      <c r="S54" s="23">
        <f t="shared" ca="1" si="5"/>
        <v>3.4436024389469022E-2</v>
      </c>
      <c r="T54" s="2">
        <f t="shared" ca="1" si="0"/>
        <v>4.8706240487061368E-3</v>
      </c>
      <c r="U54" s="2">
        <f t="shared" ca="1" si="1"/>
        <v>4.8706240487061368E-3</v>
      </c>
      <c r="V54" s="2">
        <f t="shared" ca="1" si="2"/>
        <v>4.8706240487061368E-3</v>
      </c>
      <c r="W54" s="2">
        <f t="shared" ca="1" si="3"/>
        <v>1.8011216566005194E-2</v>
      </c>
      <c r="X54" s="2">
        <v>1.0699999985410935E-2</v>
      </c>
      <c r="Y54" s="2">
        <f t="shared" ca="1" si="6"/>
        <v>4.8706240487061368E-3</v>
      </c>
      <c r="Z54" s="2">
        <f t="shared" ca="1" si="4"/>
        <v>7.0220436748445261E-3</v>
      </c>
    </row>
    <row r="55" spans="1:26">
      <c r="A55" s="22">
        <v>33785</v>
      </c>
      <c r="B55" s="25" t="s">
        <v>45</v>
      </c>
      <c r="C55" s="25" t="s">
        <v>47</v>
      </c>
      <c r="D55" s="25" t="s">
        <v>41</v>
      </c>
      <c r="E55" s="25" t="s">
        <v>41</v>
      </c>
      <c r="F55" s="25" t="s">
        <v>39</v>
      </c>
      <c r="H55" s="23">
        <f ca="1">'Index Data'!E164</f>
        <v>1.3762459941411244E-2</v>
      </c>
      <c r="I55" s="23">
        <f ca="1">'Index Data'!D164</f>
        <v>-3.565664079495845E-2</v>
      </c>
      <c r="J55" s="23">
        <f ca="1">'Index Data'!B164</f>
        <v>-4.710013770211844E-2</v>
      </c>
      <c r="K55" s="23">
        <f ca="1">'Index Data'!C164</f>
        <v>-9.9189873417721536E-2</v>
      </c>
      <c r="L55" s="23">
        <f ca="1">'Index Data'!AH164</f>
        <v>2.3799999999999998E-2</v>
      </c>
      <c r="M55" s="23">
        <f ca="1">'Index Data'!V164</f>
        <v>-2.51687701790432E-2</v>
      </c>
      <c r="N55" s="23">
        <f ca="1">'Index Data'!W164</f>
        <v>-6.1345046955468222E-3</v>
      </c>
      <c r="O55" s="23">
        <f ca="1">'Index Data'!R164</f>
        <v>-3.0723593601017118E-2</v>
      </c>
      <c r="P55" s="23">
        <f ca="1">'Index Data'!S164</f>
        <v>9.316770186335397E-3</v>
      </c>
      <c r="Q55" s="23">
        <f ca="1">'Index Data'!U164</f>
        <v>-1.6045228159913796E-2</v>
      </c>
      <c r="R55" s="24"/>
      <c r="S55" s="23">
        <f t="shared" ca="1" si="5"/>
        <v>-2.5772820647684512E-2</v>
      </c>
      <c r="T55" s="2">
        <f t="shared" ca="1" si="0"/>
        <v>-6.1345046955468222E-3</v>
      </c>
      <c r="U55" s="2">
        <f t="shared" ca="1" si="1"/>
        <v>-6.1345046955468222E-3</v>
      </c>
      <c r="V55" s="2">
        <f t="shared" ca="1" si="2"/>
        <v>-6.1345046955468222E-3</v>
      </c>
      <c r="W55" s="2">
        <f t="shared" ca="1" si="3"/>
        <v>-3.0723593601017118E-2</v>
      </c>
      <c r="X55" s="2">
        <v>-2.019999998540456E-2</v>
      </c>
      <c r="Y55" s="2">
        <f t="shared" ca="1" si="6"/>
        <v>-6.1345046955468222E-3</v>
      </c>
      <c r="Z55" s="2">
        <f t="shared" ca="1" si="4"/>
        <v>-1.0791785421428644E-2</v>
      </c>
    </row>
    <row r="56" spans="1:26">
      <c r="A56" s="22">
        <v>33816</v>
      </c>
      <c r="B56" s="25" t="s">
        <v>45</v>
      </c>
      <c r="C56" s="25" t="s">
        <v>47</v>
      </c>
      <c r="D56" s="25" t="s">
        <v>41</v>
      </c>
      <c r="E56" s="25" t="s">
        <v>41</v>
      </c>
      <c r="F56" s="25" t="s">
        <v>39</v>
      </c>
      <c r="H56" s="23">
        <f ca="1">'Index Data'!E165</f>
        <v>2.0402226402653031E-2</v>
      </c>
      <c r="I56" s="23">
        <f ca="1">'Index Data'!D165</f>
        <v>3.1946556830668182E-3</v>
      </c>
      <c r="J56" s="23">
        <f ca="1">'Index Data'!B165</f>
        <v>-2.5273209388381998E-2</v>
      </c>
      <c r="K56" s="23">
        <f ca="1">'Index Data'!C165</f>
        <v>1.087628576246418E-2</v>
      </c>
      <c r="L56" s="23">
        <f ca="1">'Index Data'!AH165</f>
        <v>3.7699999999999997E-2</v>
      </c>
      <c r="M56" s="23">
        <f ca="1">'Index Data'!V165</f>
        <v>4.471208129469325E-2</v>
      </c>
      <c r="N56" s="23">
        <f ca="1">'Index Data'!W165</f>
        <v>3.6424598033986143E-2</v>
      </c>
      <c r="O56" s="23">
        <f ca="1">'Index Data'!R165</f>
        <v>2.5795168870914851E-2</v>
      </c>
      <c r="P56" s="23">
        <f ca="1">'Index Data'!S165</f>
        <v>3.7927786499215022E-2</v>
      </c>
      <c r="Q56" s="23">
        <f ca="1">'Index Data'!U165</f>
        <v>4.0753508987933958E-2</v>
      </c>
      <c r="R56" s="24"/>
      <c r="S56" s="23">
        <f t="shared" ca="1" si="5"/>
        <v>6.6361698269840619E-3</v>
      </c>
      <c r="T56" s="2">
        <f t="shared" ca="1" si="0"/>
        <v>3.6424598033986143E-2</v>
      </c>
      <c r="U56" s="2">
        <f t="shared" ca="1" si="1"/>
        <v>3.6424598033986143E-2</v>
      </c>
      <c r="V56" s="2">
        <f t="shared" ca="1" si="2"/>
        <v>3.6424598033986143E-2</v>
      </c>
      <c r="W56" s="2">
        <f t="shared" ca="1" si="3"/>
        <v>2.5795168870914851E-2</v>
      </c>
      <c r="X56" s="2">
        <v>4.4799999995934536E-2</v>
      </c>
      <c r="Y56" s="2">
        <f t="shared" ca="1" si="6"/>
        <v>3.6424598033986143E-2</v>
      </c>
      <c r="Z56" s="2">
        <f t="shared" ca="1" si="4"/>
        <v>3.7302471239145471E-2</v>
      </c>
    </row>
    <row r="57" spans="1:26">
      <c r="A57" s="22">
        <v>33847</v>
      </c>
      <c r="B57" s="25" t="s">
        <v>45</v>
      </c>
      <c r="C57" s="25" t="s">
        <v>47</v>
      </c>
      <c r="D57" s="25" t="s">
        <v>41</v>
      </c>
      <c r="E57" s="25" t="s">
        <v>41</v>
      </c>
      <c r="F57" s="25" t="s">
        <v>39</v>
      </c>
      <c r="H57" s="23">
        <f ca="1">'Index Data'!E166</f>
        <v>1.0130191010168281E-2</v>
      </c>
      <c r="I57" s="23">
        <f ca="1">'Index Data'!D166</f>
        <v>2.2421947539461532E-2</v>
      </c>
      <c r="J57" s="23">
        <f ca="1">'Index Data'!B166</f>
        <v>6.3061622444698748E-2</v>
      </c>
      <c r="K57" s="23">
        <f ca="1">'Index Data'!C166</f>
        <v>-4.6623481331146216E-2</v>
      </c>
      <c r="L57" s="23">
        <f ca="1">'Index Data'!AH166</f>
        <v>-3.8599999999999995E-2</v>
      </c>
      <c r="M57" s="23">
        <f ca="1">'Index Data'!V166</f>
        <v>-1.2248721089415585E-2</v>
      </c>
      <c r="N57" s="23">
        <f ca="1">'Index Data'!W166</f>
        <v>-3.0733034335710452E-2</v>
      </c>
      <c r="O57" s="23">
        <f ca="1">'Index Data'!R166</f>
        <v>-5.0719232818327027E-2</v>
      </c>
      <c r="P57" s="23">
        <f ca="1">'Index Data'!S166</f>
        <v>-1.3521689152398726E-2</v>
      </c>
      <c r="Q57" s="23">
        <f ca="1">'Index Data'!U166</f>
        <v>-2.1083901836297391E-2</v>
      </c>
      <c r="R57" s="24"/>
      <c r="S57" s="23">
        <f t="shared" ca="1" si="5"/>
        <v>1.996359623360288E-2</v>
      </c>
      <c r="T57" s="2">
        <f t="shared" ca="1" si="0"/>
        <v>-3.0733034335710452E-2</v>
      </c>
      <c r="U57" s="2">
        <f t="shared" ca="1" si="1"/>
        <v>-3.0733034335710452E-2</v>
      </c>
      <c r="V57" s="2">
        <f t="shared" ca="1" si="2"/>
        <v>-3.0733034335710452E-2</v>
      </c>
      <c r="W57" s="2">
        <f t="shared" ca="1" si="3"/>
        <v>-5.0719232818327027E-2</v>
      </c>
      <c r="X57" s="2">
        <v>-7.8999999785884789E-3</v>
      </c>
      <c r="Y57" s="2">
        <f t="shared" ca="1" si="6"/>
        <v>-3.0733034335710452E-2</v>
      </c>
      <c r="Z57" s="2">
        <f t="shared" ca="1" si="4"/>
        <v>-2.76653923504823E-2</v>
      </c>
    </row>
    <row r="58" spans="1:26">
      <c r="A58" s="22">
        <v>33877</v>
      </c>
      <c r="B58" s="25" t="s">
        <v>45</v>
      </c>
      <c r="C58" s="25" t="s">
        <v>47</v>
      </c>
      <c r="D58" s="25" t="s">
        <v>41</v>
      </c>
      <c r="E58" s="25" t="s">
        <v>41</v>
      </c>
      <c r="F58" s="25" t="s">
        <v>39</v>
      </c>
      <c r="H58" s="23">
        <f ca="1">'Index Data'!E167</f>
        <v>1.1872506961691776E-2</v>
      </c>
      <c r="I58" s="23">
        <f ca="1">'Index Data'!D167</f>
        <v>-8.5209334004980129E-3</v>
      </c>
      <c r="J58" s="23">
        <f ca="1">'Index Data'!B167</f>
        <v>-1.9429501978942033E-2</v>
      </c>
      <c r="K58" s="23">
        <f ca="1">'Index Data'!C167</f>
        <v>3.4118744896767736E-3</v>
      </c>
      <c r="L58" s="23">
        <f ca="1">'Index Data'!AH167</f>
        <v>1.2199999999999999E-2</v>
      </c>
      <c r="M58" s="23">
        <f ca="1">'Index Data'!V167</f>
        <v>1.1379385804945675E-2</v>
      </c>
      <c r="N58" s="23">
        <f ca="1">'Index Data'!W167</f>
        <v>1.3805658803003818E-2</v>
      </c>
      <c r="O58" s="23">
        <f ca="1">'Index Data'!R167</f>
        <v>1.7173644629026839E-2</v>
      </c>
      <c r="P58" s="23">
        <f ca="1">'Index Data'!S167</f>
        <v>6.5315384379503703E-3</v>
      </c>
      <c r="Q58" s="23">
        <f ca="1">'Index Data'!U167</f>
        <v>1.2648879459669892E-2</v>
      </c>
      <c r="R58" s="24"/>
      <c r="S58" s="23">
        <f t="shared" ca="1" si="5"/>
        <v>-4.4422453280600549E-3</v>
      </c>
      <c r="T58" s="2">
        <f t="shared" ca="1" si="0"/>
        <v>1.3805658803003818E-2</v>
      </c>
      <c r="U58" s="2">
        <f t="shared" ca="1" si="1"/>
        <v>1.3805658803003818E-2</v>
      </c>
      <c r="V58" s="2">
        <f t="shared" ca="1" si="2"/>
        <v>1.3805658803003818E-2</v>
      </c>
      <c r="W58" s="2">
        <f t="shared" ca="1" si="3"/>
        <v>1.7173644629026839E-2</v>
      </c>
      <c r="X58" s="2">
        <v>3.9999999677240439E-3</v>
      </c>
      <c r="Y58" s="2">
        <f t="shared" ca="1" si="6"/>
        <v>1.3805658803003818E-2</v>
      </c>
      <c r="Z58" s="2">
        <f t="shared" ca="1" si="4"/>
        <v>1.2097125972899591E-2</v>
      </c>
    </row>
    <row r="59" spans="1:26">
      <c r="A59" s="22">
        <v>33908</v>
      </c>
      <c r="B59" s="25" t="s">
        <v>45</v>
      </c>
      <c r="C59" s="25" t="s">
        <v>47</v>
      </c>
      <c r="D59" s="25" t="s">
        <v>41</v>
      </c>
      <c r="E59" s="25" t="s">
        <v>41</v>
      </c>
      <c r="F59" s="25" t="s">
        <v>39</v>
      </c>
      <c r="H59" s="23">
        <f ca="1">'Index Data'!E168</f>
        <v>-1.3276557764183022E-2</v>
      </c>
      <c r="I59" s="23">
        <f ca="1">'Index Data'!D168</f>
        <v>-2.4458660713007931E-2</v>
      </c>
      <c r="J59" s="23">
        <f ca="1">'Index Data'!B168</f>
        <v>-5.215090660099931E-2</v>
      </c>
      <c r="K59" s="23">
        <f ca="1">'Index Data'!C168</f>
        <v>5.3503443866430377E-2</v>
      </c>
      <c r="L59" s="23">
        <f ca="1">'Index Data'!AH168</f>
        <v>-2.2099999999999998E-2</v>
      </c>
      <c r="M59" s="23">
        <f ca="1">'Index Data'!V168</f>
        <v>1.507392715470612E-2</v>
      </c>
      <c r="N59" s="23">
        <f ca="1">'Index Data'!W168</f>
        <v>8.9786756453426515E-4</v>
      </c>
      <c r="O59" s="23">
        <f ca="1">'Index Data'!R168</f>
        <v>4.4912822776428975E-2</v>
      </c>
      <c r="P59" s="23">
        <f ca="1">'Index Data'!S168</f>
        <v>4.6612234950035728E-3</v>
      </c>
      <c r="Q59" s="23">
        <f ca="1">'Index Data'!U168</f>
        <v>8.3272558509579955E-3</v>
      </c>
      <c r="R59" s="24"/>
      <c r="S59" s="23">
        <f t="shared" ca="1" si="5"/>
        <v>-2.2222240123242948E-2</v>
      </c>
      <c r="T59" s="2">
        <f t="shared" ca="1" si="0"/>
        <v>8.9786756453426515E-4</v>
      </c>
      <c r="U59" s="2">
        <f t="shared" ca="1" si="1"/>
        <v>8.9786756453426515E-4</v>
      </c>
      <c r="V59" s="2">
        <f t="shared" ca="1" si="2"/>
        <v>8.9786756453426515E-4</v>
      </c>
      <c r="W59" s="2">
        <f t="shared" ca="1" si="3"/>
        <v>4.4912822776428975E-2</v>
      </c>
      <c r="X59" s="2">
        <v>6.8000000292582907E-3</v>
      </c>
      <c r="Y59" s="2">
        <f t="shared" ca="1" si="6"/>
        <v>8.9786756453426515E-4</v>
      </c>
      <c r="Z59" s="2">
        <f t="shared" ca="1" si="4"/>
        <v>5.3794156983711745E-3</v>
      </c>
    </row>
    <row r="60" spans="1:26">
      <c r="A60" s="22">
        <v>33938</v>
      </c>
      <c r="B60" s="25" t="s">
        <v>45</v>
      </c>
      <c r="C60" s="25" t="s">
        <v>47</v>
      </c>
      <c r="D60" s="25" t="s">
        <v>41</v>
      </c>
      <c r="E60" s="25" t="s">
        <v>41</v>
      </c>
      <c r="F60" s="25" t="s">
        <v>39</v>
      </c>
      <c r="H60" s="23">
        <f ca="1">'Index Data'!E169</f>
        <v>2.2613775558278442E-4</v>
      </c>
      <c r="I60" s="23">
        <f ca="1">'Index Data'!D169</f>
        <v>1.664368288245999E-2</v>
      </c>
      <c r="J60" s="23">
        <f ca="1">'Index Data'!B169</f>
        <v>9.7171668856250327E-3</v>
      </c>
      <c r="K60" s="23">
        <f ca="1">'Index Data'!C169</f>
        <v>-1.0786206896551794E-2</v>
      </c>
      <c r="L60" s="23">
        <f ca="1">'Index Data'!AH169</f>
        <v>-1.7100000000000001E-2</v>
      </c>
      <c r="M60" s="23">
        <f ca="1">'Index Data'!V169</f>
        <v>4.3413386386244028E-2</v>
      </c>
      <c r="N60" s="23">
        <f ca="1">'Index Data'!W169</f>
        <v>3.2817522613440876E-2</v>
      </c>
      <c r="O60" s="23">
        <f ca="1">'Index Data'!R169</f>
        <v>5.3331925229696875E-2</v>
      </c>
      <c r="P60" s="23">
        <f ca="1">'Index Data'!S169</f>
        <v>2.4380628923188954E-2</v>
      </c>
      <c r="Q60" s="23">
        <f ca="1">'Index Data'!U169</f>
        <v>3.8438778059781992E-2</v>
      </c>
      <c r="R60" s="24"/>
      <c r="S60" s="23">
        <f t="shared" ca="1" si="5"/>
        <v>1.336017385708455E-2</v>
      </c>
      <c r="T60" s="2">
        <f t="shared" ca="1" si="0"/>
        <v>3.2817522613440876E-2</v>
      </c>
      <c r="U60" s="2">
        <f t="shared" ca="1" si="1"/>
        <v>3.2817522613440876E-2</v>
      </c>
      <c r="V60" s="2">
        <f t="shared" ca="1" si="2"/>
        <v>3.2817522613440876E-2</v>
      </c>
      <c r="W60" s="2">
        <f t="shared" ca="1" si="3"/>
        <v>5.3331925229696875E-2</v>
      </c>
      <c r="X60" s="2">
        <v>2.4199999982013942E-2</v>
      </c>
      <c r="Y60" s="2">
        <f t="shared" ca="1" si="6"/>
        <v>3.2817522613440876E-2</v>
      </c>
      <c r="Z60" s="2">
        <f t="shared" ca="1" si="4"/>
        <v>3.2632598283374691E-2</v>
      </c>
    </row>
    <row r="61" spans="1:26">
      <c r="A61" s="22">
        <v>33969</v>
      </c>
      <c r="B61" s="25" t="s">
        <v>45</v>
      </c>
      <c r="C61" s="25" t="s">
        <v>47</v>
      </c>
      <c r="D61" s="25" t="s">
        <v>32</v>
      </c>
      <c r="E61" s="25" t="s">
        <v>41</v>
      </c>
      <c r="F61" s="25" t="s">
        <v>39</v>
      </c>
      <c r="H61" s="23">
        <f ca="1">'Index Data'!E170</f>
        <v>1.5901426229817162E-2</v>
      </c>
      <c r="I61" s="23">
        <f ca="1">'Index Data'!D170</f>
        <v>9.4590792008483488E-3</v>
      </c>
      <c r="J61" s="23">
        <f ca="1">'Index Data'!B170</f>
        <v>5.4750339877807043E-3</v>
      </c>
      <c r="K61" s="23">
        <f ca="1">'Index Data'!C170</f>
        <v>2.9420786971192762E-2</v>
      </c>
      <c r="L61" s="23">
        <f ca="1">'Index Data'!AH170</f>
        <v>-3.5999999999999999E-3</v>
      </c>
      <c r="M61" s="23">
        <f ca="1">'Index Data'!V170</f>
        <v>1.0010214504596519E-2</v>
      </c>
      <c r="N61" s="23">
        <f ca="1">'Index Data'!W170</f>
        <v>2.3957730167921267E-2</v>
      </c>
      <c r="O61" s="23">
        <f ca="1">'Index Data'!R170</f>
        <v>2.1656306396631349E-2</v>
      </c>
      <c r="P61" s="23">
        <f ca="1">'Index Data'!S170</f>
        <v>2.0899322104141388E-2</v>
      </c>
      <c r="Q61" s="23">
        <f ca="1">'Index Data'!U170</f>
        <v>1.6488108806321684E-2</v>
      </c>
      <c r="R61" s="24"/>
      <c r="S61" s="23">
        <f t="shared" ca="1" si="5"/>
        <v>1.0747548606642111E-2</v>
      </c>
      <c r="T61" s="2">
        <f t="shared" ca="1" si="0"/>
        <v>2.3957730167921267E-2</v>
      </c>
      <c r="U61" s="2">
        <f t="shared" ca="1" si="1"/>
        <v>2.3957730167921267E-2</v>
      </c>
      <c r="V61" s="2">
        <f t="shared" ca="1" si="2"/>
        <v>2.9420786971192762E-2</v>
      </c>
      <c r="W61" s="2">
        <f t="shared" ca="1" si="3"/>
        <v>2.1656306396631349E-2</v>
      </c>
      <c r="X61" s="2">
        <v>1.1299999993384935E-2</v>
      </c>
      <c r="Y61" s="2">
        <f t="shared" ca="1" si="6"/>
        <v>2.4504035848248416E-2</v>
      </c>
      <c r="Z61" s="2">
        <f t="shared" ca="1" si="4"/>
        <v>2.1799883030494405E-2</v>
      </c>
    </row>
    <row r="62" spans="1:26">
      <c r="A62" s="22">
        <v>34000</v>
      </c>
      <c r="B62" s="25" t="s">
        <v>45</v>
      </c>
      <c r="C62" s="25" t="s">
        <v>47</v>
      </c>
      <c r="D62" s="25" t="s">
        <v>32</v>
      </c>
      <c r="E62" s="25" t="s">
        <v>41</v>
      </c>
      <c r="F62" s="25" t="s">
        <v>39</v>
      </c>
      <c r="H62" s="23">
        <f ca="1">'Index Data'!E171</f>
        <v>1.9176202221768732E-2</v>
      </c>
      <c r="I62" s="23">
        <f ca="1">'Index Data'!D171</f>
        <v>3.5380392829574047E-3</v>
      </c>
      <c r="J62" s="23">
        <f ca="1">'Index Data'!B171</f>
        <v>1.7619359868642888E-4</v>
      </c>
      <c r="K62" s="23">
        <f ca="1">'Index Data'!C171</f>
        <v>4.8220187462752065E-3</v>
      </c>
      <c r="L62" s="23">
        <f ca="1">'Index Data'!AH171</f>
        <v>-8.6999999999999994E-3</v>
      </c>
      <c r="M62" s="23">
        <f ca="1">'Index Data'!V171</f>
        <v>-1.1461704422869397E-2</v>
      </c>
      <c r="N62" s="23">
        <f ca="1">'Index Data'!W171</f>
        <v>2.8981409486110089E-2</v>
      </c>
      <c r="O62" s="23">
        <f ca="1">'Index Data'!R171</f>
        <v>4.5731108930323811E-2</v>
      </c>
      <c r="P62" s="23">
        <f ca="1">'Index Data'!S171</f>
        <v>1.130860904108788E-2</v>
      </c>
      <c r="Q62" s="23">
        <f ca="1">'Index Data'!U171</f>
        <v>7.8611650969253738E-3</v>
      </c>
      <c r="R62" s="24"/>
      <c r="S62" s="23">
        <f t="shared" ca="1" si="5"/>
        <v>6.6656718707196706E-3</v>
      </c>
      <c r="T62" s="2">
        <f t="shared" ca="1" si="0"/>
        <v>2.8981409486110089E-2</v>
      </c>
      <c r="U62" s="2">
        <f t="shared" ca="1" si="1"/>
        <v>2.8981409486110089E-2</v>
      </c>
      <c r="V62" s="2">
        <f t="shared" ca="1" si="2"/>
        <v>4.8220187462752065E-3</v>
      </c>
      <c r="W62" s="2">
        <f t="shared" ca="1" si="3"/>
        <v>4.5731108930323811E-2</v>
      </c>
      <c r="X62" s="2">
        <v>-1.569999999031757E-2</v>
      </c>
      <c r="Y62" s="2">
        <f t="shared" ca="1" si="6"/>
        <v>2.6565470412126601E-2</v>
      </c>
      <c r="Z62" s="2">
        <f t="shared" ca="1" si="4"/>
        <v>1.8885415975157097E-2</v>
      </c>
    </row>
    <row r="63" spans="1:26">
      <c r="A63" s="22">
        <v>34028</v>
      </c>
      <c r="B63" s="25" t="s">
        <v>45</v>
      </c>
      <c r="C63" s="25" t="s">
        <v>47</v>
      </c>
      <c r="D63" s="25" t="s">
        <v>32</v>
      </c>
      <c r="E63" s="25" t="s">
        <v>41</v>
      </c>
      <c r="F63" s="25" t="s">
        <v>39</v>
      </c>
      <c r="H63" s="23">
        <f ca="1">'Index Data'!E172</f>
        <v>1.7505231553088901E-2</v>
      </c>
      <c r="I63" s="23">
        <f ca="1">'Index Data'!D172</f>
        <v>2.351801599680934E-2</v>
      </c>
      <c r="J63" s="23">
        <f ca="1">'Index Data'!B172</f>
        <v>3.0501934239097125E-2</v>
      </c>
      <c r="K63" s="23">
        <f ca="1">'Index Data'!C172</f>
        <v>1.6769114633883236E-2</v>
      </c>
      <c r="L63" s="23">
        <f ca="1">'Index Data'!AH172</f>
        <v>-3.5999999999999999E-3</v>
      </c>
      <c r="M63" s="23">
        <f ca="1">'Index Data'!V172</f>
        <v>-1.6027827035875013E-2</v>
      </c>
      <c r="N63" s="23">
        <f ca="1">'Index Data'!W172</f>
        <v>3.4897300267912434E-2</v>
      </c>
      <c r="O63" s="23">
        <f ca="1">'Index Data'!R172</f>
        <v>1.2293543543543567E-2</v>
      </c>
      <c r="P63" s="23">
        <f ca="1">'Index Data'!S172</f>
        <v>2.2192275711787165E-2</v>
      </c>
      <c r="Q63" s="23">
        <f ca="1">'Index Data'!U172</f>
        <v>8.9988751406073902E-3</v>
      </c>
      <c r="R63" s="24"/>
      <c r="S63" s="23">
        <f t="shared" ca="1" si="5"/>
        <v>2.2315459108065254E-2</v>
      </c>
      <c r="T63" s="2">
        <f t="shared" ca="1" si="0"/>
        <v>3.4897300267912434E-2</v>
      </c>
      <c r="U63" s="2">
        <f t="shared" ca="1" si="1"/>
        <v>3.4897300267912434E-2</v>
      </c>
      <c r="V63" s="2">
        <f t="shared" ca="1" si="2"/>
        <v>1.6769114633883236E-2</v>
      </c>
      <c r="W63" s="2">
        <f t="shared" ca="1" si="3"/>
        <v>1.2293543543543567E-2</v>
      </c>
      <c r="X63" s="2">
        <v>6.399999971772985E-3</v>
      </c>
      <c r="Y63" s="2">
        <f t="shared" ca="1" si="6"/>
        <v>3.3084481704509519E-2</v>
      </c>
      <c r="Z63" s="2">
        <f t="shared" ca="1" si="4"/>
        <v>2.568973989095396E-2</v>
      </c>
    </row>
    <row r="64" spans="1:26">
      <c r="A64" s="22">
        <v>34059</v>
      </c>
      <c r="B64" s="25" t="s">
        <v>45</v>
      </c>
      <c r="C64" s="25" t="s">
        <v>47</v>
      </c>
      <c r="D64" s="25" t="s">
        <v>32</v>
      </c>
      <c r="E64" s="25" t="s">
        <v>41</v>
      </c>
      <c r="F64" s="25" t="s">
        <v>39</v>
      </c>
      <c r="H64" s="23">
        <f ca="1">'Index Data'!E173</f>
        <v>4.1668902122789873E-3</v>
      </c>
      <c r="I64" s="23">
        <f ca="1">'Index Data'!D173</f>
        <v>5.746494554817147E-2</v>
      </c>
      <c r="J64" s="23">
        <f ca="1">'Index Data'!B173</f>
        <v>8.7457904762381938E-2</v>
      </c>
      <c r="K64" s="23">
        <f ca="1">'Index Data'!C173</f>
        <v>3.3064644429124539E-2</v>
      </c>
      <c r="L64" s="23">
        <f ca="1">'Index Data'!AH173</f>
        <v>2.6099999999999998E-2</v>
      </c>
      <c r="M64" s="23">
        <f ca="1">'Index Data'!V173</f>
        <v>1.9269425382962509E-2</v>
      </c>
      <c r="N64" s="23">
        <f ca="1">'Index Data'!W173</f>
        <v>2.9538665781612933E-2</v>
      </c>
      <c r="O64" s="23">
        <f ca="1">'Index Data'!R173</f>
        <v>3.7916010012051443E-2</v>
      </c>
      <c r="P64" s="23">
        <f ca="1">'Index Data'!S173</f>
        <v>2.089702953633836E-2</v>
      </c>
      <c r="Q64" s="23">
        <f ca="1">'Index Data'!U173</f>
        <v>2.4330184865301942E-2</v>
      </c>
      <c r="R64" s="24"/>
      <c r="S64" s="23">
        <f t="shared" ca="1" si="5"/>
        <v>4.6805334480992979E-2</v>
      </c>
      <c r="T64" s="2">
        <f t="shared" ca="1" si="0"/>
        <v>2.9538665781612933E-2</v>
      </c>
      <c r="U64" s="2">
        <f t="shared" ca="1" si="1"/>
        <v>2.9538665781612933E-2</v>
      </c>
      <c r="V64" s="2">
        <f t="shared" ca="1" si="2"/>
        <v>3.3064644429124539E-2</v>
      </c>
      <c r="W64" s="2">
        <f t="shared" ca="1" si="3"/>
        <v>3.7916010012051443E-2</v>
      </c>
      <c r="X64" s="2">
        <v>1.2900000022734393E-2</v>
      </c>
      <c r="Y64" s="2">
        <f t="shared" ca="1" si="6"/>
        <v>2.9891263646364095E-2</v>
      </c>
      <c r="Z64" s="2">
        <f t="shared" ca="1" si="4"/>
        <v>2.7191831311871275E-2</v>
      </c>
    </row>
    <row r="65" spans="1:26">
      <c r="A65" s="22">
        <v>34089</v>
      </c>
      <c r="B65" s="25" t="s">
        <v>45</v>
      </c>
      <c r="C65" s="25" t="s">
        <v>47</v>
      </c>
      <c r="D65" s="25" t="s">
        <v>32</v>
      </c>
      <c r="E65" s="25" t="s">
        <v>41</v>
      </c>
      <c r="F65" s="25" t="s">
        <v>39</v>
      </c>
      <c r="H65" s="23">
        <f ca="1">'Index Data'!E174</f>
        <v>6.9634906500444672E-3</v>
      </c>
      <c r="I65" s="23">
        <f ca="1">'Index Data'!D174</f>
        <v>4.5418950665622654E-2</v>
      </c>
      <c r="J65" s="23">
        <f ca="1">'Index Data'!B174</f>
        <v>9.5177359524876159E-2</v>
      </c>
      <c r="K65" s="23">
        <f ca="1">'Index Data'!C174</f>
        <v>2.2997356330689608E-2</v>
      </c>
      <c r="L65" s="23">
        <f ca="1">'Index Data'!AH174</f>
        <v>5.8099999999999999E-2</v>
      </c>
      <c r="M65" s="23">
        <f ca="1">'Index Data'!V174</f>
        <v>-4.0054403264195952E-2</v>
      </c>
      <c r="N65" s="23">
        <f ca="1">'Index Data'!W174</f>
        <v>-1.2830431979368027E-2</v>
      </c>
      <c r="O65" s="23">
        <f ca="1">'Index Data'!R174</f>
        <v>-4.3497677742050649E-2</v>
      </c>
      <c r="P65" s="23">
        <f ca="1">'Index Data'!S174</f>
        <v>-1.7804154302670516E-2</v>
      </c>
      <c r="Q65" s="23">
        <f ca="1">'Index Data'!U174</f>
        <v>-2.6395416980613123E-2</v>
      </c>
      <c r="R65" s="24"/>
      <c r="S65" s="23">
        <f t="shared" ca="1" si="5"/>
        <v>3.7727858662507018E-2</v>
      </c>
      <c r="T65" s="2">
        <f t="shared" ca="1" si="0"/>
        <v>-1.2830431979368027E-2</v>
      </c>
      <c r="U65" s="2">
        <f t="shared" ca="1" si="1"/>
        <v>-1.2830431979368027E-2</v>
      </c>
      <c r="V65" s="2">
        <f t="shared" ca="1" si="2"/>
        <v>2.2997356330689608E-2</v>
      </c>
      <c r="W65" s="2">
        <f t="shared" ca="1" si="3"/>
        <v>-4.3497677742050649E-2</v>
      </c>
      <c r="X65" s="2">
        <v>-3.23999999978416E-2</v>
      </c>
      <c r="Y65" s="2">
        <f t="shared" ca="1" si="6"/>
        <v>-9.247653148362265E-3</v>
      </c>
      <c r="Z65" s="2">
        <f t="shared" ca="1" si="4"/>
        <v>-1.5461610184258175E-2</v>
      </c>
    </row>
    <row r="66" spans="1:26">
      <c r="A66" s="22">
        <v>34120</v>
      </c>
      <c r="B66" s="25" t="s">
        <v>45</v>
      </c>
      <c r="C66" s="25" t="s">
        <v>47</v>
      </c>
      <c r="D66" s="25" t="s">
        <v>32</v>
      </c>
      <c r="E66" s="25" t="s">
        <v>41</v>
      </c>
      <c r="F66" s="25" t="s">
        <v>39</v>
      </c>
      <c r="H66" s="23">
        <f ca="1">'Index Data'!E175</f>
        <v>1.2734122141455357E-3</v>
      </c>
      <c r="I66" s="23">
        <f ca="1">'Index Data'!D175</f>
        <v>2.3491643848550649E-2</v>
      </c>
      <c r="J66" s="23">
        <f ca="1">'Index Data'!B175</f>
        <v>2.1364076825079372E-2</v>
      </c>
      <c r="K66" s="23">
        <f ca="1">'Index Data'!C175</f>
        <v>2.7874651880472726E-2</v>
      </c>
      <c r="L66" s="23">
        <f ca="1">'Index Data'!AH175</f>
        <v>5.91E-2</v>
      </c>
      <c r="M66" s="23">
        <f ca="1">'Index Data'!V175</f>
        <v>3.4995749504108796E-2</v>
      </c>
      <c r="N66" s="23">
        <f ca="1">'Index Data'!W175</f>
        <v>2.0116256286329983E-2</v>
      </c>
      <c r="O66" s="23">
        <f ca="1">'Index Data'!R175</f>
        <v>4.9117564665234766E-2</v>
      </c>
      <c r="P66" s="23">
        <f ca="1">'Index Data'!S175</f>
        <v>1.6392525455969444E-2</v>
      </c>
      <c r="Q66" s="23">
        <f ca="1">'Index Data'!U175</f>
        <v>2.7454978748495226E-2</v>
      </c>
      <c r="R66" s="24"/>
      <c r="S66" s="23">
        <f t="shared" ca="1" si="5"/>
        <v>1.9047997521669628E-2</v>
      </c>
      <c r="T66" s="2">
        <f t="shared" ref="T66:T129" ca="1" si="7">IF(C66="R1G",M66,N66)</f>
        <v>2.0116256286329983E-2</v>
      </c>
      <c r="U66" s="2">
        <f t="shared" ref="U66:U129" ca="1" si="8">IF(E66="EAFE",J66,T66)</f>
        <v>2.0116256286329983E-2</v>
      </c>
      <c r="V66" s="2">
        <f t="shared" ref="V66:V129" ca="1" si="9">IF(D66="EM",K66,T66)</f>
        <v>2.7874651880472726E-2</v>
      </c>
      <c r="W66" s="2">
        <f t="shared" ref="W66:W129" ca="1" si="10">IF(F66="MTM",O66,IF(F66="MVL",P66,Y66))</f>
        <v>4.9117564665234766E-2</v>
      </c>
      <c r="X66" s="2">
        <v>2.0799999982636708E-2</v>
      </c>
      <c r="Y66" s="2">
        <f t="shared" ca="1" si="6"/>
        <v>2.0892095845744259E-2</v>
      </c>
      <c r="Z66" s="2">
        <f t="shared" ref="Z66:Z129" ca="1" si="11">0.2*X66+0.075*W66+0.1*V66+0.25*U66+0.375*T66</f>
        <v>2.3203942713423464E-2</v>
      </c>
    </row>
    <row r="67" spans="1:26">
      <c r="A67" s="22">
        <v>34150</v>
      </c>
      <c r="B67" s="25" t="s">
        <v>45</v>
      </c>
      <c r="C67" s="25" t="s">
        <v>47</v>
      </c>
      <c r="D67" s="25" t="s">
        <v>32</v>
      </c>
      <c r="E67" s="25" t="s">
        <v>41</v>
      </c>
      <c r="F67" s="25" t="s">
        <v>39</v>
      </c>
      <c r="H67" s="23">
        <f ca="1">'Index Data'!E176</f>
        <v>1.812304594351119E-2</v>
      </c>
      <c r="I67" s="23">
        <f ca="1">'Index Data'!D176</f>
        <v>-6.4884345959642965E-3</v>
      </c>
      <c r="J67" s="23">
        <f ca="1">'Index Data'!B176</f>
        <v>-1.5371436925630316E-2</v>
      </c>
      <c r="K67" s="23">
        <f ca="1">'Index Data'!C176</f>
        <v>2.9657293497363742E-2</v>
      </c>
      <c r="L67" s="23">
        <f ca="1">'Index Data'!AH176</f>
        <v>2.3999999999999998E-3</v>
      </c>
      <c r="M67" s="23">
        <f ca="1">'Index Data'!V176</f>
        <v>-9.1033538672141284E-3</v>
      </c>
      <c r="N67" s="23">
        <f ca="1">'Index Data'!W176</f>
        <v>2.2152506562520064E-2</v>
      </c>
      <c r="O67" s="23">
        <f ca="1">'Index Data'!R176</f>
        <v>3.1508678237650259E-2</v>
      </c>
      <c r="P67" s="23">
        <f ca="1">'Index Data'!S176</f>
        <v>7.4310563108935038E-3</v>
      </c>
      <c r="Q67" s="23">
        <f ca="1">'Index Data'!U176</f>
        <v>6.5996341507155365E-3</v>
      </c>
      <c r="R67" s="24"/>
      <c r="S67" s="23">
        <f t="shared" ref="S67:S130" ca="1" si="12">IF(B67="OW",0.8*I67+0.2*H67,IF(B67="NW",0.6*I67+0.4*H67,0.4*I67+0.6*H67))</f>
        <v>-1.5661384880691991E-3</v>
      </c>
      <c r="T67" s="2">
        <f t="shared" ca="1" si="7"/>
        <v>2.2152506562520064E-2</v>
      </c>
      <c r="U67" s="2">
        <f t="shared" ca="1" si="8"/>
        <v>2.2152506562520064E-2</v>
      </c>
      <c r="V67" s="2">
        <f t="shared" ca="1" si="9"/>
        <v>2.9657293497363742E-2</v>
      </c>
      <c r="W67" s="2">
        <f t="shared" ca="1" si="10"/>
        <v>3.1508678237650259E-2</v>
      </c>
      <c r="X67" s="2">
        <v>1.870000000630978E-2</v>
      </c>
      <c r="Y67" s="2">
        <f t="shared" ref="Y67:Y130" ca="1" si="13">0.25*U67+0.1*V67+0.65*T67</f>
        <v>2.2902985256004434E-2</v>
      </c>
      <c r="Z67" s="2">
        <f t="shared" ca="1" si="11"/>
        <v>2.291419682039714E-2</v>
      </c>
    </row>
    <row r="68" spans="1:26">
      <c r="A68" s="22">
        <v>34181</v>
      </c>
      <c r="B68" s="25" t="s">
        <v>45</v>
      </c>
      <c r="C68" s="25" t="s">
        <v>47</v>
      </c>
      <c r="D68" s="25" t="s">
        <v>32</v>
      </c>
      <c r="E68" s="25" t="s">
        <v>41</v>
      </c>
      <c r="F68" s="25" t="s">
        <v>39</v>
      </c>
      <c r="H68" s="23">
        <f ca="1">'Index Data'!E177</f>
        <v>5.6558927115321067E-3</v>
      </c>
      <c r="I68" s="23">
        <f ca="1">'Index Data'!D177</f>
        <v>2.073764098500696E-2</v>
      </c>
      <c r="J68" s="23">
        <f ca="1">'Index Data'!B177</f>
        <v>3.5234934417452991E-2</v>
      </c>
      <c r="K68" s="23">
        <f ca="1">'Index Data'!C177</f>
        <v>2.6408742858497602E-2</v>
      </c>
      <c r="L68" s="23">
        <f ca="1">'Index Data'!AH177</f>
        <v>7.3300000000000004E-2</v>
      </c>
      <c r="M68" s="23">
        <f ca="1">'Index Data'!V177</f>
        <v>-1.7890446915797494E-2</v>
      </c>
      <c r="N68" s="23">
        <f ca="1">'Index Data'!W177</f>
        <v>1.1024115252113942E-2</v>
      </c>
      <c r="O68" s="23">
        <f ca="1">'Index Data'!R177</f>
        <v>1.9932694796790079E-2</v>
      </c>
      <c r="P68" s="23">
        <f ca="1">'Index Data'!S177</f>
        <v>7.8133537318324682E-3</v>
      </c>
      <c r="Q68" s="23">
        <f ca="1">'Index Data'!U177</f>
        <v>-3.1237751357001122E-3</v>
      </c>
      <c r="R68" s="24"/>
      <c r="S68" s="23">
        <f t="shared" ca="1" si="12"/>
        <v>1.772129133031199E-2</v>
      </c>
      <c r="T68" s="2">
        <f t="shared" ca="1" si="7"/>
        <v>1.1024115252113942E-2</v>
      </c>
      <c r="U68" s="2">
        <f t="shared" ca="1" si="8"/>
        <v>1.1024115252113942E-2</v>
      </c>
      <c r="V68" s="2">
        <f t="shared" ca="1" si="9"/>
        <v>2.6408742858497602E-2</v>
      </c>
      <c r="W68" s="2">
        <f t="shared" ca="1" si="10"/>
        <v>1.9932694796790079E-2</v>
      </c>
      <c r="X68" s="2">
        <v>7.4999999865927869E-3</v>
      </c>
      <c r="Y68" s="2">
        <f t="shared" ca="1" si="13"/>
        <v>1.2562578012752307E-2</v>
      </c>
      <c r="Z68" s="2">
        <f t="shared" ca="1" si="11"/>
        <v>1.2525898425498786E-2</v>
      </c>
    </row>
    <row r="69" spans="1:26">
      <c r="A69" s="22">
        <v>34212</v>
      </c>
      <c r="B69" s="25" t="s">
        <v>45</v>
      </c>
      <c r="C69" s="25" t="s">
        <v>47</v>
      </c>
      <c r="D69" s="25" t="s">
        <v>32</v>
      </c>
      <c r="E69" s="25" t="s">
        <v>41</v>
      </c>
      <c r="F69" s="25" t="s">
        <v>39</v>
      </c>
      <c r="H69" s="23">
        <f ca="1">'Index Data'!E178</f>
        <v>1.7527818511170478E-2</v>
      </c>
      <c r="I69" s="23">
        <f ca="1">'Index Data'!D178</f>
        <v>4.7418916624214741E-2</v>
      </c>
      <c r="J69" s="23">
        <f ca="1">'Index Data'!B178</f>
        <v>5.4209943144228161E-2</v>
      </c>
      <c r="K69" s="23">
        <f ca="1">'Index Data'!C178</f>
        <v>8.4440030487100609E-2</v>
      </c>
      <c r="L69" s="23">
        <f ca="1">'Index Data'!AH178</f>
        <v>-8.1300000000000011E-2</v>
      </c>
      <c r="M69" s="23">
        <f ca="1">'Index Data'!V178</f>
        <v>4.1074694049796058E-2</v>
      </c>
      <c r="N69" s="23">
        <f ca="1">'Index Data'!W178</f>
        <v>3.6119199553931058E-2</v>
      </c>
      <c r="O69" s="23">
        <f ca="1">'Index Data'!R178</f>
        <v>6.0236886632825642E-2</v>
      </c>
      <c r="P69" s="23">
        <f ca="1">'Index Data'!S178</f>
        <v>3.4697750067769075E-2</v>
      </c>
      <c r="Q69" s="23">
        <f ca="1">'Index Data'!U178</f>
        <v>3.8508280710115632E-2</v>
      </c>
      <c r="R69" s="24"/>
      <c r="S69" s="23">
        <f t="shared" ca="1" si="12"/>
        <v>4.1440697001605888E-2</v>
      </c>
      <c r="T69" s="2">
        <f t="shared" ca="1" si="7"/>
        <v>3.6119199553931058E-2</v>
      </c>
      <c r="U69" s="2">
        <f t="shared" ca="1" si="8"/>
        <v>3.6119199553931058E-2</v>
      </c>
      <c r="V69" s="2">
        <f t="shared" ca="1" si="9"/>
        <v>8.4440030487100609E-2</v>
      </c>
      <c r="W69" s="2">
        <f t="shared" ca="1" si="10"/>
        <v>6.0236886632825642E-2</v>
      </c>
      <c r="X69" s="2">
        <v>4.6800000035160272E-2</v>
      </c>
      <c r="Y69" s="2">
        <f t="shared" ca="1" si="13"/>
        <v>4.0951282647248011E-2</v>
      </c>
      <c r="Z69" s="2">
        <f t="shared" ca="1" si="11"/>
        <v>4.4896269274410948E-2</v>
      </c>
    </row>
    <row r="70" spans="1:26">
      <c r="A70" s="22">
        <v>34242</v>
      </c>
      <c r="B70" s="25" t="s">
        <v>45</v>
      </c>
      <c r="C70" s="25" t="s">
        <v>47</v>
      </c>
      <c r="D70" s="25" t="s">
        <v>32</v>
      </c>
      <c r="E70" s="25" t="s">
        <v>41</v>
      </c>
      <c r="F70" s="25" t="s">
        <v>39</v>
      </c>
      <c r="H70" s="23">
        <f ca="1">'Index Data'!E179</f>
        <v>2.7466472253776719E-3</v>
      </c>
      <c r="I70" s="23">
        <f ca="1">'Index Data'!D179</f>
        <v>-1.6767895501734197E-2</v>
      </c>
      <c r="J70" s="23">
        <f ca="1">'Index Data'!B179</f>
        <v>-2.2289992665653832E-2</v>
      </c>
      <c r="K70" s="23">
        <f ca="1">'Index Data'!C179</f>
        <v>3.6568483376994053E-2</v>
      </c>
      <c r="L70" s="23">
        <f ca="1">'Index Data'!AH179</f>
        <v>-5.0300000000000004E-2</v>
      </c>
      <c r="M70" s="23">
        <f ca="1">'Index Data'!V179</f>
        <v>-7.3638697473314644E-3</v>
      </c>
      <c r="N70" s="23">
        <f ca="1">'Index Data'!W179</f>
        <v>1.6742406122937164E-3</v>
      </c>
      <c r="O70" s="23">
        <f ca="1">'Index Data'!R179</f>
        <v>2.3539738270028865E-2</v>
      </c>
      <c r="P70" s="23">
        <f ca="1">'Index Data'!S179</f>
        <v>-1.3518470002619775E-2</v>
      </c>
      <c r="Q70" s="23">
        <f ca="1">'Index Data'!U179</f>
        <v>-2.7993850531195415E-3</v>
      </c>
      <c r="R70" s="24"/>
      <c r="S70" s="23">
        <f t="shared" ca="1" si="12"/>
        <v>-1.2864986956311823E-2</v>
      </c>
      <c r="T70" s="2">
        <f t="shared" ca="1" si="7"/>
        <v>1.6742406122937164E-3</v>
      </c>
      <c r="U70" s="2">
        <f t="shared" ca="1" si="8"/>
        <v>1.6742406122937164E-3</v>
      </c>
      <c r="V70" s="2">
        <f t="shared" ca="1" si="9"/>
        <v>3.6568483376994053E-2</v>
      </c>
      <c r="W70" s="2">
        <f t="shared" ca="1" si="10"/>
        <v>2.3539738270028865E-2</v>
      </c>
      <c r="X70" s="2">
        <v>9.7999999773143998E-3</v>
      </c>
      <c r="Y70" s="2">
        <f t="shared" ca="1" si="13"/>
        <v>5.1636648887637502E-3</v>
      </c>
      <c r="Z70" s="2">
        <f t="shared" ca="1" si="11"/>
        <v>8.4287290860980239E-3</v>
      </c>
    </row>
    <row r="71" spans="1:26">
      <c r="A71" s="22">
        <v>34273</v>
      </c>
      <c r="B71" s="25" t="s">
        <v>45</v>
      </c>
      <c r="C71" s="25" t="s">
        <v>47</v>
      </c>
      <c r="D71" s="25" t="s">
        <v>32</v>
      </c>
      <c r="E71" s="25" t="s">
        <v>41</v>
      </c>
      <c r="F71" s="25" t="s">
        <v>39</v>
      </c>
      <c r="H71" s="23">
        <f ca="1">'Index Data'!E180</f>
        <v>3.7367059499856898E-3</v>
      </c>
      <c r="I71" s="23">
        <f ca="1">'Index Data'!D180</f>
        <v>2.9614580572976452E-2</v>
      </c>
      <c r="J71" s="23">
        <f ca="1">'Index Data'!B180</f>
        <v>3.103713539548526E-2</v>
      </c>
      <c r="K71" s="23">
        <f ca="1">'Index Data'!C180</f>
        <v>8.9726731045818811E-2</v>
      </c>
      <c r="L71" s="23">
        <f ca="1">'Index Data'!AH180</f>
        <v>4.0800000000000003E-2</v>
      </c>
      <c r="M71" s="23">
        <f ca="1">'Index Data'!V180</f>
        <v>2.7768325052746096E-2</v>
      </c>
      <c r="N71" s="23">
        <f ca="1">'Index Data'!W180</f>
        <v>-8.3572110792749983E-4</v>
      </c>
      <c r="O71" s="23">
        <f ca="1">'Index Data'!R180</f>
        <v>3.4302642862711293E-3</v>
      </c>
      <c r="P71" s="23">
        <f ca="1">'Index Data'!S180</f>
        <v>2.3556594252934625E-2</v>
      </c>
      <c r="Q71" s="23">
        <f ca="1">'Index Data'!U180</f>
        <v>1.3184840884511882E-2</v>
      </c>
      <c r="R71" s="24"/>
      <c r="S71" s="23">
        <f t="shared" ca="1" si="12"/>
        <v>2.4439005648378302E-2</v>
      </c>
      <c r="T71" s="2">
        <f t="shared" ca="1" si="7"/>
        <v>-8.3572110792749983E-4</v>
      </c>
      <c r="U71" s="2">
        <f t="shared" ca="1" si="8"/>
        <v>-8.3572110792749983E-4</v>
      </c>
      <c r="V71" s="2">
        <f t="shared" ca="1" si="9"/>
        <v>8.9726731045818811E-2</v>
      </c>
      <c r="W71" s="2">
        <f t="shared" ca="1" si="10"/>
        <v>3.4302642862711293E-3</v>
      </c>
      <c r="X71" s="2">
        <v>-1.4199999980782918E-2</v>
      </c>
      <c r="Y71" s="2">
        <f t="shared" ca="1" si="13"/>
        <v>8.2205241074471327E-3</v>
      </c>
      <c r="Z71" s="2">
        <f t="shared" ca="1" si="11"/>
        <v>5.8676172374409448E-3</v>
      </c>
    </row>
    <row r="72" spans="1:26">
      <c r="A72" s="22">
        <v>34303</v>
      </c>
      <c r="B72" s="25" t="s">
        <v>45</v>
      </c>
      <c r="C72" s="25" t="s">
        <v>47</v>
      </c>
      <c r="D72" s="25" t="s">
        <v>32</v>
      </c>
      <c r="E72" s="25" t="s">
        <v>41</v>
      </c>
      <c r="F72" s="25" t="s">
        <v>39</v>
      </c>
      <c r="H72" s="23">
        <f ca="1">'Index Data'!E181</f>
        <v>-8.506839161781474E-3</v>
      </c>
      <c r="I72" s="23">
        <f ca="1">'Index Data'!D181</f>
        <v>-5.1983482418613156E-2</v>
      </c>
      <c r="J72" s="23">
        <f ca="1">'Index Data'!B181</f>
        <v>-8.7200499559463809E-2</v>
      </c>
      <c r="K72" s="23">
        <f ca="1">'Index Data'!C181</f>
        <v>4.4252125874389626E-2</v>
      </c>
      <c r="L72" s="23">
        <f ca="1">'Index Data'!AH181</f>
        <v>5.0000000000000001E-4</v>
      </c>
      <c r="M72" s="23">
        <f ca="1">'Index Data'!V181</f>
        <v>-6.6882987881596648E-3</v>
      </c>
      <c r="N72" s="23">
        <f ca="1">'Index Data'!W181</f>
        <v>-2.0791014458119192E-2</v>
      </c>
      <c r="O72" s="23">
        <f ca="1">'Index Data'!R181</f>
        <v>-4.0245513169139983E-2</v>
      </c>
      <c r="P72" s="23">
        <f ca="1">'Index Data'!S181</f>
        <v>-1.5048908954100857E-2</v>
      </c>
      <c r="Q72" s="23">
        <f ca="1">'Index Data'!U181</f>
        <v>-1.3683230377906926E-2</v>
      </c>
      <c r="R72" s="24"/>
      <c r="S72" s="23">
        <f t="shared" ca="1" si="12"/>
        <v>-4.3288153767246824E-2</v>
      </c>
      <c r="T72" s="2">
        <f t="shared" ca="1" si="7"/>
        <v>-2.0791014458119192E-2</v>
      </c>
      <c r="U72" s="2">
        <f t="shared" ca="1" si="8"/>
        <v>-2.0791014458119192E-2</v>
      </c>
      <c r="V72" s="2">
        <f t="shared" ca="1" si="9"/>
        <v>4.4252125874389626E-2</v>
      </c>
      <c r="W72" s="2">
        <f t="shared" ca="1" si="10"/>
        <v>-4.0245513169139983E-2</v>
      </c>
      <c r="X72" s="2">
        <v>-2.4100000002494237E-2</v>
      </c>
      <c r="Y72" s="2">
        <f t="shared" ca="1" si="13"/>
        <v>-1.428670042486831E-2</v>
      </c>
      <c r="Z72" s="2">
        <f t="shared" ca="1" si="11"/>
        <v>-1.6407584937069876E-2</v>
      </c>
    </row>
    <row r="73" spans="1:26">
      <c r="A73" s="22">
        <v>34334</v>
      </c>
      <c r="B73" s="25" t="s">
        <v>45</v>
      </c>
      <c r="C73" s="25" t="s">
        <v>47</v>
      </c>
      <c r="D73" s="25" t="s">
        <v>32</v>
      </c>
      <c r="E73" s="25" t="s">
        <v>41</v>
      </c>
      <c r="F73" s="25" t="s">
        <v>39</v>
      </c>
      <c r="H73" s="23">
        <f ca="1">'Index Data'!E182</f>
        <v>5.419731901663196E-3</v>
      </c>
      <c r="I73" s="23">
        <f ca="1">'Index Data'!D182</f>
        <v>5.4085849597297238E-2</v>
      </c>
      <c r="J73" s="23">
        <f ca="1">'Index Data'!B182</f>
        <v>7.2434273481045613E-2</v>
      </c>
      <c r="K73" s="23">
        <f ca="1">'Index Data'!C182</f>
        <v>0.16528239202657799</v>
      </c>
      <c r="L73" s="23">
        <f ca="1">'Index Data'!AH182</f>
        <v>5.9800000000000006E-2</v>
      </c>
      <c r="M73" s="23">
        <f ca="1">'Index Data'!V182</f>
        <v>1.7200000000000083E-2</v>
      </c>
      <c r="N73" s="23">
        <f ca="1">'Index Data'!W182</f>
        <v>1.909701037217813E-2</v>
      </c>
      <c r="O73" s="23">
        <f ca="1">'Index Data'!R182</f>
        <v>1.6999919048004027E-3</v>
      </c>
      <c r="P73" s="23">
        <f ca="1">'Index Data'!S182</f>
        <v>1.7465293327362279E-2</v>
      </c>
      <c r="Q73" s="23">
        <f ca="1">'Index Data'!U182</f>
        <v>1.8167374710738062E-2</v>
      </c>
      <c r="R73" s="24"/>
      <c r="S73" s="23">
        <f t="shared" ca="1" si="12"/>
        <v>4.4352626058170433E-2</v>
      </c>
      <c r="T73" s="2">
        <f t="shared" ca="1" si="7"/>
        <v>1.909701037217813E-2</v>
      </c>
      <c r="U73" s="2">
        <f t="shared" ca="1" si="8"/>
        <v>1.909701037217813E-2</v>
      </c>
      <c r="V73" s="2">
        <f t="shared" ca="1" si="9"/>
        <v>0.16528239202657799</v>
      </c>
      <c r="W73" s="2">
        <f t="shared" ca="1" si="10"/>
        <v>1.6999919048004027E-3</v>
      </c>
      <c r="X73" s="2">
        <v>3.2499999971117077E-2</v>
      </c>
      <c r="Y73" s="2">
        <f t="shared" ca="1" si="13"/>
        <v>3.3715548537618115E-2</v>
      </c>
      <c r="Z73" s="2">
        <f t="shared" ca="1" si="11"/>
        <v>3.5091370072352579E-2</v>
      </c>
    </row>
    <row r="74" spans="1:26">
      <c r="A74" s="22">
        <v>34365</v>
      </c>
      <c r="B74" s="25" t="s">
        <v>45</v>
      </c>
      <c r="C74" s="25" t="s">
        <v>47</v>
      </c>
      <c r="D74" s="25" t="s">
        <v>32</v>
      </c>
      <c r="E74" s="25" t="s">
        <v>41</v>
      </c>
      <c r="F74" s="25" t="s">
        <v>39</v>
      </c>
      <c r="H74" s="23">
        <f ca="1">'Index Data'!E183</f>
        <v>1.3501639122646947E-2</v>
      </c>
      <c r="I74" s="23">
        <f ca="1">'Index Data'!D183</f>
        <v>6.6317536630036575E-2</v>
      </c>
      <c r="J74" s="23">
        <f ca="1">'Index Data'!B183</f>
        <v>8.4760795595495084E-2</v>
      </c>
      <c r="K74" s="23">
        <f ca="1">'Index Data'!C183</f>
        <v>1.8206328054789427E-2</v>
      </c>
      <c r="L74" s="23">
        <f ca="1">'Index Data'!AH183</f>
        <v>-2.63E-2</v>
      </c>
      <c r="M74" s="23">
        <f ca="1">'Index Data'!V183</f>
        <v>2.3200943767204035E-2</v>
      </c>
      <c r="N74" s="23">
        <f ca="1">'Index Data'!W183</f>
        <v>3.7598036280907625E-2</v>
      </c>
      <c r="O74" s="23">
        <f ca="1">'Index Data'!R183</f>
        <v>6.0934216906416733E-2</v>
      </c>
      <c r="P74" s="23">
        <f ca="1">'Index Data'!S183</f>
        <v>2.6253106876553401E-2</v>
      </c>
      <c r="Q74" s="23">
        <f ca="1">'Index Data'!U183</f>
        <v>3.0530207944638559E-2</v>
      </c>
      <c r="R74" s="24"/>
      <c r="S74" s="23">
        <f t="shared" ca="1" si="12"/>
        <v>5.5754357128558654E-2</v>
      </c>
      <c r="T74" s="2">
        <f t="shared" ca="1" si="7"/>
        <v>3.7598036280907625E-2</v>
      </c>
      <c r="U74" s="2">
        <f t="shared" ca="1" si="8"/>
        <v>3.7598036280907625E-2</v>
      </c>
      <c r="V74" s="2">
        <f t="shared" ca="1" si="9"/>
        <v>1.8206328054789427E-2</v>
      </c>
      <c r="W74" s="2">
        <f t="shared" ca="1" si="10"/>
        <v>6.0934216906416733E-2</v>
      </c>
      <c r="X74" s="2">
        <v>3.6300000017597256E-2</v>
      </c>
      <c r="Y74" s="2">
        <f t="shared" ca="1" si="13"/>
        <v>3.5658865458295809E-2</v>
      </c>
      <c r="Z74" s="2">
        <f t="shared" ca="1" si="11"/>
        <v>3.7149471752546917E-2</v>
      </c>
    </row>
    <row r="75" spans="1:26">
      <c r="A75" s="22">
        <v>34393</v>
      </c>
      <c r="B75" s="25" t="s">
        <v>45</v>
      </c>
      <c r="C75" s="25" t="s">
        <v>47</v>
      </c>
      <c r="D75" s="25" t="s">
        <v>32</v>
      </c>
      <c r="E75" s="25" t="s">
        <v>41</v>
      </c>
      <c r="F75" s="25" t="s">
        <v>39</v>
      </c>
      <c r="H75" s="23">
        <f ca="1">'Index Data'!E184</f>
        <v>-1.7373326441802624E-2</v>
      </c>
      <c r="I75" s="23">
        <f ca="1">'Index Data'!D184</f>
        <v>-1.4454636701787822E-2</v>
      </c>
      <c r="J75" s="23">
        <f ca="1">'Index Data'!B184</f>
        <v>-2.5643446890989473E-3</v>
      </c>
      <c r="K75" s="23">
        <f ca="1">'Index Data'!C184</f>
        <v>-1.7789478489796451E-2</v>
      </c>
      <c r="L75" s="23">
        <f ca="1">'Index Data'!AH184</f>
        <v>2.3999999999999998E-3</v>
      </c>
      <c r="M75" s="23">
        <f ca="1">'Index Data'!V184</f>
        <v>-1.831924160901879E-2</v>
      </c>
      <c r="N75" s="23">
        <f ca="1">'Index Data'!W184</f>
        <v>-3.410074433096761E-2</v>
      </c>
      <c r="O75" s="23">
        <f ca="1">'Index Data'!R184</f>
        <v>-1.7824497257769679E-2</v>
      </c>
      <c r="P75" s="23">
        <f ca="1">'Index Data'!S184</f>
        <v>-3.4260053484030439E-2</v>
      </c>
      <c r="Q75" s="23">
        <f ca="1">'Index Data'!U184</f>
        <v>-2.6268145758583297E-2</v>
      </c>
      <c r="R75" s="24"/>
      <c r="S75" s="23">
        <f t="shared" ca="1" si="12"/>
        <v>-1.5038374649790784E-2</v>
      </c>
      <c r="T75" s="2">
        <f t="shared" ca="1" si="7"/>
        <v>-3.410074433096761E-2</v>
      </c>
      <c r="U75" s="2">
        <f t="shared" ca="1" si="8"/>
        <v>-3.410074433096761E-2</v>
      </c>
      <c r="V75" s="2">
        <f t="shared" ca="1" si="9"/>
        <v>-1.7789478489796451E-2</v>
      </c>
      <c r="W75" s="2">
        <f t="shared" ca="1" si="10"/>
        <v>-1.7824497257769679E-2</v>
      </c>
      <c r="X75" s="2">
        <v>-1.329999998682696E-2</v>
      </c>
      <c r="Y75" s="2">
        <f t="shared" ca="1" si="13"/>
        <v>-3.246961774685049E-2</v>
      </c>
      <c r="Z75" s="2">
        <f t="shared" ca="1" si="11"/>
        <v>-2.7088750347532518E-2</v>
      </c>
    </row>
    <row r="76" spans="1:26">
      <c r="A76" s="22">
        <v>34424</v>
      </c>
      <c r="B76" s="25" t="s">
        <v>45</v>
      </c>
      <c r="C76" s="25" t="s">
        <v>47</v>
      </c>
      <c r="D76" s="25" t="s">
        <v>32</v>
      </c>
      <c r="E76" s="25" t="s">
        <v>41</v>
      </c>
      <c r="F76" s="25" t="s">
        <v>39</v>
      </c>
      <c r="H76" s="23">
        <f ca="1">'Index Data'!E185</f>
        <v>-2.465428013913629E-2</v>
      </c>
      <c r="I76" s="23">
        <f ca="1">'Index Data'!D185</f>
        <v>-4.4931214395416467E-2</v>
      </c>
      <c r="J76" s="23">
        <f ca="1">'Index Data'!B185</f>
        <v>-4.2858379932509606E-2</v>
      </c>
      <c r="K76" s="23">
        <f ca="1">'Index Data'!C185</f>
        <v>-9.0496405552801321E-2</v>
      </c>
      <c r="L76" s="23">
        <f ca="1">'Index Data'!AH185</f>
        <v>2.4300000000000002E-2</v>
      </c>
      <c r="M76" s="23">
        <f ca="1">'Index Data'!V185</f>
        <v>-4.8349210491974402E-2</v>
      </c>
      <c r="N76" s="23">
        <f ca="1">'Index Data'!W185</f>
        <v>-3.7275985663082489E-2</v>
      </c>
      <c r="O76" s="23">
        <f ca="1">'Index Data'!R185</f>
        <v>-4.6533271288971625E-2</v>
      </c>
      <c r="P76" s="23">
        <f ca="1">'Index Data'!S185</f>
        <v>-3.0877742946708444E-2</v>
      </c>
      <c r="Q76" s="23">
        <f ca="1">'Index Data'!U185</f>
        <v>-4.2730130827220131E-2</v>
      </c>
      <c r="R76" s="24"/>
      <c r="S76" s="23">
        <f t="shared" ca="1" si="12"/>
        <v>-4.0875827544160435E-2</v>
      </c>
      <c r="T76" s="2">
        <f t="shared" ca="1" si="7"/>
        <v>-3.7275985663082489E-2</v>
      </c>
      <c r="U76" s="2">
        <f t="shared" ca="1" si="8"/>
        <v>-3.7275985663082489E-2</v>
      </c>
      <c r="V76" s="2">
        <f t="shared" ca="1" si="9"/>
        <v>-9.0496405552801321E-2</v>
      </c>
      <c r="W76" s="2">
        <f t="shared" ca="1" si="10"/>
        <v>-4.6533271288971625E-2</v>
      </c>
      <c r="X76" s="2">
        <v>-4.110000000967029E-2</v>
      </c>
      <c r="Y76" s="2">
        <f t="shared" ca="1" si="13"/>
        <v>-4.2598027652054372E-2</v>
      </c>
      <c r="Z76" s="2">
        <f t="shared" ca="1" si="11"/>
        <v>-4.4057126943313617E-2</v>
      </c>
    </row>
    <row r="77" spans="1:26">
      <c r="A77" s="22">
        <v>34454</v>
      </c>
      <c r="B77" s="25" t="s">
        <v>45</v>
      </c>
      <c r="C77" s="25" t="s">
        <v>47</v>
      </c>
      <c r="D77" s="25" t="s">
        <v>32</v>
      </c>
      <c r="E77" s="25" t="s">
        <v>41</v>
      </c>
      <c r="F77" s="25" t="s">
        <v>39</v>
      </c>
      <c r="H77" s="23">
        <f ca="1">'Index Data'!E186</f>
        <v>-7.9851083817543429E-3</v>
      </c>
      <c r="I77" s="23">
        <f ca="1">'Index Data'!D186</f>
        <v>2.7194863255856419E-2</v>
      </c>
      <c r="J77" s="23">
        <f ca="1">'Index Data'!B186</f>
        <v>4.265159349308438E-2</v>
      </c>
      <c r="K77" s="23">
        <f ca="1">'Index Data'!C186</f>
        <v>-1.9998977905728854E-2</v>
      </c>
      <c r="L77" s="23">
        <f ca="1">'Index Data'!AH186</f>
        <v>-3.5699999999999996E-2</v>
      </c>
      <c r="M77" s="23">
        <f ca="1">'Index Data'!V186</f>
        <v>4.5937607130614741E-3</v>
      </c>
      <c r="N77" s="23">
        <f ca="1">'Index Data'!W186</f>
        <v>1.9173492181682822E-2</v>
      </c>
      <c r="O77" s="23">
        <f ca="1">'Index Data'!R186</f>
        <v>-1.1143647307629775E-2</v>
      </c>
      <c r="P77" s="23">
        <f ca="1">'Index Data'!S186</f>
        <v>1.2453501536470981E-2</v>
      </c>
      <c r="Q77" s="23">
        <f ca="1">'Index Data'!U186</f>
        <v>1.2006921637179133E-2</v>
      </c>
      <c r="R77" s="24"/>
      <c r="S77" s="23">
        <f t="shared" ca="1" si="12"/>
        <v>2.0158868928334267E-2</v>
      </c>
      <c r="T77" s="2">
        <f t="shared" ca="1" si="7"/>
        <v>1.9173492181682822E-2</v>
      </c>
      <c r="U77" s="2">
        <f t="shared" ca="1" si="8"/>
        <v>1.9173492181682822E-2</v>
      </c>
      <c r="V77" s="2">
        <f t="shared" ca="1" si="9"/>
        <v>-1.9998977905728854E-2</v>
      </c>
      <c r="W77" s="2">
        <f t="shared" ca="1" si="10"/>
        <v>-1.1143647307629775E-2</v>
      </c>
      <c r="X77" s="2">
        <v>1.1300000013997336E-2</v>
      </c>
      <c r="Y77" s="2">
        <f t="shared" ca="1" si="13"/>
        <v>1.5256245172941654E-2</v>
      </c>
      <c r="Z77" s="2">
        <f t="shared" ca="1" si="11"/>
        <v>1.1407761277706112E-2</v>
      </c>
    </row>
    <row r="78" spans="1:26">
      <c r="A78" s="22">
        <v>34485</v>
      </c>
      <c r="B78" s="25" t="s">
        <v>45</v>
      </c>
      <c r="C78" s="25" t="s">
        <v>47</v>
      </c>
      <c r="D78" s="25" t="s">
        <v>32</v>
      </c>
      <c r="E78" s="25" t="s">
        <v>41</v>
      </c>
      <c r="F78" s="25" t="s">
        <v>39</v>
      </c>
      <c r="H78" s="23">
        <f ca="1">'Index Data'!E187</f>
        <v>-1.4029426722557726E-4</v>
      </c>
      <c r="I78" s="23">
        <f ca="1">'Index Data'!D187</f>
        <v>5.8956437743222139E-3</v>
      </c>
      <c r="J78" s="23">
        <f ca="1">'Index Data'!B187</f>
        <v>-5.5282201792626441E-3</v>
      </c>
      <c r="K78" s="23">
        <f ca="1">'Index Data'!C187</f>
        <v>3.422621634306186E-2</v>
      </c>
      <c r="L78" s="23">
        <f ca="1">'Index Data'!AH187</f>
        <v>2.46E-2</v>
      </c>
      <c r="M78" s="23">
        <f ca="1">'Index Data'!V187</f>
        <v>1.5151515151515143E-2</v>
      </c>
      <c r="N78" s="23">
        <f ca="1">'Index Data'!W187</f>
        <v>1.1567732115677356E-2</v>
      </c>
      <c r="O78" s="23">
        <f ca="1">'Index Data'!R187</f>
        <v>1.661594143291939E-2</v>
      </c>
      <c r="P78" s="23">
        <f ca="1">'Index Data'!S187</f>
        <v>5.6975505857294632E-3</v>
      </c>
      <c r="Q78" s="23">
        <f ca="1">'Index Data'!U187</f>
        <v>1.3283549103767502E-2</v>
      </c>
      <c r="R78" s="24"/>
      <c r="S78" s="23">
        <f t="shared" ca="1" si="12"/>
        <v>4.6884561660126556E-3</v>
      </c>
      <c r="T78" s="2">
        <f t="shared" ca="1" si="7"/>
        <v>1.1567732115677356E-2</v>
      </c>
      <c r="U78" s="2">
        <f t="shared" ca="1" si="8"/>
        <v>1.1567732115677356E-2</v>
      </c>
      <c r="V78" s="2">
        <f t="shared" ca="1" si="9"/>
        <v>3.422621634306186E-2</v>
      </c>
      <c r="W78" s="2">
        <f t="shared" ca="1" si="10"/>
        <v>1.661594143291939E-2</v>
      </c>
      <c r="X78" s="2">
        <v>1.1499999969324159E-2</v>
      </c>
      <c r="Y78" s="2">
        <f t="shared" ca="1" si="13"/>
        <v>1.3833580538415807E-2</v>
      </c>
      <c r="Z78" s="2">
        <f t="shared" ca="1" si="11"/>
        <v>1.4198649807938321E-2</v>
      </c>
    </row>
    <row r="79" spans="1:26">
      <c r="A79" s="22">
        <v>34515</v>
      </c>
      <c r="B79" s="25" t="s">
        <v>45</v>
      </c>
      <c r="C79" s="25" t="s">
        <v>47</v>
      </c>
      <c r="D79" s="25" t="s">
        <v>32</v>
      </c>
      <c r="E79" s="25" t="s">
        <v>41</v>
      </c>
      <c r="F79" s="25" t="s">
        <v>39</v>
      </c>
      <c r="H79" s="23">
        <f ca="1">'Index Data'!E188</f>
        <v>-2.2099447513811996E-3</v>
      </c>
      <c r="I79" s="23">
        <f ca="1">'Index Data'!D188</f>
        <v>-4.8566461546951933E-3</v>
      </c>
      <c r="J79" s="23">
        <f ca="1">'Index Data'!B188</f>
        <v>1.4356253910615586E-2</v>
      </c>
      <c r="K79" s="23">
        <f ca="1">'Index Data'!C188</f>
        <v>-2.7563951729469859E-2</v>
      </c>
      <c r="L79" s="23">
        <f ca="1">'Index Data'!AH188</f>
        <v>5.0000000000000001E-4</v>
      </c>
      <c r="M79" s="23">
        <f ca="1">'Index Data'!V188</f>
        <v>-2.9581820626596783E-2</v>
      </c>
      <c r="N79" s="23">
        <f ca="1">'Index Data'!W188</f>
        <v>-2.3954258200421418E-2</v>
      </c>
      <c r="O79" s="23">
        <f ca="1">'Index Data'!R188</f>
        <v>-3.9485395258516139E-2</v>
      </c>
      <c r="P79" s="23">
        <f ca="1">'Index Data'!S188</f>
        <v>-1.6386932810928144E-2</v>
      </c>
      <c r="Q79" s="23">
        <f ca="1">'Index Data'!U188</f>
        <v>-2.6769827695062795E-2</v>
      </c>
      <c r="R79" s="24"/>
      <c r="S79" s="23">
        <f t="shared" ca="1" si="12"/>
        <v>-4.3273058740323942E-3</v>
      </c>
      <c r="T79" s="2">
        <f t="shared" ca="1" si="7"/>
        <v>-2.3954258200421418E-2</v>
      </c>
      <c r="U79" s="2">
        <f t="shared" ca="1" si="8"/>
        <v>-2.3954258200421418E-2</v>
      </c>
      <c r="V79" s="2">
        <f t="shared" ca="1" si="9"/>
        <v>-2.7563951729469859E-2</v>
      </c>
      <c r="W79" s="2">
        <f t="shared" ca="1" si="10"/>
        <v>-3.9485395258516139E-2</v>
      </c>
      <c r="X79" s="2">
        <v>-2.1199999978124384E-2</v>
      </c>
      <c r="Y79" s="2">
        <f t="shared" ca="1" si="13"/>
        <v>-2.4315227553326262E-2</v>
      </c>
      <c r="Z79" s="2">
        <f t="shared" ca="1" si="11"/>
        <v>-2.492921118822396E-2</v>
      </c>
    </row>
    <row r="80" spans="1:26">
      <c r="A80" s="22">
        <v>34546</v>
      </c>
      <c r="B80" s="25" t="s">
        <v>45</v>
      </c>
      <c r="C80" s="25" t="s">
        <v>47</v>
      </c>
      <c r="D80" s="25" t="s">
        <v>32</v>
      </c>
      <c r="E80" s="25" t="s">
        <v>41</v>
      </c>
      <c r="F80" s="25" t="s">
        <v>39</v>
      </c>
      <c r="H80" s="23">
        <f ca="1">'Index Data'!E189</f>
        <v>1.9863242454604701E-2</v>
      </c>
      <c r="I80" s="23">
        <f ca="1">'Index Data'!D189</f>
        <v>2.2133488617142302E-2</v>
      </c>
      <c r="J80" s="23">
        <f ca="1">'Index Data'!B189</f>
        <v>9.8373968158604035E-3</v>
      </c>
      <c r="K80" s="23">
        <f ca="1">'Index Data'!C189</f>
        <v>6.216944934149108E-2</v>
      </c>
      <c r="L80" s="23">
        <f ca="1">'Index Data'!AH189</f>
        <v>-1.11E-2</v>
      </c>
      <c r="M80" s="23">
        <f ca="1">'Index Data'!V189</f>
        <v>3.4155466260218974E-2</v>
      </c>
      <c r="N80" s="23">
        <f ca="1">'Index Data'!W189</f>
        <v>3.114016155885806E-2</v>
      </c>
      <c r="O80" s="23">
        <f ca="1">'Index Data'!R189</f>
        <v>3.1758065874821079E-2</v>
      </c>
      <c r="P80" s="23">
        <f ca="1">'Index Data'!S189</f>
        <v>2.5541649845242924E-2</v>
      </c>
      <c r="Q80" s="23">
        <f ca="1">'Index Data'!U189</f>
        <v>3.2625234427525136E-2</v>
      </c>
      <c r="R80" s="24"/>
      <c r="S80" s="23">
        <f t="shared" ca="1" si="12"/>
        <v>2.1679439384634784E-2</v>
      </c>
      <c r="T80" s="2">
        <f t="shared" ca="1" si="7"/>
        <v>3.114016155885806E-2</v>
      </c>
      <c r="U80" s="2">
        <f t="shared" ca="1" si="8"/>
        <v>3.114016155885806E-2</v>
      </c>
      <c r="V80" s="2">
        <f t="shared" ca="1" si="9"/>
        <v>6.216944934149108E-2</v>
      </c>
      <c r="W80" s="2">
        <f t="shared" ca="1" si="10"/>
        <v>3.1758065874821079E-2</v>
      </c>
      <c r="X80" s="2">
        <v>3.0099999989593007E-2</v>
      </c>
      <c r="Y80" s="2">
        <f t="shared" ca="1" si="13"/>
        <v>3.4243090337121362E-2</v>
      </c>
      <c r="Z80" s="2">
        <f t="shared" ca="1" si="11"/>
        <v>3.4081400846965579E-2</v>
      </c>
    </row>
    <row r="81" spans="1:26">
      <c r="A81" s="22">
        <v>34577</v>
      </c>
      <c r="B81" s="25" t="s">
        <v>45</v>
      </c>
      <c r="C81" s="25" t="s">
        <v>47</v>
      </c>
      <c r="D81" s="25" t="s">
        <v>32</v>
      </c>
      <c r="E81" s="25" t="s">
        <v>41</v>
      </c>
      <c r="F81" s="25" t="s">
        <v>39</v>
      </c>
      <c r="H81" s="23">
        <f ca="1">'Index Data'!E190</f>
        <v>1.2409727847772516E-3</v>
      </c>
      <c r="I81" s="23">
        <f ca="1">'Index Data'!D190</f>
        <v>3.5620110034399299E-2</v>
      </c>
      <c r="J81" s="23">
        <f ca="1">'Index Data'!B190</f>
        <v>2.3895346142897213E-2</v>
      </c>
      <c r="K81" s="23">
        <f ca="1">'Index Data'!C190</f>
        <v>0.12412334228297145</v>
      </c>
      <c r="L81" s="23">
        <f ca="1">'Index Data'!AH190</f>
        <v>1.2500000000000001E-2</v>
      </c>
      <c r="M81" s="23">
        <f ca="1">'Index Data'!V190</f>
        <v>5.5670931868426358E-2</v>
      </c>
      <c r="N81" s="23">
        <f ca="1">'Index Data'!W190</f>
        <v>2.8764501853845249E-2</v>
      </c>
      <c r="O81" s="23">
        <f ca="1">'Index Data'!R190</f>
        <v>4.6946440235140323E-2</v>
      </c>
      <c r="P81" s="23">
        <f ca="1">'Index Data'!S190</f>
        <v>3.361851774091959E-2</v>
      </c>
      <c r="Q81" s="23">
        <f ca="1">'Index Data'!U190</f>
        <v>4.2217323266359692E-2</v>
      </c>
      <c r="R81" s="24"/>
      <c r="S81" s="23">
        <f t="shared" ca="1" si="12"/>
        <v>2.8744282584474892E-2</v>
      </c>
      <c r="T81" s="2">
        <f t="shared" ca="1" si="7"/>
        <v>2.8764501853845249E-2</v>
      </c>
      <c r="U81" s="2">
        <f t="shared" ca="1" si="8"/>
        <v>2.8764501853845249E-2</v>
      </c>
      <c r="V81" s="2">
        <f t="shared" ca="1" si="9"/>
        <v>0.12412334228297145</v>
      </c>
      <c r="W81" s="2">
        <f t="shared" ca="1" si="10"/>
        <v>4.6946440235140323E-2</v>
      </c>
      <c r="X81" s="2">
        <v>4.3299999997547634E-2</v>
      </c>
      <c r="Y81" s="2">
        <f t="shared" ca="1" si="13"/>
        <v>3.8300385896757869E-2</v>
      </c>
      <c r="Z81" s="2">
        <f t="shared" ca="1" si="11"/>
        <v>4.2571130904095478E-2</v>
      </c>
    </row>
    <row r="82" spans="1:26">
      <c r="A82" s="22">
        <v>34607</v>
      </c>
      <c r="B82" s="25" t="s">
        <v>45</v>
      </c>
      <c r="C82" s="25" t="s">
        <v>47</v>
      </c>
      <c r="D82" s="25" t="s">
        <v>32</v>
      </c>
      <c r="E82" s="25" t="s">
        <v>41</v>
      </c>
      <c r="F82" s="25" t="s">
        <v>39</v>
      </c>
      <c r="H82" s="23">
        <f ca="1">'Index Data'!E191</f>
        <v>-1.4718286825842135E-2</v>
      </c>
      <c r="I82" s="23">
        <f ca="1">'Index Data'!D191</f>
        <v>-2.348182804092816E-2</v>
      </c>
      <c r="J82" s="23">
        <f ca="1">'Index Data'!B191</f>
        <v>-3.1276402045608935E-2</v>
      </c>
      <c r="K82" s="23">
        <f ca="1">'Index Data'!C191</f>
        <v>1.1363142886093407E-2</v>
      </c>
      <c r="L82" s="23">
        <f ca="1">'Index Data'!AH191</f>
        <v>1.6500000000000001E-2</v>
      </c>
      <c r="M82" s="23">
        <f ca="1">'Index Data'!V191</f>
        <v>-1.3516943774590836E-2</v>
      </c>
      <c r="N82" s="23">
        <f ca="1">'Index Data'!W191</f>
        <v>-3.3133755740277791E-2</v>
      </c>
      <c r="O82" s="23">
        <f ca="1">'Index Data'!R191</f>
        <v>-2.9400296342509524E-2</v>
      </c>
      <c r="P82" s="23">
        <f ca="1">'Index Data'!S191</f>
        <v>-6.0429097372095867E-3</v>
      </c>
      <c r="Q82" s="23">
        <f ca="1">'Index Data'!U191</f>
        <v>-2.3278498076564662E-2</v>
      </c>
      <c r="R82" s="24"/>
      <c r="S82" s="23">
        <f t="shared" ca="1" si="12"/>
        <v>-2.1729119797910958E-2</v>
      </c>
      <c r="T82" s="2">
        <f t="shared" ca="1" si="7"/>
        <v>-3.3133755740277791E-2</v>
      </c>
      <c r="U82" s="2">
        <f t="shared" ca="1" si="8"/>
        <v>-3.3133755740277791E-2</v>
      </c>
      <c r="V82" s="2">
        <f t="shared" ca="1" si="9"/>
        <v>1.1363142886093407E-2</v>
      </c>
      <c r="W82" s="2">
        <f t="shared" ca="1" si="10"/>
        <v>-2.9400296342509524E-2</v>
      </c>
      <c r="X82" s="2">
        <v>-1.3000000004328882E-2</v>
      </c>
      <c r="Y82" s="2">
        <f t="shared" ca="1" si="13"/>
        <v>-2.868406587764067E-2</v>
      </c>
      <c r="Z82" s="2">
        <f t="shared" ca="1" si="11"/>
        <v>-2.437730527561827E-2</v>
      </c>
    </row>
    <row r="83" spans="1:26">
      <c r="A83" s="22">
        <v>34638</v>
      </c>
      <c r="B83" s="25" t="s">
        <v>45</v>
      </c>
      <c r="C83" s="25" t="s">
        <v>47</v>
      </c>
      <c r="D83" s="25" t="s">
        <v>32</v>
      </c>
      <c r="E83" s="25" t="s">
        <v>41</v>
      </c>
      <c r="F83" s="25" t="s">
        <v>39</v>
      </c>
      <c r="H83" s="23">
        <f ca="1">'Index Data'!E192</f>
        <v>-8.9104759242433253E-4</v>
      </c>
      <c r="I83" s="23">
        <f ca="1">'Index Data'!D192</f>
        <v>2.5629194855919538E-2</v>
      </c>
      <c r="J83" s="23">
        <f ca="1">'Index Data'!B192</f>
        <v>3.3533451576932292E-2</v>
      </c>
      <c r="K83" s="23">
        <f ca="1">'Index Data'!C192</f>
        <v>-1.80340069845994E-2</v>
      </c>
      <c r="L83" s="23">
        <f ca="1">'Index Data'!AH192</f>
        <v>-2.3599999999999999E-2</v>
      </c>
      <c r="M83" s="23">
        <f ca="1">'Index Data'!V192</f>
        <v>2.3480218719845649E-2</v>
      </c>
      <c r="N83" s="23">
        <f ca="1">'Index Data'!W192</f>
        <v>1.394817531413451E-2</v>
      </c>
      <c r="O83" s="23">
        <f ca="1">'Index Data'!R192</f>
        <v>1.8479832878033196E-2</v>
      </c>
      <c r="P83" s="23">
        <f ca="1">'Index Data'!S192</f>
        <v>5.441029963981903E-3</v>
      </c>
      <c r="Q83" s="23">
        <f ca="1">'Index Data'!U192</f>
        <v>1.887364086221786E-2</v>
      </c>
      <c r="R83" s="24"/>
      <c r="S83" s="23">
        <f t="shared" ca="1" si="12"/>
        <v>2.0325146366250768E-2</v>
      </c>
      <c r="T83" s="2">
        <f t="shared" ca="1" si="7"/>
        <v>1.394817531413451E-2</v>
      </c>
      <c r="U83" s="2">
        <f t="shared" ca="1" si="8"/>
        <v>1.394817531413451E-2</v>
      </c>
      <c r="V83" s="2">
        <f t="shared" ca="1" si="9"/>
        <v>-1.80340069845994E-2</v>
      </c>
      <c r="W83" s="2">
        <f t="shared" ca="1" si="10"/>
        <v>1.8479832878033196E-2</v>
      </c>
      <c r="X83" s="2">
        <v>2.2399999994666908E-2</v>
      </c>
      <c r="Y83" s="2">
        <f t="shared" ca="1" si="13"/>
        <v>1.074995708426112E-2</v>
      </c>
      <c r="Z83" s="2">
        <f t="shared" ca="1" si="11"/>
        <v>1.278019633766E-2</v>
      </c>
    </row>
    <row r="84" spans="1:26">
      <c r="A84" s="22">
        <v>34668</v>
      </c>
      <c r="B84" s="25" t="s">
        <v>45</v>
      </c>
      <c r="C84" s="25" t="s">
        <v>46</v>
      </c>
      <c r="D84" s="25" t="s">
        <v>32</v>
      </c>
      <c r="E84" s="25" t="s">
        <v>41</v>
      </c>
      <c r="F84" s="25" t="s">
        <v>39</v>
      </c>
      <c r="H84" s="23">
        <f ca="1">'Index Data'!E193</f>
        <v>-2.2208621141907524E-3</v>
      </c>
      <c r="I84" s="23">
        <f ca="1">'Index Data'!D193</f>
        <v>-4.3428224684305745E-2</v>
      </c>
      <c r="J84" s="23">
        <f ca="1">'Index Data'!B193</f>
        <v>-4.784046490742027E-2</v>
      </c>
      <c r="K84" s="23">
        <f ca="1">'Index Data'!C193</f>
        <v>-5.2005597014925464E-2</v>
      </c>
      <c r="L84" s="23">
        <f ca="1">'Index Data'!AH193</f>
        <v>-1.09E-2</v>
      </c>
      <c r="M84" s="23">
        <f ca="1">'Index Data'!V193</f>
        <v>-3.2055311125078534E-2</v>
      </c>
      <c r="N84" s="23">
        <f ca="1">'Index Data'!W193</f>
        <v>-4.0320189742069447E-2</v>
      </c>
      <c r="O84" s="23">
        <f ca="1">'Index Data'!R193</f>
        <v>-4.9226885452824311E-2</v>
      </c>
      <c r="P84" s="23">
        <f ca="1">'Index Data'!S193</f>
        <v>-3.7017276422764353E-2</v>
      </c>
      <c r="Q84" s="23">
        <f ca="1">'Index Data'!U193</f>
        <v>-3.5990793052939889E-2</v>
      </c>
      <c r="R84" s="24"/>
      <c r="S84" s="23">
        <f t="shared" ca="1" si="12"/>
        <v>-3.5186752170282748E-2</v>
      </c>
      <c r="T84" s="2">
        <f t="shared" ca="1" si="7"/>
        <v>-3.2055311125078534E-2</v>
      </c>
      <c r="U84" s="2">
        <f t="shared" ca="1" si="8"/>
        <v>-3.2055311125078534E-2</v>
      </c>
      <c r="V84" s="2">
        <f t="shared" ca="1" si="9"/>
        <v>-5.2005597014925464E-2</v>
      </c>
      <c r="W84" s="2">
        <f t="shared" ca="1" si="10"/>
        <v>-4.9226885452824311E-2</v>
      </c>
      <c r="X84" s="2">
        <v>-2.1699999996203645E-2</v>
      </c>
      <c r="Y84" s="2">
        <f t="shared" ca="1" si="13"/>
        <v>-3.4050339714063231E-2</v>
      </c>
      <c r="Z84" s="2">
        <f t="shared" ca="1" si="11"/>
        <v>-3.326714556286918E-2</v>
      </c>
    </row>
    <row r="85" spans="1:26">
      <c r="A85" s="22">
        <v>34699</v>
      </c>
      <c r="B85" s="25" t="s">
        <v>45</v>
      </c>
      <c r="C85" s="25" t="s">
        <v>46</v>
      </c>
      <c r="D85" s="25" t="s">
        <v>32</v>
      </c>
      <c r="E85" s="25" t="s">
        <v>41</v>
      </c>
      <c r="F85" s="25" t="s">
        <v>39</v>
      </c>
      <c r="H85" s="23">
        <f ca="1">'Index Data'!E194</f>
        <v>6.9052543026393159E-3</v>
      </c>
      <c r="I85" s="23">
        <f ca="1">'Index Data'!D194</f>
        <v>3.4889316650625886E-3</v>
      </c>
      <c r="J85" s="23">
        <f ca="1">'Index Data'!B194</f>
        <v>6.4958084265547642E-3</v>
      </c>
      <c r="K85" s="23">
        <f ca="1">'Index Data'!C194</f>
        <v>-8.0304428044280493E-2</v>
      </c>
      <c r="L85" s="23">
        <f ca="1">'Index Data'!AH194</f>
        <v>9.7000000000000003E-3</v>
      </c>
      <c r="M85" s="23">
        <f ca="1">'Index Data'!V194</f>
        <v>1.6753246753246836E-2</v>
      </c>
      <c r="N85" s="23">
        <f ca="1">'Index Data'!W194</f>
        <v>1.161569354340436E-2</v>
      </c>
      <c r="O85" s="23">
        <f ca="1">'Index Data'!R194</f>
        <v>1.7092598738798558E-2</v>
      </c>
      <c r="P85" s="23">
        <f ca="1">'Index Data'!S194</f>
        <v>2.1845236524813419E-2</v>
      </c>
      <c r="Q85" s="23">
        <f ca="1">'Index Data'!U194</f>
        <v>1.4257480036100561E-2</v>
      </c>
      <c r="R85" s="24"/>
      <c r="S85" s="23">
        <f t="shared" ca="1" si="12"/>
        <v>4.172196192577934E-3</v>
      </c>
      <c r="T85" s="2">
        <f t="shared" ca="1" si="7"/>
        <v>1.6753246753246836E-2</v>
      </c>
      <c r="U85" s="2">
        <f t="shared" ca="1" si="8"/>
        <v>1.6753246753246836E-2</v>
      </c>
      <c r="V85" s="2">
        <f t="shared" ca="1" si="9"/>
        <v>-8.0304428044280493E-2</v>
      </c>
      <c r="W85" s="2">
        <f t="shared" ca="1" si="10"/>
        <v>1.7092598738798558E-2</v>
      </c>
      <c r="X85" s="2">
        <v>1.3799999999991153E-2</v>
      </c>
      <c r="Y85" s="2">
        <f t="shared" ca="1" si="13"/>
        <v>7.0474792734941038E-3</v>
      </c>
      <c r="Z85" s="2">
        <f t="shared" ca="1" si="11"/>
        <v>6.4822813217593452E-3</v>
      </c>
    </row>
    <row r="86" spans="1:26">
      <c r="A86" s="22">
        <v>34730</v>
      </c>
      <c r="B86" s="25" t="s">
        <v>45</v>
      </c>
      <c r="C86" s="25" t="s">
        <v>46</v>
      </c>
      <c r="D86" s="25" t="s">
        <v>41</v>
      </c>
      <c r="E86" s="25" t="s">
        <v>41</v>
      </c>
      <c r="F86" s="25" t="s">
        <v>39</v>
      </c>
      <c r="H86" s="23">
        <f ca="1">'Index Data'!E195</f>
        <v>1.9790433753394145E-2</v>
      </c>
      <c r="I86" s="23">
        <f ca="1">'Index Data'!D195</f>
        <v>-2.0348552059378147E-2</v>
      </c>
      <c r="J86" s="23">
        <f ca="1">'Index Data'!B195</f>
        <v>-3.8177925250657462E-2</v>
      </c>
      <c r="K86" s="23">
        <f ca="1">'Index Data'!C195</f>
        <v>-0.10639115970376313</v>
      </c>
      <c r="L86" s="23">
        <f ca="1">'Index Data'!AH195</f>
        <v>-2.3399999999999997E-2</v>
      </c>
      <c r="M86" s="23">
        <f ca="1">'Index Data'!V195</f>
        <v>2.139481415250986E-2</v>
      </c>
      <c r="N86" s="23">
        <f ca="1">'Index Data'!W195</f>
        <v>3.0782385634886833E-2</v>
      </c>
      <c r="O86" s="23">
        <f ca="1">'Index Data'!R195</f>
        <v>1.264480339370205E-2</v>
      </c>
      <c r="P86" s="23">
        <f ca="1">'Index Data'!S195</f>
        <v>2.2462626836384267E-2</v>
      </c>
      <c r="Q86" s="23">
        <f ca="1">'Index Data'!U195</f>
        <v>2.5850125589934835E-2</v>
      </c>
      <c r="R86" s="24"/>
      <c r="S86" s="23">
        <f t="shared" ca="1" si="12"/>
        <v>-1.232075489682369E-2</v>
      </c>
      <c r="T86" s="2">
        <f t="shared" ca="1" si="7"/>
        <v>2.139481415250986E-2</v>
      </c>
      <c r="U86" s="2">
        <f t="shared" ca="1" si="8"/>
        <v>2.139481415250986E-2</v>
      </c>
      <c r="V86" s="2">
        <f t="shared" ca="1" si="9"/>
        <v>2.139481415250986E-2</v>
      </c>
      <c r="W86" s="2">
        <f t="shared" ca="1" si="10"/>
        <v>1.264480339370205E-2</v>
      </c>
      <c r="X86" s="2">
        <v>3.2000000003114204E-2</v>
      </c>
      <c r="Y86" s="2">
        <f t="shared" ca="1" si="13"/>
        <v>2.139481415250986E-2</v>
      </c>
      <c r="Z86" s="2">
        <f t="shared" ca="1" si="11"/>
        <v>2.2859600515720144E-2</v>
      </c>
    </row>
    <row r="87" spans="1:26">
      <c r="A87" s="22">
        <v>34758</v>
      </c>
      <c r="B87" s="25" t="s">
        <v>45</v>
      </c>
      <c r="C87" s="25" t="s">
        <v>46</v>
      </c>
      <c r="D87" s="25" t="s">
        <v>41</v>
      </c>
      <c r="E87" s="25" t="s">
        <v>41</v>
      </c>
      <c r="F87" s="25" t="s">
        <v>39</v>
      </c>
      <c r="H87" s="23">
        <f ca="1">'Index Data'!E196</f>
        <v>2.3775794091041091E-2</v>
      </c>
      <c r="I87" s="23">
        <f ca="1">'Index Data'!D196</f>
        <v>1.0680432557518511E-2</v>
      </c>
      <c r="J87" s="23">
        <f ca="1">'Index Data'!B196</f>
        <v>-2.6137758505047283E-3</v>
      </c>
      <c r="K87" s="23">
        <f ca="1">'Index Data'!C196</f>
        <v>-2.5648700727741988E-2</v>
      </c>
      <c r="L87" s="23">
        <f ca="1">'Index Data'!AH196</f>
        <v>7.7000000000000002E-3</v>
      </c>
      <c r="M87" s="23">
        <f ca="1">'Index Data'!V196</f>
        <v>4.18933283311448E-2</v>
      </c>
      <c r="N87" s="23">
        <f ca="1">'Index Data'!W196</f>
        <v>3.9580494163654549E-2</v>
      </c>
      <c r="O87" s="23">
        <f ca="1">'Index Data'!R196</f>
        <v>4.1569322484492036E-2</v>
      </c>
      <c r="P87" s="23">
        <f ca="1">'Index Data'!S196</f>
        <v>3.6261710562864612E-2</v>
      </c>
      <c r="Q87" s="23">
        <f ca="1">'Index Data'!U196</f>
        <v>4.0702270631121314E-2</v>
      </c>
      <c r="R87" s="24"/>
      <c r="S87" s="23">
        <f t="shared" ca="1" si="12"/>
        <v>1.3299504864223028E-2</v>
      </c>
      <c r="T87" s="2">
        <f t="shared" ca="1" si="7"/>
        <v>4.18933283311448E-2</v>
      </c>
      <c r="U87" s="2">
        <f t="shared" ca="1" si="8"/>
        <v>4.18933283311448E-2</v>
      </c>
      <c r="V87" s="2">
        <f t="shared" ca="1" si="9"/>
        <v>4.18933283311448E-2</v>
      </c>
      <c r="W87" s="2">
        <f t="shared" ca="1" si="10"/>
        <v>4.1569322484492036E-2</v>
      </c>
      <c r="X87" s="2">
        <v>3.3800000019170273E-2</v>
      </c>
      <c r="Y87" s="2">
        <f t="shared" ca="1" si="13"/>
        <v>4.18933283311448E-2</v>
      </c>
      <c r="Z87" s="2">
        <f t="shared" ca="1" si="11"/>
        <v>4.0250362230250941E-2</v>
      </c>
    </row>
    <row r="88" spans="1:26">
      <c r="A88" s="22">
        <v>34789</v>
      </c>
      <c r="B88" s="25" t="s">
        <v>45</v>
      </c>
      <c r="C88" s="25" t="s">
        <v>46</v>
      </c>
      <c r="D88" s="25" t="s">
        <v>41</v>
      </c>
      <c r="E88" s="25" t="s">
        <v>41</v>
      </c>
      <c r="F88" s="25" t="s">
        <v>39</v>
      </c>
      <c r="H88" s="23">
        <f ca="1">'Index Data'!E197</f>
        <v>6.1351738854988989E-3</v>
      </c>
      <c r="I88" s="23">
        <f ca="1">'Index Data'!D197</f>
        <v>4.5803795517590611E-2</v>
      </c>
      <c r="J88" s="23">
        <f ca="1">'Index Data'!B197</f>
        <v>6.2651496135560758E-2</v>
      </c>
      <c r="K88" s="23">
        <f ca="1">'Index Data'!C197</f>
        <v>6.3553626972849457E-3</v>
      </c>
      <c r="L88" s="23">
        <f ca="1">'Index Data'!AH197</f>
        <v>3.6699999999999997E-2</v>
      </c>
      <c r="M88" s="23">
        <f ca="1">'Index Data'!V197</f>
        <v>2.9166416611654648E-2</v>
      </c>
      <c r="N88" s="23">
        <f ca="1">'Index Data'!W197</f>
        <v>2.2000569962952486E-2</v>
      </c>
      <c r="O88" s="23">
        <f ca="1">'Index Data'!R197</f>
        <v>4.5943228401268459E-2</v>
      </c>
      <c r="P88" s="23">
        <f ca="1">'Index Data'!S197</f>
        <v>2.9680532202646409E-2</v>
      </c>
      <c r="Q88" s="23">
        <f ca="1">'Index Data'!U197</f>
        <v>2.573246257240221E-2</v>
      </c>
      <c r="R88" s="24"/>
      <c r="S88" s="23">
        <f t="shared" ca="1" si="12"/>
        <v>3.7870071191172271E-2</v>
      </c>
      <c r="T88" s="2">
        <f t="shared" ca="1" si="7"/>
        <v>2.9166416611654648E-2</v>
      </c>
      <c r="U88" s="2">
        <f t="shared" ca="1" si="8"/>
        <v>2.9166416611654648E-2</v>
      </c>
      <c r="V88" s="2">
        <f t="shared" ca="1" si="9"/>
        <v>2.9166416611654648E-2</v>
      </c>
      <c r="W88" s="2">
        <f t="shared" ca="1" si="10"/>
        <v>4.5943228401268459E-2</v>
      </c>
      <c r="X88" s="2">
        <v>2.3199999971783347E-2</v>
      </c>
      <c r="Y88" s="2">
        <f t="shared" ca="1" si="13"/>
        <v>2.9166416611654651E-2</v>
      </c>
      <c r="Z88" s="2">
        <f t="shared" ca="1" si="11"/>
        <v>2.9231394167901423E-2</v>
      </c>
    </row>
    <row r="89" spans="1:26">
      <c r="A89" s="22">
        <v>34819</v>
      </c>
      <c r="B89" s="25" t="s">
        <v>45</v>
      </c>
      <c r="C89" s="25" t="s">
        <v>46</v>
      </c>
      <c r="D89" s="25" t="s">
        <v>41</v>
      </c>
      <c r="E89" s="25" t="s">
        <v>41</v>
      </c>
      <c r="F89" s="25" t="s">
        <v>39</v>
      </c>
      <c r="H89" s="23">
        <f ca="1">'Index Data'!E198</f>
        <v>1.3968516984258411E-2</v>
      </c>
      <c r="I89" s="23">
        <f ca="1">'Index Data'!D198</f>
        <v>3.6371769906847019E-2</v>
      </c>
      <c r="J89" s="23">
        <f ca="1">'Index Data'!B198</f>
        <v>3.7875382521752689E-2</v>
      </c>
      <c r="K89" s="23">
        <f ca="1">'Index Data'!C198</f>
        <v>4.4855283994428848E-2</v>
      </c>
      <c r="L89" s="23">
        <f ca="1">'Index Data'!AH198</f>
        <v>-9.3999999999999986E-3</v>
      </c>
      <c r="M89" s="23">
        <f ca="1">'Index Data'!V198</f>
        <v>2.1867164266137967E-2</v>
      </c>
      <c r="N89" s="23">
        <f ca="1">'Index Data'!W198</f>
        <v>3.1621214656181958E-2</v>
      </c>
      <c r="O89" s="23">
        <f ca="1">'Index Data'!R198</f>
        <v>4.3111735561635826E-2</v>
      </c>
      <c r="P89" s="23">
        <f ca="1">'Index Data'!S198</f>
        <v>2.7144716601585541E-2</v>
      </c>
      <c r="Q89" s="23">
        <f ca="1">'Index Data'!U198</f>
        <v>2.6568060726995874E-2</v>
      </c>
      <c r="R89" s="24"/>
      <c r="S89" s="23">
        <f t="shared" ca="1" si="12"/>
        <v>3.1891119322329298E-2</v>
      </c>
      <c r="T89" s="2">
        <f t="shared" ca="1" si="7"/>
        <v>2.1867164266137967E-2</v>
      </c>
      <c r="U89" s="2">
        <f t="shared" ca="1" si="8"/>
        <v>2.1867164266137967E-2</v>
      </c>
      <c r="V89" s="2">
        <f t="shared" ca="1" si="9"/>
        <v>2.1867164266137967E-2</v>
      </c>
      <c r="W89" s="2">
        <f t="shared" ca="1" si="10"/>
        <v>4.3111735561635826E-2</v>
      </c>
      <c r="X89" s="2">
        <v>2.350000003775965E-2</v>
      </c>
      <c r="Y89" s="2">
        <f t="shared" ca="1" si="13"/>
        <v>2.1867164266137967E-2</v>
      </c>
      <c r="Z89" s="2">
        <f t="shared" ca="1" si="11"/>
        <v>2.3787074267624643E-2</v>
      </c>
    </row>
    <row r="90" spans="1:26">
      <c r="A90" s="22">
        <v>34850</v>
      </c>
      <c r="B90" s="25" t="s">
        <v>45</v>
      </c>
      <c r="C90" s="25" t="s">
        <v>46</v>
      </c>
      <c r="D90" s="25" t="s">
        <v>41</v>
      </c>
      <c r="E90" s="25" t="s">
        <v>41</v>
      </c>
      <c r="F90" s="25" t="s">
        <v>39</v>
      </c>
      <c r="H90" s="23">
        <f ca="1">'Index Data'!E199</f>
        <v>3.8697236612030894E-2</v>
      </c>
      <c r="I90" s="23">
        <f ca="1">'Index Data'!D199</f>
        <v>1.1039960187080134E-2</v>
      </c>
      <c r="J90" s="23">
        <f ca="1">'Index Data'!B199</f>
        <v>-1.1662789260909464E-2</v>
      </c>
      <c r="K90" s="23">
        <f ca="1">'Index Data'!C199</f>
        <v>5.3191877875976915E-2</v>
      </c>
      <c r="L90" s="23">
        <f ca="1">'Index Data'!AH199</f>
        <v>-8.8000000000000005E-3</v>
      </c>
      <c r="M90" s="23">
        <f ca="1">'Index Data'!V199</f>
        <v>3.4809404245605989E-2</v>
      </c>
      <c r="N90" s="23">
        <f ca="1">'Index Data'!W199</f>
        <v>4.2004541031462922E-2</v>
      </c>
      <c r="O90" s="23">
        <f ca="1">'Index Data'!R199</f>
        <v>3.7289096838224803E-2</v>
      </c>
      <c r="P90" s="23">
        <f ca="1">'Index Data'!S199</f>
        <v>3.3892447352656646E-2</v>
      </c>
      <c r="Q90" s="23">
        <f ca="1">'Index Data'!U199</f>
        <v>3.8394869996493101E-2</v>
      </c>
      <c r="R90" s="24"/>
      <c r="S90" s="23">
        <f t="shared" ca="1" si="12"/>
        <v>1.6571415472070288E-2</v>
      </c>
      <c r="T90" s="2">
        <f t="shared" ca="1" si="7"/>
        <v>3.4809404245605989E-2</v>
      </c>
      <c r="U90" s="2">
        <f t="shared" ca="1" si="8"/>
        <v>3.4809404245605989E-2</v>
      </c>
      <c r="V90" s="2">
        <f t="shared" ca="1" si="9"/>
        <v>3.4809404245605989E-2</v>
      </c>
      <c r="W90" s="2">
        <f t="shared" ca="1" si="10"/>
        <v>3.7289096838224803E-2</v>
      </c>
      <c r="X90" s="2">
        <v>3.5499999994154319E-2</v>
      </c>
      <c r="Y90" s="2">
        <f t="shared" ca="1" si="13"/>
        <v>3.4809404245605989E-2</v>
      </c>
      <c r="Z90" s="2">
        <f t="shared" ca="1" si="11"/>
        <v>3.5133500339762064E-2</v>
      </c>
    </row>
    <row r="91" spans="1:26">
      <c r="A91" s="22">
        <v>34880</v>
      </c>
      <c r="B91" s="25" t="s">
        <v>45</v>
      </c>
      <c r="C91" s="25" t="s">
        <v>46</v>
      </c>
      <c r="D91" s="25" t="s">
        <v>41</v>
      </c>
      <c r="E91" s="25" t="s">
        <v>41</v>
      </c>
      <c r="F91" s="25" t="s">
        <v>39</v>
      </c>
      <c r="H91" s="23">
        <f ca="1">'Index Data'!E200</f>
        <v>7.3315397806830726E-3</v>
      </c>
      <c r="I91" s="23">
        <f ca="1">'Index Data'!D200</f>
        <v>2.2100002511369517E-4</v>
      </c>
      <c r="J91" s="23">
        <f ca="1">'Index Data'!B200</f>
        <v>-1.7271215786014107E-2</v>
      </c>
      <c r="K91" s="23">
        <f ca="1">'Index Data'!C200</f>
        <v>2.9647866567263145E-3</v>
      </c>
      <c r="L91" s="23">
        <f ca="1">'Index Data'!AH200</f>
        <v>1.2999999999999999E-3</v>
      </c>
      <c r="M91" s="23">
        <f ca="1">'Index Data'!V200</f>
        <v>3.859600749972425E-2</v>
      </c>
      <c r="N91" s="23">
        <f ca="1">'Index Data'!W200</f>
        <v>1.354604409857323E-2</v>
      </c>
      <c r="O91" s="23">
        <f ca="1">'Index Data'!R200</f>
        <v>3.7862219792236335E-2</v>
      </c>
      <c r="P91" s="23">
        <f ca="1">'Index Data'!S200</f>
        <v>1.3794486662358205E-2</v>
      </c>
      <c r="Q91" s="23">
        <f ca="1">'Index Data'!U200</f>
        <v>2.6471240966064437E-2</v>
      </c>
      <c r="R91" s="24"/>
      <c r="S91" s="23">
        <f t="shared" ca="1" si="12"/>
        <v>1.6431079762275708E-3</v>
      </c>
      <c r="T91" s="2">
        <f t="shared" ca="1" si="7"/>
        <v>3.859600749972425E-2</v>
      </c>
      <c r="U91" s="2">
        <f t="shared" ca="1" si="8"/>
        <v>3.859600749972425E-2</v>
      </c>
      <c r="V91" s="2">
        <f t="shared" ca="1" si="9"/>
        <v>3.859600749972425E-2</v>
      </c>
      <c r="W91" s="2">
        <f t="shared" ca="1" si="10"/>
        <v>3.7862219792236335E-2</v>
      </c>
      <c r="X91" s="2">
        <v>3.3999999971437989E-2</v>
      </c>
      <c r="Y91" s="2">
        <f t="shared" ca="1" si="13"/>
        <v>3.859600749972425E-2</v>
      </c>
      <c r="Z91" s="2">
        <f t="shared" ca="1" si="11"/>
        <v>3.7621771916005409E-2</v>
      </c>
    </row>
    <row r="92" spans="1:26">
      <c r="A92" s="22">
        <v>34911</v>
      </c>
      <c r="B92" s="25" t="s">
        <v>45</v>
      </c>
      <c r="C92" s="25" t="s">
        <v>46</v>
      </c>
      <c r="D92" s="25" t="s">
        <v>41</v>
      </c>
      <c r="E92" s="25" t="s">
        <v>41</v>
      </c>
      <c r="F92" s="25" t="s">
        <v>39</v>
      </c>
      <c r="H92" s="23">
        <f ca="1">'Index Data'!E201</f>
        <v>-2.2334327705498462E-3</v>
      </c>
      <c r="I92" s="23">
        <f ca="1">'Index Data'!D201</f>
        <v>4.8383290063724285E-2</v>
      </c>
      <c r="J92" s="23">
        <f ca="1">'Index Data'!B201</f>
        <v>6.2528279566272868E-2</v>
      </c>
      <c r="K92" s="23">
        <f ca="1">'Index Data'!C201</f>
        <v>2.24381136772231E-2</v>
      </c>
      <c r="L92" s="23">
        <f ca="1">'Index Data'!AH201</f>
        <v>-8.6E-3</v>
      </c>
      <c r="M92" s="23">
        <f ca="1">'Index Data'!V201</f>
        <v>4.1558041616446932E-2</v>
      </c>
      <c r="N92" s="23">
        <f ca="1">'Index Data'!W201</f>
        <v>3.4812475366117167E-2</v>
      </c>
      <c r="O92" s="23">
        <f ca="1">'Index Data'!R201</f>
        <v>3.5361517186882498E-2</v>
      </c>
      <c r="P92" s="23">
        <f ca="1">'Index Data'!S201</f>
        <v>3.1829772267651373E-2</v>
      </c>
      <c r="Q92" s="23">
        <f ca="1">'Index Data'!U201</f>
        <v>3.8212866279878473E-2</v>
      </c>
      <c r="R92" s="24"/>
      <c r="S92" s="23">
        <f t="shared" ca="1" si="12"/>
        <v>3.8259945496869466E-2</v>
      </c>
      <c r="T92" s="2">
        <f t="shared" ca="1" si="7"/>
        <v>4.1558041616446932E-2</v>
      </c>
      <c r="U92" s="2">
        <f t="shared" ca="1" si="8"/>
        <v>4.1558041616446932E-2</v>
      </c>
      <c r="V92" s="2">
        <f t="shared" ca="1" si="9"/>
        <v>4.1558041616446932E-2</v>
      </c>
      <c r="W92" s="2">
        <f t="shared" ca="1" si="10"/>
        <v>3.5361517186882498E-2</v>
      </c>
      <c r="X92" s="2">
        <v>4.3400000000744843E-2</v>
      </c>
      <c r="Y92" s="2">
        <f t="shared" ca="1" si="13"/>
        <v>4.1558041616446932E-2</v>
      </c>
      <c r="Z92" s="2">
        <f t="shared" ca="1" si="11"/>
        <v>4.1461693961089181E-2</v>
      </c>
    </row>
    <row r="93" spans="1:26">
      <c r="A93" s="22">
        <v>34942</v>
      </c>
      <c r="B93" s="25" t="s">
        <v>45</v>
      </c>
      <c r="C93" s="25" t="s">
        <v>46</v>
      </c>
      <c r="D93" s="25" t="s">
        <v>41</v>
      </c>
      <c r="E93" s="25" t="s">
        <v>41</v>
      </c>
      <c r="F93" s="25" t="s">
        <v>39</v>
      </c>
      <c r="H93" s="23">
        <f ca="1">'Index Data'!E202</f>
        <v>1.2068749608665585E-2</v>
      </c>
      <c r="I93" s="23">
        <f ca="1">'Index Data'!D202</f>
        <v>-2.1894488777338163E-2</v>
      </c>
      <c r="J93" s="23">
        <f ca="1">'Index Data'!B202</f>
        <v>-3.7903555626141262E-2</v>
      </c>
      <c r="K93" s="23">
        <f ca="1">'Index Data'!C202</f>
        <v>-2.3551888546985533E-2</v>
      </c>
      <c r="L93" s="23">
        <f ca="1">'Index Data'!AH202</f>
        <v>5.0000000000000001E-3</v>
      </c>
      <c r="M93" s="23">
        <f ca="1">'Index Data'!V202</f>
        <v>1.0909127983442526E-3</v>
      </c>
      <c r="N93" s="23">
        <f ca="1">'Index Data'!W202</f>
        <v>1.4132230587350737E-2</v>
      </c>
      <c r="O93" s="23">
        <f ca="1">'Index Data'!R202</f>
        <v>-5.9785028302486668E-3</v>
      </c>
      <c r="P93" s="23">
        <f ca="1">'Index Data'!S202</f>
        <v>6.1567959096720136E-3</v>
      </c>
      <c r="Q93" s="23">
        <f ca="1">'Index Data'!U202</f>
        <v>7.5322217745403489E-3</v>
      </c>
      <c r="R93" s="24"/>
      <c r="S93" s="23">
        <f t="shared" ca="1" si="12"/>
        <v>-1.5101841100137414E-2</v>
      </c>
      <c r="T93" s="2">
        <f t="shared" ca="1" si="7"/>
        <v>1.0909127983442526E-3</v>
      </c>
      <c r="U93" s="2">
        <f t="shared" ca="1" si="8"/>
        <v>1.0909127983442526E-3</v>
      </c>
      <c r="V93" s="2">
        <f t="shared" ca="1" si="9"/>
        <v>1.0909127983442526E-3</v>
      </c>
      <c r="W93" s="2">
        <f t="shared" ca="1" si="10"/>
        <v>-5.9785028302486668E-3</v>
      </c>
      <c r="X93" s="2">
        <v>-3.9999999050555068E-4</v>
      </c>
      <c r="Y93" s="2">
        <f t="shared" ca="1" si="13"/>
        <v>1.0909127983442526E-3</v>
      </c>
      <c r="Z93" s="2">
        <f t="shared" ca="1" si="11"/>
        <v>2.6252406842982293E-4</v>
      </c>
    </row>
    <row r="94" spans="1:26">
      <c r="A94" s="22">
        <v>34972</v>
      </c>
      <c r="B94" s="25" t="s">
        <v>45</v>
      </c>
      <c r="C94" s="25" t="s">
        <v>46</v>
      </c>
      <c r="D94" s="25" t="s">
        <v>41</v>
      </c>
      <c r="E94" s="25" t="s">
        <v>41</v>
      </c>
      <c r="F94" s="25" t="s">
        <v>39</v>
      </c>
      <c r="H94" s="23">
        <f ca="1">'Index Data'!E203</f>
        <v>9.7285592761581895E-3</v>
      </c>
      <c r="I94" s="23">
        <f ca="1">'Index Data'!D203</f>
        <v>2.7511838709519423E-2</v>
      </c>
      <c r="J94" s="23">
        <f ca="1">'Index Data'!B203</f>
        <v>1.9790149828831129E-2</v>
      </c>
      <c r="K94" s="23">
        <f ca="1">'Index Data'!C203</f>
        <v>-4.7443422852492673E-3</v>
      </c>
      <c r="L94" s="23">
        <f ca="1">'Index Data'!AH203</f>
        <v>-1E-3</v>
      </c>
      <c r="M94" s="23">
        <f ca="1">'Index Data'!V203</f>
        <v>4.6099399124147046E-2</v>
      </c>
      <c r="N94" s="23">
        <f ca="1">'Index Data'!W203</f>
        <v>3.6162502012008581E-2</v>
      </c>
      <c r="O94" s="23">
        <f ca="1">'Index Data'!R203</f>
        <v>4.7539829803570334E-2</v>
      </c>
      <c r="P94" s="23">
        <f ca="1">'Index Data'!S203</f>
        <v>3.7963962819454161E-2</v>
      </c>
      <c r="Q94" s="23">
        <f ca="1">'Index Data'!U203</f>
        <v>4.116379426550229E-2</v>
      </c>
      <c r="R94" s="24"/>
      <c r="S94" s="23">
        <f t="shared" ca="1" si="12"/>
        <v>2.3955182822847178E-2</v>
      </c>
      <c r="T94" s="2">
        <f t="shared" ca="1" si="7"/>
        <v>4.6099399124147046E-2</v>
      </c>
      <c r="U94" s="2">
        <f t="shared" ca="1" si="8"/>
        <v>4.6099399124147046E-2</v>
      </c>
      <c r="V94" s="2">
        <f t="shared" ca="1" si="9"/>
        <v>4.6099399124147046E-2</v>
      </c>
      <c r="W94" s="2">
        <f t="shared" ca="1" si="10"/>
        <v>4.7539829803570334E-2</v>
      </c>
      <c r="X94" s="2">
        <v>5.5700000018504614E-2</v>
      </c>
      <c r="Y94" s="2">
        <f t="shared" ca="1" si="13"/>
        <v>4.6099399124147046E-2</v>
      </c>
      <c r="Z94" s="2">
        <f t="shared" ca="1" si="11"/>
        <v>4.8127551603975305E-2</v>
      </c>
    </row>
    <row r="95" spans="1:26">
      <c r="A95" s="22">
        <v>35003</v>
      </c>
      <c r="B95" s="25" t="s">
        <v>45</v>
      </c>
      <c r="C95" s="25" t="s">
        <v>46</v>
      </c>
      <c r="D95" s="25" t="s">
        <v>41</v>
      </c>
      <c r="E95" s="25" t="s">
        <v>41</v>
      </c>
      <c r="F95" s="25" t="s">
        <v>39</v>
      </c>
      <c r="H95" s="23">
        <f ca="1">'Index Data'!E204</f>
        <v>1.3004717848171081E-2</v>
      </c>
      <c r="I95" s="23">
        <f ca="1">'Index Data'!D204</f>
        <v>-1.6714246905695833E-2</v>
      </c>
      <c r="J95" s="23">
        <f ca="1">'Index Data'!B204</f>
        <v>-2.6623629598286715E-2</v>
      </c>
      <c r="K95" s="23">
        <f ca="1">'Index Data'!C204</f>
        <v>-3.8274848205431554E-2</v>
      </c>
      <c r="L95" s="23">
        <f ca="1">'Index Data'!AH204</f>
        <v>1.2999999999999999E-3</v>
      </c>
      <c r="M95" s="23">
        <f ca="1">'Index Data'!V204</f>
        <v>6.9122292913015879E-4</v>
      </c>
      <c r="N95" s="23">
        <f ca="1">'Index Data'!W204</f>
        <v>-9.9278360706668949E-3</v>
      </c>
      <c r="O95" s="23">
        <f ca="1">'Index Data'!R204</f>
        <v>2.8402150012216014E-2</v>
      </c>
      <c r="P95" s="23">
        <f ca="1">'Index Data'!S204</f>
        <v>1.4483293215290676E-3</v>
      </c>
      <c r="Q95" s="23">
        <f ca="1">'Index Data'!U204</f>
        <v>-4.5512610264288279E-3</v>
      </c>
      <c r="R95" s="24"/>
      <c r="S95" s="23">
        <f t="shared" ca="1" si="12"/>
        <v>-1.0770453954922451E-2</v>
      </c>
      <c r="T95" s="2">
        <f t="shared" ca="1" si="7"/>
        <v>6.9122292913015879E-4</v>
      </c>
      <c r="U95" s="2">
        <f t="shared" ca="1" si="8"/>
        <v>6.9122292913015879E-4</v>
      </c>
      <c r="V95" s="2">
        <f t="shared" ca="1" si="9"/>
        <v>6.9122292913015879E-4</v>
      </c>
      <c r="W95" s="2">
        <f t="shared" ca="1" si="10"/>
        <v>2.8402150012216014E-2</v>
      </c>
      <c r="X95" s="2">
        <v>6.9999999827936588E-3</v>
      </c>
      <c r="Y95" s="2">
        <f t="shared" ca="1" si="13"/>
        <v>6.9122292913015879E-4</v>
      </c>
      <c r="Z95" s="2">
        <f t="shared" ca="1" si="11"/>
        <v>4.031297871094297E-3</v>
      </c>
    </row>
    <row r="96" spans="1:26">
      <c r="A96" s="22">
        <v>35033</v>
      </c>
      <c r="B96" s="25" t="s">
        <v>45</v>
      </c>
      <c r="C96" s="25" t="s">
        <v>46</v>
      </c>
      <c r="D96" s="25" t="s">
        <v>41</v>
      </c>
      <c r="E96" s="25" t="s">
        <v>41</v>
      </c>
      <c r="F96" s="25" t="s">
        <v>39</v>
      </c>
      <c r="H96" s="23">
        <f ca="1">'Index Data'!E205</f>
        <v>1.4984954561262861E-2</v>
      </c>
      <c r="I96" s="23">
        <f ca="1">'Index Data'!D205</f>
        <v>3.1456905493568103E-2</v>
      </c>
      <c r="J96" s="23">
        <f ca="1">'Index Data'!B205</f>
        <v>2.8085100149755168E-2</v>
      </c>
      <c r="K96" s="23">
        <f ca="1">'Index Data'!C205</f>
        <v>-1.78367915483276E-2</v>
      </c>
      <c r="L96" s="23">
        <f ca="1">'Index Data'!AH205</f>
        <v>7.4999999999999997E-3</v>
      </c>
      <c r="M96" s="23">
        <f ca="1">'Index Data'!V205</f>
        <v>3.8866593700595933E-2</v>
      </c>
      <c r="N96" s="23">
        <f ca="1">'Index Data'!W205</f>
        <v>5.064567048934019E-2</v>
      </c>
      <c r="O96" s="23">
        <f ca="1">'Index Data'!R205</f>
        <v>2.8449248678505623E-2</v>
      </c>
      <c r="P96" s="23">
        <f ca="1">'Index Data'!S205</f>
        <v>5.1188560487238383E-2</v>
      </c>
      <c r="Q96" s="23">
        <f ca="1">'Index Data'!U205</f>
        <v>4.4602174442711313E-2</v>
      </c>
      <c r="R96" s="24"/>
      <c r="S96" s="23">
        <f t="shared" ca="1" si="12"/>
        <v>2.8162515307107058E-2</v>
      </c>
      <c r="T96" s="2">
        <f t="shared" ca="1" si="7"/>
        <v>3.8866593700595933E-2</v>
      </c>
      <c r="U96" s="2">
        <f t="shared" ca="1" si="8"/>
        <v>3.8866593700595933E-2</v>
      </c>
      <c r="V96" s="2">
        <f t="shared" ca="1" si="9"/>
        <v>3.8866593700595933E-2</v>
      </c>
      <c r="W96" s="2">
        <f t="shared" ca="1" si="10"/>
        <v>2.8449248678505623E-2</v>
      </c>
      <c r="X96" s="2">
        <v>4.340000001693034E-2</v>
      </c>
      <c r="Y96" s="2">
        <f t="shared" ca="1" si="13"/>
        <v>3.8866593700595933E-2</v>
      </c>
      <c r="Z96" s="2">
        <f t="shared" ca="1" si="11"/>
        <v>3.899197408720604E-2</v>
      </c>
    </row>
    <row r="97" spans="1:26">
      <c r="A97" s="22">
        <v>35064</v>
      </c>
      <c r="B97" s="25" t="s">
        <v>45</v>
      </c>
      <c r="C97" s="25" t="s">
        <v>46</v>
      </c>
      <c r="D97" s="25" t="s">
        <v>41</v>
      </c>
      <c r="E97" s="25" t="s">
        <v>41</v>
      </c>
      <c r="F97" s="25" t="s">
        <v>39</v>
      </c>
      <c r="H97" s="23">
        <f ca="1">'Index Data'!E206</f>
        <v>1.4033728621655382E-2</v>
      </c>
      <c r="I97" s="23">
        <f ca="1">'Index Data'!D206</f>
        <v>3.011221593579062E-2</v>
      </c>
      <c r="J97" s="23">
        <f ca="1">'Index Data'!B206</f>
        <v>4.0545812724483377E-2</v>
      </c>
      <c r="K97" s="23">
        <f ca="1">'Index Data'!C206</f>
        <v>4.4351942239331116E-2</v>
      </c>
      <c r="L97" s="23">
        <f ca="1">'Index Data'!AH206</f>
        <v>2.3E-3</v>
      </c>
      <c r="M97" s="23">
        <f ca="1">'Index Data'!V206</f>
        <v>5.7312761922599185E-3</v>
      </c>
      <c r="N97" s="23">
        <f ca="1">'Index Data'!W206</f>
        <v>2.5133951198320192E-2</v>
      </c>
      <c r="O97" s="23">
        <f ca="1">'Index Data'!R206</f>
        <v>9.0090090090090228E-3</v>
      </c>
      <c r="P97" s="23">
        <f ca="1">'Index Data'!S206</f>
        <v>2.6644188660233308E-2</v>
      </c>
      <c r="Q97" s="23">
        <f ca="1">'Index Data'!U206</f>
        <v>1.5241374330045937E-2</v>
      </c>
      <c r="R97" s="24"/>
      <c r="S97" s="23">
        <f t="shared" ca="1" si="12"/>
        <v>2.6896518472963576E-2</v>
      </c>
      <c r="T97" s="2">
        <f t="shared" ca="1" si="7"/>
        <v>5.7312761922599185E-3</v>
      </c>
      <c r="U97" s="2">
        <f t="shared" ca="1" si="8"/>
        <v>5.7312761922599185E-3</v>
      </c>
      <c r="V97" s="2">
        <f t="shared" ca="1" si="9"/>
        <v>5.7312761922599185E-3</v>
      </c>
      <c r="W97" s="2">
        <f t="shared" ca="1" si="10"/>
        <v>9.0090090090090228E-3</v>
      </c>
      <c r="X97" s="2">
        <v>1.7799999999131177E-2</v>
      </c>
      <c r="Y97" s="2">
        <f t="shared" ca="1" si="13"/>
        <v>5.7312761922599185E-3</v>
      </c>
      <c r="Z97" s="2">
        <f t="shared" ca="1" si="11"/>
        <v>8.3908509148903545E-3</v>
      </c>
    </row>
    <row r="98" spans="1:26">
      <c r="A98" s="22">
        <v>35095</v>
      </c>
      <c r="B98" s="25" t="s">
        <v>45</v>
      </c>
      <c r="C98" s="25" t="s">
        <v>46</v>
      </c>
      <c r="D98" s="25" t="s">
        <v>41</v>
      </c>
      <c r="E98" s="25" t="s">
        <v>41</v>
      </c>
      <c r="F98" s="25" t="s">
        <v>39</v>
      </c>
      <c r="H98" s="23">
        <f ca="1">'Index Data'!E207</f>
        <v>6.6406135221696331E-3</v>
      </c>
      <c r="I98" s="23">
        <f ca="1">'Index Data'!D207</f>
        <v>2.2229622465923488E-2</v>
      </c>
      <c r="J98" s="23">
        <f ca="1">'Index Data'!B207</f>
        <v>4.3434170953030099E-3</v>
      </c>
      <c r="K98" s="23">
        <f ca="1">'Index Data'!C207</f>
        <v>7.1074584222500403E-2</v>
      </c>
      <c r="L98" s="23">
        <f ca="1">'Index Data'!AH207</f>
        <v>4.5100000000000001E-2</v>
      </c>
      <c r="M98" s="23">
        <f ca="1">'Index Data'!V207</f>
        <v>3.3451433732639951E-2</v>
      </c>
      <c r="N98" s="23">
        <f ca="1">'Index Data'!W207</f>
        <v>3.1157021145102163E-2</v>
      </c>
      <c r="O98" s="23">
        <f ca="1">'Index Data'!R207</f>
        <v>4.8878205128205086E-2</v>
      </c>
      <c r="P98" s="23">
        <f ca="1">'Index Data'!S207</f>
        <v>3.6352654725279078E-2</v>
      </c>
      <c r="Q98" s="23">
        <f ca="1">'Index Data'!U207</f>
        <v>3.2325818876322562E-2</v>
      </c>
      <c r="R98" s="24"/>
      <c r="S98" s="23">
        <f t="shared" ca="1" si="12"/>
        <v>1.9111820677172715E-2</v>
      </c>
      <c r="T98" s="2">
        <f t="shared" ca="1" si="7"/>
        <v>3.3451433732639951E-2</v>
      </c>
      <c r="U98" s="2">
        <f t="shared" ca="1" si="8"/>
        <v>3.3451433732639951E-2</v>
      </c>
      <c r="V98" s="2">
        <f t="shared" ca="1" si="9"/>
        <v>3.3451433732639951E-2</v>
      </c>
      <c r="W98" s="2">
        <f t="shared" ca="1" si="10"/>
        <v>4.8878205128205086E-2</v>
      </c>
      <c r="X98" s="2">
        <v>3.0499999996192573E-2</v>
      </c>
      <c r="Y98" s="2">
        <f t="shared" ca="1" si="13"/>
        <v>3.3451433732639951E-2</v>
      </c>
      <c r="Z98" s="2">
        <f t="shared" ca="1" si="11"/>
        <v>3.4018154840017856E-2</v>
      </c>
    </row>
    <row r="99" spans="1:26">
      <c r="A99" s="22">
        <v>35124</v>
      </c>
      <c r="B99" s="25" t="s">
        <v>45</v>
      </c>
      <c r="C99" s="25" t="s">
        <v>46</v>
      </c>
      <c r="D99" s="25" t="s">
        <v>41</v>
      </c>
      <c r="E99" s="25" t="s">
        <v>41</v>
      </c>
      <c r="F99" s="25" t="s">
        <v>39</v>
      </c>
      <c r="H99" s="23">
        <f ca="1">'Index Data'!E208</f>
        <v>-1.7382293703844202E-2</v>
      </c>
      <c r="I99" s="23">
        <f ca="1">'Index Data'!D208</f>
        <v>4.1635986344467175E-3</v>
      </c>
      <c r="J99" s="23">
        <f ca="1">'Index Data'!B208</f>
        <v>3.6297247672577872E-3</v>
      </c>
      <c r="K99" s="23">
        <f ca="1">'Index Data'!C208</f>
        <v>-1.5889743294198972E-2</v>
      </c>
      <c r="L99" s="23">
        <f ca="1">'Index Data'!AH208</f>
        <v>-1.0800000000000001E-2</v>
      </c>
      <c r="M99" s="23">
        <f ca="1">'Index Data'!V208</f>
        <v>1.8290430410768839E-2</v>
      </c>
      <c r="N99" s="23">
        <f ca="1">'Index Data'!W208</f>
        <v>7.5646009212801861E-3</v>
      </c>
      <c r="O99" s="23">
        <f ca="1">'Index Data'!R208</f>
        <v>1.7625231910946296E-2</v>
      </c>
      <c r="P99" s="23">
        <f ca="1">'Index Data'!S208</f>
        <v>-3.3511209863952354E-3</v>
      </c>
      <c r="Q99" s="23">
        <f ca="1">'Index Data'!U208</f>
        <v>1.3013138272217051E-2</v>
      </c>
      <c r="R99" s="24"/>
      <c r="S99" s="23">
        <f t="shared" ca="1" si="12"/>
        <v>-1.4557983321146625E-4</v>
      </c>
      <c r="T99" s="2">
        <f t="shared" ca="1" si="7"/>
        <v>1.8290430410768839E-2</v>
      </c>
      <c r="U99" s="2">
        <f t="shared" ca="1" si="8"/>
        <v>1.8290430410768839E-2</v>
      </c>
      <c r="V99" s="2">
        <f t="shared" ca="1" si="9"/>
        <v>1.8290430410768839E-2</v>
      </c>
      <c r="W99" s="2">
        <f t="shared" ca="1" si="10"/>
        <v>1.7625231910946296E-2</v>
      </c>
      <c r="X99" s="2">
        <v>1.9899999989711148E-2</v>
      </c>
      <c r="Y99" s="2">
        <f t="shared" ca="1" si="13"/>
        <v>1.8290430410768839E-2</v>
      </c>
      <c r="Z99" s="2">
        <f t="shared" ca="1" si="11"/>
        <v>1.8562454439070609E-2</v>
      </c>
    </row>
    <row r="100" spans="1:26">
      <c r="A100" s="22">
        <v>35155</v>
      </c>
      <c r="B100" s="25" t="s">
        <v>45</v>
      </c>
      <c r="C100" s="25" t="s">
        <v>46</v>
      </c>
      <c r="D100" s="25" t="s">
        <v>41</v>
      </c>
      <c r="E100" s="25" t="s">
        <v>41</v>
      </c>
      <c r="F100" s="25" t="s">
        <v>39</v>
      </c>
      <c r="H100" s="23">
        <f ca="1">'Index Data'!E209</f>
        <v>-6.9511488704382344E-3</v>
      </c>
      <c r="I100" s="23">
        <f ca="1">'Index Data'!D209</f>
        <v>1.539432400963478E-2</v>
      </c>
      <c r="J100" s="23">
        <f ca="1">'Index Data'!B209</f>
        <v>2.1489429283172792E-2</v>
      </c>
      <c r="K100" s="23">
        <f ca="1">'Index Data'!C209</f>
        <v>7.7803433390221492E-3</v>
      </c>
      <c r="L100" s="23">
        <f ca="1">'Index Data'!AH209</f>
        <v>-1.3500000000000002E-2</v>
      </c>
      <c r="M100" s="23">
        <f ca="1">'Index Data'!V209</f>
        <v>1.282992824088502E-3</v>
      </c>
      <c r="N100" s="23">
        <f ca="1">'Index Data'!W209</f>
        <v>1.6999851288479126E-2</v>
      </c>
      <c r="O100" s="23">
        <f ca="1">'Index Data'!R209</f>
        <v>-1.1260657407904334E-3</v>
      </c>
      <c r="P100" s="23">
        <f ca="1">'Index Data'!S209</f>
        <v>1.0215083237395669E-2</v>
      </c>
      <c r="Q100" s="23">
        <f ca="1">'Index Data'!U209</f>
        <v>8.9611423228294039E-3</v>
      </c>
      <c r="R100" s="24"/>
      <c r="S100" s="23">
        <f t="shared" ca="1" si="12"/>
        <v>1.0925229433620176E-2</v>
      </c>
      <c r="T100" s="2">
        <f t="shared" ca="1" si="7"/>
        <v>1.282992824088502E-3</v>
      </c>
      <c r="U100" s="2">
        <f t="shared" ca="1" si="8"/>
        <v>1.282992824088502E-3</v>
      </c>
      <c r="V100" s="2">
        <f t="shared" ca="1" si="9"/>
        <v>1.282992824088502E-3</v>
      </c>
      <c r="W100" s="2">
        <f t="shared" ca="1" si="10"/>
        <v>-1.1260657407904334E-3</v>
      </c>
      <c r="X100" s="2">
        <v>1.3300000009921487E-2</v>
      </c>
      <c r="Y100" s="2">
        <f t="shared" ca="1" si="13"/>
        <v>1.282992824088502E-3</v>
      </c>
      <c r="Z100" s="2">
        <f t="shared" ca="1" si="11"/>
        <v>3.505714868889179E-3</v>
      </c>
    </row>
    <row r="101" spans="1:26">
      <c r="A101" s="22">
        <v>35185</v>
      </c>
      <c r="B101" s="25" t="s">
        <v>45</v>
      </c>
      <c r="C101" s="25" t="s">
        <v>46</v>
      </c>
      <c r="D101" s="25" t="s">
        <v>41</v>
      </c>
      <c r="E101" s="25" t="s">
        <v>41</v>
      </c>
      <c r="F101" s="25" t="s">
        <v>39</v>
      </c>
      <c r="H101" s="23">
        <f ca="1">'Index Data'!E210</f>
        <v>-5.6237754079480565E-3</v>
      </c>
      <c r="I101" s="23">
        <f ca="1">'Index Data'!D210</f>
        <v>2.4417678416680563E-2</v>
      </c>
      <c r="J101" s="23">
        <f ca="1">'Index Data'!B210</f>
        <v>2.9319538418995587E-2</v>
      </c>
      <c r="K101" s="23">
        <f ca="1">'Index Data'!C210</f>
        <v>3.9979412594843257E-2</v>
      </c>
      <c r="L101" s="23">
        <f ca="1">'Index Data'!AH210</f>
        <v>-5.7999999999999996E-3</v>
      </c>
      <c r="M101" s="23">
        <f ca="1">'Index Data'!V210</f>
        <v>2.6307417684381589E-2</v>
      </c>
      <c r="N101" s="23">
        <f ca="1">'Index Data'!W210</f>
        <v>3.8436471197714536E-3</v>
      </c>
      <c r="O101" s="23">
        <f ca="1">'Index Data'!R210</f>
        <v>1.8466824135709672E-2</v>
      </c>
      <c r="P101" s="23">
        <f ca="1">'Index Data'!S210</f>
        <v>1.6099272819362293E-3</v>
      </c>
      <c r="Q101" s="23">
        <f ca="1">'Index Data'!U210</f>
        <v>1.5231608473972079E-2</v>
      </c>
      <c r="R101" s="24"/>
      <c r="S101" s="23">
        <f t="shared" ca="1" si="12"/>
        <v>1.840938765175484E-2</v>
      </c>
      <c r="T101" s="2">
        <f t="shared" ca="1" si="7"/>
        <v>2.6307417684381589E-2</v>
      </c>
      <c r="U101" s="2">
        <f t="shared" ca="1" si="8"/>
        <v>2.6307417684381589E-2</v>
      </c>
      <c r="V101" s="2">
        <f t="shared" ca="1" si="9"/>
        <v>2.6307417684381589E-2</v>
      </c>
      <c r="W101" s="2">
        <f t="shared" ca="1" si="10"/>
        <v>1.8466824135709672E-2</v>
      </c>
      <c r="X101" s="2">
        <v>2.0399999992053885E-2</v>
      </c>
      <c r="Y101" s="2">
        <f t="shared" ca="1" si="13"/>
        <v>2.6307417684381593E-2</v>
      </c>
      <c r="Z101" s="2">
        <f t="shared" ca="1" si="11"/>
        <v>2.4537889629765657E-2</v>
      </c>
    </row>
    <row r="102" spans="1:26">
      <c r="A102" s="22">
        <v>35216</v>
      </c>
      <c r="B102" s="25" t="s">
        <v>45</v>
      </c>
      <c r="C102" s="25" t="s">
        <v>46</v>
      </c>
      <c r="D102" s="25" t="s">
        <v>41</v>
      </c>
      <c r="E102" s="25" t="s">
        <v>41</v>
      </c>
      <c r="F102" s="25" t="s">
        <v>39</v>
      </c>
      <c r="H102" s="23">
        <f ca="1">'Index Data'!E211</f>
        <v>-2.0305942872614392E-3</v>
      </c>
      <c r="I102" s="23">
        <f ca="1">'Index Data'!D211</f>
        <v>1.0339185084229762E-3</v>
      </c>
      <c r="J102" s="23">
        <f ca="1">'Index Data'!B211</f>
        <v>-1.8163115791905608E-2</v>
      </c>
      <c r="K102" s="23">
        <f ca="1">'Index Data'!C211</f>
        <v>-4.4540940947332556E-3</v>
      </c>
      <c r="L102" s="23">
        <f ca="1">'Index Data'!AH211</f>
        <v>-6.6E-3</v>
      </c>
      <c r="M102" s="23">
        <f ca="1">'Index Data'!V211</f>
        <v>3.4945194981875247E-2</v>
      </c>
      <c r="N102" s="23">
        <f ca="1">'Index Data'!W211</f>
        <v>1.2506450914781315E-2</v>
      </c>
      <c r="O102" s="23">
        <f ca="1">'Index Data'!R211</f>
        <v>4.0638836179633188E-2</v>
      </c>
      <c r="P102" s="23">
        <f ca="1">'Index Data'!S211</f>
        <v>1.6777735637788668E-2</v>
      </c>
      <c r="Q102" s="23">
        <f ca="1">'Index Data'!U211</f>
        <v>2.4036843314402472E-2</v>
      </c>
      <c r="R102" s="24"/>
      <c r="S102" s="23">
        <f t="shared" ca="1" si="12"/>
        <v>4.2101594928609321E-4</v>
      </c>
      <c r="T102" s="2">
        <f t="shared" ca="1" si="7"/>
        <v>3.4945194981875247E-2</v>
      </c>
      <c r="U102" s="2">
        <f t="shared" ca="1" si="8"/>
        <v>3.4945194981875247E-2</v>
      </c>
      <c r="V102" s="2">
        <f t="shared" ca="1" si="9"/>
        <v>3.4945194981875247E-2</v>
      </c>
      <c r="W102" s="2">
        <f t="shared" ca="1" si="10"/>
        <v>4.0638836179633188E-2</v>
      </c>
      <c r="X102" s="2">
        <v>1.1600000004453159E-2</v>
      </c>
      <c r="Y102" s="2">
        <f t="shared" ca="1" si="13"/>
        <v>3.4945194981875247E-2</v>
      </c>
      <c r="Z102" s="2">
        <f t="shared" ca="1" si="11"/>
        <v>3.0703179076222671E-2</v>
      </c>
    </row>
    <row r="103" spans="1:26">
      <c r="A103" s="22">
        <v>35246</v>
      </c>
      <c r="B103" s="25" t="s">
        <v>45</v>
      </c>
      <c r="C103" s="25" t="s">
        <v>46</v>
      </c>
      <c r="D103" s="25" t="s">
        <v>41</v>
      </c>
      <c r="E103" s="25" t="s">
        <v>41</v>
      </c>
      <c r="F103" s="25" t="s">
        <v>39</v>
      </c>
      <c r="H103" s="23">
        <f ca="1">'Index Data'!E212</f>
        <v>1.3429191535539833E-2</v>
      </c>
      <c r="I103" s="23">
        <f ca="1">'Index Data'!D212</f>
        <v>5.4843514594349911E-3</v>
      </c>
      <c r="J103" s="23">
        <f ca="1">'Index Data'!B212</f>
        <v>5.8730121256897073E-3</v>
      </c>
      <c r="K103" s="23">
        <f ca="1">'Index Data'!C212</f>
        <v>6.2379730596536023E-3</v>
      </c>
      <c r="L103" s="23">
        <f ca="1">'Index Data'!AH212</f>
        <v>-2.3799999999999998E-2</v>
      </c>
      <c r="M103" s="23">
        <f ca="1">'Index Data'!V212</f>
        <v>1.3561014164187835E-3</v>
      </c>
      <c r="N103" s="23">
        <f ca="1">'Index Data'!W212</f>
        <v>8.1798414179481277E-4</v>
      </c>
      <c r="O103" s="23">
        <f ca="1">'Index Data'!R212</f>
        <v>1.4384845261611727E-2</v>
      </c>
      <c r="P103" s="23">
        <f ca="1">'Index Data'!S212</f>
        <v>3.9786856127886489E-3</v>
      </c>
      <c r="Q103" s="23">
        <f ca="1">'Index Data'!U212</f>
        <v>1.0956331194240303E-3</v>
      </c>
      <c r="R103" s="24"/>
      <c r="S103" s="23">
        <f t="shared" ca="1" si="12"/>
        <v>7.0733194746559602E-3</v>
      </c>
      <c r="T103" s="2">
        <f t="shared" ca="1" si="7"/>
        <v>1.3561014164187835E-3</v>
      </c>
      <c r="U103" s="2">
        <f t="shared" ca="1" si="8"/>
        <v>1.3561014164187835E-3</v>
      </c>
      <c r="V103" s="2">
        <f t="shared" ca="1" si="9"/>
        <v>1.3561014164187835E-3</v>
      </c>
      <c r="W103" s="2">
        <f t="shared" ca="1" si="10"/>
        <v>1.4384845261611727E-2</v>
      </c>
      <c r="X103" s="2">
        <v>-1.2099999993321564E-2</v>
      </c>
      <c r="Y103" s="2">
        <f t="shared" ca="1" si="13"/>
        <v>1.3561014164187838E-3</v>
      </c>
      <c r="Z103" s="2">
        <f t="shared" ca="1" si="11"/>
        <v>-3.5796307713981546E-4</v>
      </c>
    </row>
    <row r="104" spans="1:26">
      <c r="A104" s="22">
        <v>35277</v>
      </c>
      <c r="B104" s="25" t="s">
        <v>45</v>
      </c>
      <c r="C104" s="25" t="s">
        <v>46</v>
      </c>
      <c r="D104" s="25" t="s">
        <v>41</v>
      </c>
      <c r="E104" s="25" t="s">
        <v>41</v>
      </c>
      <c r="F104" s="25" t="s">
        <v>39</v>
      </c>
      <c r="H104" s="23">
        <f ca="1">'Index Data'!E213</f>
        <v>2.7365070866610624E-3</v>
      </c>
      <c r="I104" s="23">
        <f ca="1">'Index Data'!D213</f>
        <v>-3.7349100972884894E-2</v>
      </c>
      <c r="J104" s="23">
        <f ca="1">'Index Data'!B213</f>
        <v>-2.897737154043729E-2</v>
      </c>
      <c r="K104" s="23">
        <f ca="1">'Index Data'!C213</f>
        <v>-6.8335750370523821E-2</v>
      </c>
      <c r="L104" s="23">
        <f ca="1">'Index Data'!AH213</f>
        <v>1.55E-2</v>
      </c>
      <c r="M104" s="23">
        <f ca="1">'Index Data'!V213</f>
        <v>-5.8590650587194357E-2</v>
      </c>
      <c r="N104" s="23">
        <f ca="1">'Index Data'!W213</f>
        <v>-3.7793658616724159E-2</v>
      </c>
      <c r="O104" s="23">
        <f ca="1">'Index Data'!R213</f>
        <v>-3.889748839067269E-2</v>
      </c>
      <c r="P104" s="23">
        <f ca="1">'Index Data'!S213</f>
        <v>-3.9505342863208621E-2</v>
      </c>
      <c r="Q104" s="23">
        <f ca="1">'Index Data'!U213</f>
        <v>-4.824443848834107E-2</v>
      </c>
      <c r="R104" s="24"/>
      <c r="S104" s="23">
        <f t="shared" ca="1" si="12"/>
        <v>-2.9331979360975702E-2</v>
      </c>
      <c r="T104" s="2">
        <f t="shared" ca="1" si="7"/>
        <v>-5.8590650587194357E-2</v>
      </c>
      <c r="U104" s="2">
        <f t="shared" ca="1" si="8"/>
        <v>-5.8590650587194357E-2</v>
      </c>
      <c r="V104" s="2">
        <f t="shared" ca="1" si="9"/>
        <v>-5.8590650587194357E-2</v>
      </c>
      <c r="W104" s="2">
        <f t="shared" ca="1" si="10"/>
        <v>-3.889748839067269E-2</v>
      </c>
      <c r="X104" s="2">
        <v>-4.8600000019339173E-2</v>
      </c>
      <c r="Y104" s="2">
        <f t="shared" ca="1" si="13"/>
        <v>-5.8590650587194357E-2</v>
      </c>
      <c r="Z104" s="2">
        <f t="shared" ca="1" si="11"/>
        <v>-5.5115533308884197E-2</v>
      </c>
    </row>
    <row r="105" spans="1:26">
      <c r="A105" s="22">
        <v>35308</v>
      </c>
      <c r="B105" s="25" t="s">
        <v>45</v>
      </c>
      <c r="C105" s="25" t="s">
        <v>46</v>
      </c>
      <c r="D105" s="25" t="s">
        <v>41</v>
      </c>
      <c r="E105" s="25" t="s">
        <v>41</v>
      </c>
      <c r="F105" s="25" t="s">
        <v>39</v>
      </c>
      <c r="H105" s="23">
        <f ca="1">'Index Data'!E214</f>
        <v>-1.6759859395161821E-3</v>
      </c>
      <c r="I105" s="23">
        <f ca="1">'Index Data'!D214</f>
        <v>1.2333049662902634E-2</v>
      </c>
      <c r="J105" s="23">
        <f ca="1">'Index Data'!B214</f>
        <v>2.449167199941372E-3</v>
      </c>
      <c r="K105" s="23">
        <f ca="1">'Index Data'!C214</f>
        <v>2.5589709378902238E-2</v>
      </c>
      <c r="L105" s="23">
        <f ca="1">'Index Data'!AH214</f>
        <v>2.0999999999999999E-3</v>
      </c>
      <c r="M105" s="23">
        <f ca="1">'Index Data'!V214</f>
        <v>2.5814479937515823E-2</v>
      </c>
      <c r="N105" s="23">
        <f ca="1">'Index Data'!W214</f>
        <v>2.8598502633623381E-2</v>
      </c>
      <c r="O105" s="23">
        <f ca="1">'Index Data'!R214</f>
        <v>2.6132585203657532E-2</v>
      </c>
      <c r="P105" s="23">
        <f ca="1">'Index Data'!S214</f>
        <v>1.8437678436573266E-2</v>
      </c>
      <c r="Q105" s="23">
        <f ca="1">'Index Data'!U214</f>
        <v>2.7206733627460344E-2</v>
      </c>
      <c r="R105" s="24"/>
      <c r="S105" s="23">
        <f t="shared" ca="1" si="12"/>
        <v>9.5312425424188708E-3</v>
      </c>
      <c r="T105" s="2">
        <f t="shared" ca="1" si="7"/>
        <v>2.5814479937515823E-2</v>
      </c>
      <c r="U105" s="2">
        <f t="shared" ca="1" si="8"/>
        <v>2.5814479937515823E-2</v>
      </c>
      <c r="V105" s="2">
        <f t="shared" ca="1" si="9"/>
        <v>2.5814479937515823E-2</v>
      </c>
      <c r="W105" s="2">
        <f t="shared" ca="1" si="10"/>
        <v>2.6132585203657532E-2</v>
      </c>
      <c r="X105" s="2">
        <v>5.1299999998103862E-2</v>
      </c>
      <c r="Y105" s="2">
        <f t="shared" ca="1" si="13"/>
        <v>2.5814479937515823E-2</v>
      </c>
      <c r="Z105" s="2">
        <f t="shared" ca="1" si="11"/>
        <v>3.0935441844594062E-2</v>
      </c>
    </row>
    <row r="106" spans="1:26">
      <c r="A106" s="22">
        <v>35338</v>
      </c>
      <c r="B106" s="25" t="s">
        <v>45</v>
      </c>
      <c r="C106" s="25" t="s">
        <v>46</v>
      </c>
      <c r="D106" s="25" t="s">
        <v>41</v>
      </c>
      <c r="E106" s="25" t="s">
        <v>41</v>
      </c>
      <c r="F106" s="25" t="s">
        <v>39</v>
      </c>
      <c r="H106" s="23">
        <f ca="1">'Index Data'!E215</f>
        <v>1.7426831080077282E-2</v>
      </c>
      <c r="I106" s="23">
        <f ca="1">'Index Data'!D215</f>
        <v>3.6927338775012322E-2</v>
      </c>
      <c r="J106" s="23">
        <f ca="1">'Index Data'!B215</f>
        <v>2.6818493724643209E-2</v>
      </c>
      <c r="K106" s="23">
        <f ca="1">'Index Data'!C215</f>
        <v>8.6562036125889235E-3</v>
      </c>
      <c r="L106" s="23">
        <f ca="1">'Index Data'!AH215</f>
        <v>-2.7300000000000001E-2</v>
      </c>
      <c r="M106" s="23">
        <f ca="1">'Index Data'!V215</f>
        <v>7.2814636055870255E-2</v>
      </c>
      <c r="N106" s="23">
        <f ca="1">'Index Data'!W215</f>
        <v>3.975051664467287E-2</v>
      </c>
      <c r="O106" s="23">
        <f ca="1">'Index Data'!R215</f>
        <v>6.769277504936462E-2</v>
      </c>
      <c r="P106" s="23">
        <f ca="1">'Index Data'!S215</f>
        <v>4.0240902843087609E-2</v>
      </c>
      <c r="Q106" s="23">
        <f ca="1">'Index Data'!U215</f>
        <v>5.6220966538221201E-2</v>
      </c>
      <c r="R106" s="24"/>
      <c r="S106" s="23">
        <f t="shared" ca="1" si="12"/>
        <v>3.3027237236025318E-2</v>
      </c>
      <c r="T106" s="2">
        <f t="shared" ca="1" si="7"/>
        <v>7.2814636055870255E-2</v>
      </c>
      <c r="U106" s="2">
        <f t="shared" ca="1" si="8"/>
        <v>7.2814636055870255E-2</v>
      </c>
      <c r="V106" s="2">
        <f t="shared" ca="1" si="9"/>
        <v>7.2814636055870255E-2</v>
      </c>
      <c r="W106" s="2">
        <f t="shared" ca="1" si="10"/>
        <v>6.769277504936462E-2</v>
      </c>
      <c r="X106" s="2">
        <v>5.2100000019597914E-2</v>
      </c>
      <c r="Y106" s="2">
        <f t="shared" ca="1" si="13"/>
        <v>7.2814636055870255E-2</v>
      </c>
      <c r="Z106" s="2">
        <f t="shared" ca="1" si="11"/>
        <v>6.8287569273127874E-2</v>
      </c>
    </row>
    <row r="107" spans="1:26">
      <c r="A107" s="22">
        <v>35369</v>
      </c>
      <c r="B107" s="25" t="s">
        <v>45</v>
      </c>
      <c r="C107" s="25" t="s">
        <v>46</v>
      </c>
      <c r="D107" s="25" t="s">
        <v>41</v>
      </c>
      <c r="E107" s="25" t="s">
        <v>41</v>
      </c>
      <c r="F107" s="25" t="s">
        <v>39</v>
      </c>
      <c r="H107" s="23">
        <f ca="1">'Index Data'!E216</f>
        <v>2.2151482849758274E-2</v>
      </c>
      <c r="I107" s="23">
        <f ca="1">'Index Data'!D216</f>
        <v>3.9989246589152419E-3</v>
      </c>
      <c r="J107" s="23">
        <f ca="1">'Index Data'!B216</f>
        <v>-9.9848175955752766E-3</v>
      </c>
      <c r="K107" s="23">
        <f ca="1">'Index Data'!C216</f>
        <v>-2.6655202063628553E-2</v>
      </c>
      <c r="L107" s="23">
        <f ca="1">'Index Data'!AH216</f>
        <v>3.7000000000000002E-3</v>
      </c>
      <c r="M107" s="23">
        <f ca="1">'Index Data'!V216</f>
        <v>6.0266084990015234E-3</v>
      </c>
      <c r="N107" s="23">
        <f ca="1">'Index Data'!W216</f>
        <v>3.8665852480673127E-2</v>
      </c>
      <c r="O107" s="23">
        <f ca="1">'Index Data'!R216</f>
        <v>3.1060318664643455E-2</v>
      </c>
      <c r="P107" s="23">
        <f ca="1">'Index Data'!S216</f>
        <v>1.2865761427056508E-2</v>
      </c>
      <c r="Q107" s="23">
        <f ca="1">'Index Data'!U216</f>
        <v>2.2141854955348608E-2</v>
      </c>
      <c r="R107" s="24"/>
      <c r="S107" s="23">
        <f t="shared" ca="1" si="12"/>
        <v>7.6294362970838487E-3</v>
      </c>
      <c r="T107" s="2">
        <f t="shared" ca="1" si="7"/>
        <v>6.0266084990015234E-3</v>
      </c>
      <c r="U107" s="2">
        <f t="shared" ca="1" si="8"/>
        <v>6.0266084990015234E-3</v>
      </c>
      <c r="V107" s="2">
        <f t="shared" ca="1" si="9"/>
        <v>6.0266084990015234E-3</v>
      </c>
      <c r="W107" s="2">
        <f t="shared" ca="1" si="10"/>
        <v>3.1060318664643455E-2</v>
      </c>
      <c r="X107" s="2">
        <v>1.7199999994250259E-2</v>
      </c>
      <c r="Y107" s="2">
        <f t="shared" ca="1" si="13"/>
        <v>6.0266084990015234E-3</v>
      </c>
      <c r="Z107" s="2">
        <f t="shared" ca="1" si="11"/>
        <v>1.0138815060474416E-2</v>
      </c>
    </row>
    <row r="108" spans="1:26">
      <c r="A108" s="22">
        <v>35399</v>
      </c>
      <c r="B108" s="25" t="s">
        <v>45</v>
      </c>
      <c r="C108" s="25" t="s">
        <v>46</v>
      </c>
      <c r="D108" s="25" t="s">
        <v>41</v>
      </c>
      <c r="E108" s="25" t="s">
        <v>41</v>
      </c>
      <c r="F108" s="25" t="s">
        <v>39</v>
      </c>
      <c r="H108" s="23">
        <f ca="1">'Index Data'!E217</f>
        <v>1.7128571428571441E-2</v>
      </c>
      <c r="I108" s="23">
        <f ca="1">'Index Data'!D217</f>
        <v>5.3460856176992422E-2</v>
      </c>
      <c r="J108" s="23">
        <f ca="1">'Index Data'!B217</f>
        <v>4.0038012198431686E-2</v>
      </c>
      <c r="K108" s="23">
        <f ca="1">'Index Data'!C217</f>
        <v>1.6750475672737179E-2</v>
      </c>
      <c r="L108" s="23">
        <f ca="1">'Index Data'!AH217</f>
        <v>-1.61E-2</v>
      </c>
      <c r="M108" s="23">
        <f ca="1">'Index Data'!V217</f>
        <v>7.5082603618217919E-2</v>
      </c>
      <c r="N108" s="23">
        <f ca="1">'Index Data'!W217</f>
        <v>7.2512440200580147E-2</v>
      </c>
      <c r="O108" s="23">
        <f ca="1">'Index Data'!R217</f>
        <v>7.1839212620153636E-2</v>
      </c>
      <c r="P108" s="23">
        <f ca="1">'Index Data'!S217</f>
        <v>6.3546011638086375E-2</v>
      </c>
      <c r="Q108" s="23">
        <f ca="1">'Index Data'!U217</f>
        <v>7.3796833691196106E-2</v>
      </c>
      <c r="R108" s="24"/>
      <c r="S108" s="23">
        <f t="shared" ca="1" si="12"/>
        <v>4.6194399227308232E-2</v>
      </c>
      <c r="T108" s="2">
        <f t="shared" ca="1" si="7"/>
        <v>7.5082603618217919E-2</v>
      </c>
      <c r="U108" s="2">
        <f t="shared" ca="1" si="8"/>
        <v>7.5082603618217919E-2</v>
      </c>
      <c r="V108" s="2">
        <f t="shared" ca="1" si="9"/>
        <v>7.5082603618217919E-2</v>
      </c>
      <c r="W108" s="2">
        <f t="shared" ca="1" si="10"/>
        <v>7.1839212620153636E-2</v>
      </c>
      <c r="X108" s="2">
        <v>6.8300000004152261E-2</v>
      </c>
      <c r="Y108" s="2">
        <f t="shared" ca="1" si="13"/>
        <v>7.5082603618217919E-2</v>
      </c>
      <c r="Z108" s="2">
        <f t="shared" ca="1" si="11"/>
        <v>7.3482828570549968E-2</v>
      </c>
    </row>
    <row r="109" spans="1:26">
      <c r="A109" s="22">
        <v>35430</v>
      </c>
      <c r="B109" s="25" t="s">
        <v>45</v>
      </c>
      <c r="C109" s="25" t="s">
        <v>46</v>
      </c>
      <c r="D109" s="25" t="s">
        <v>41</v>
      </c>
      <c r="E109" s="25" t="s">
        <v>41</v>
      </c>
      <c r="F109" s="25" t="s">
        <v>39</v>
      </c>
      <c r="H109" s="23">
        <f ca="1">'Index Data'!E218</f>
        <v>-9.2978833972387313E-3</v>
      </c>
      <c r="I109" s="23">
        <f ca="1">'Index Data'!D218</f>
        <v>-1.4484062368444125E-2</v>
      </c>
      <c r="J109" s="23">
        <f ca="1">'Index Data'!B218</f>
        <v>-1.2623486976105616E-2</v>
      </c>
      <c r="K109" s="23">
        <f ca="1">'Index Data'!C218</f>
        <v>4.5279866332498522E-3</v>
      </c>
      <c r="L109" s="23">
        <f ca="1">'Index Data'!AH218</f>
        <v>-1.0200000000000001E-2</v>
      </c>
      <c r="M109" s="23">
        <f ca="1">'Index Data'!V218</f>
        <v>-1.9578475170074352E-2</v>
      </c>
      <c r="N109" s="23">
        <f ca="1">'Index Data'!W218</f>
        <v>-1.2758136402069315E-2</v>
      </c>
      <c r="O109" s="23">
        <f ca="1">'Index Data'!R218</f>
        <v>-2.5230637202317201E-2</v>
      </c>
      <c r="P109" s="23">
        <f ca="1">'Index Data'!S218</f>
        <v>-1.5284300908665451E-2</v>
      </c>
      <c r="Q109" s="23">
        <f ca="1">'Index Data'!U218</f>
        <v>-1.6182135405992011E-2</v>
      </c>
      <c r="R109" s="24"/>
      <c r="S109" s="23">
        <f t="shared" ca="1" si="12"/>
        <v>-1.3446826574203046E-2</v>
      </c>
      <c r="T109" s="2">
        <f t="shared" ca="1" si="7"/>
        <v>-1.9578475170074352E-2</v>
      </c>
      <c r="U109" s="2">
        <f t="shared" ca="1" si="8"/>
        <v>-1.9578475170074352E-2</v>
      </c>
      <c r="V109" s="2">
        <f t="shared" ca="1" si="9"/>
        <v>-1.9578475170074352E-2</v>
      </c>
      <c r="W109" s="2">
        <f t="shared" ca="1" si="10"/>
        <v>-2.5230637202317201E-2</v>
      </c>
      <c r="X109" s="2">
        <v>-5.8999999975521966E-3</v>
      </c>
      <c r="Y109" s="2">
        <f t="shared" ca="1" si="13"/>
        <v>-1.9578475170074352E-2</v>
      </c>
      <c r="Z109" s="2">
        <f t="shared" ca="1" si="11"/>
        <v>-1.7266692287988133E-2</v>
      </c>
    </row>
    <row r="110" spans="1:26">
      <c r="A110" s="22">
        <v>35461</v>
      </c>
      <c r="B110" s="25" t="s">
        <v>45</v>
      </c>
      <c r="C110" s="25" t="s">
        <v>46</v>
      </c>
      <c r="D110" s="25" t="s">
        <v>41</v>
      </c>
      <c r="E110" s="25" t="s">
        <v>41</v>
      </c>
      <c r="F110" s="25" t="s">
        <v>39</v>
      </c>
      <c r="H110" s="23">
        <f ca="1">'Index Data'!E219</f>
        <v>3.0622226632830546E-3</v>
      </c>
      <c r="I110" s="23">
        <f ca="1">'Index Data'!D219</f>
        <v>1.6776346278617155E-2</v>
      </c>
      <c r="J110" s="23">
        <f ca="1">'Index Data'!B219</f>
        <v>-3.4766231568138017E-2</v>
      </c>
      <c r="K110" s="23">
        <f ca="1">'Index Data'!C219</f>
        <v>6.8195805126328571E-2</v>
      </c>
      <c r="L110" s="23">
        <f ca="1">'Index Data'!AH219</f>
        <v>-6.5799999999999997E-2</v>
      </c>
      <c r="M110" s="23">
        <f ca="1">'Index Data'!V219</f>
        <v>7.0136961437527887E-2</v>
      </c>
      <c r="N110" s="23">
        <f ca="1">'Index Data'!W219</f>
        <v>4.8476710638529527E-2</v>
      </c>
      <c r="O110" s="23">
        <f ca="1">'Index Data'!R219</f>
        <v>9.1473345952370486E-2</v>
      </c>
      <c r="P110" s="23">
        <f ca="1">'Index Data'!S219</f>
        <v>4.7629974431259339E-2</v>
      </c>
      <c r="Q110" s="23">
        <f ca="1">'Index Data'!U219</f>
        <v>5.9304435847340707E-2</v>
      </c>
      <c r="R110" s="24"/>
      <c r="S110" s="23">
        <f t="shared" ca="1" si="12"/>
        <v>1.4033521555550337E-2</v>
      </c>
      <c r="T110" s="2">
        <f t="shared" ca="1" si="7"/>
        <v>7.0136961437527887E-2</v>
      </c>
      <c r="U110" s="2">
        <f t="shared" ca="1" si="8"/>
        <v>7.0136961437527887E-2</v>
      </c>
      <c r="V110" s="2">
        <f t="shared" ca="1" si="9"/>
        <v>7.0136961437527887E-2</v>
      </c>
      <c r="W110" s="2">
        <f t="shared" ca="1" si="10"/>
        <v>9.1473345952370486E-2</v>
      </c>
      <c r="X110" s="2">
        <v>4.2300000004650951E-2</v>
      </c>
      <c r="Y110" s="2">
        <f t="shared" ca="1" si="13"/>
        <v>7.01369614375279E-2</v>
      </c>
      <c r="Z110" s="2">
        <f t="shared" ca="1" si="11"/>
        <v>6.6169797989565682E-2</v>
      </c>
    </row>
    <row r="111" spans="1:26">
      <c r="A111" s="22">
        <v>35489</v>
      </c>
      <c r="B111" s="25" t="s">
        <v>45</v>
      </c>
      <c r="C111" s="25" t="s">
        <v>46</v>
      </c>
      <c r="D111" s="25" t="s">
        <v>41</v>
      </c>
      <c r="E111" s="25" t="s">
        <v>41</v>
      </c>
      <c r="F111" s="25" t="s">
        <v>39</v>
      </c>
      <c r="H111" s="23">
        <f ca="1">'Index Data'!E220</f>
        <v>2.4875270306559311E-3</v>
      </c>
      <c r="I111" s="23">
        <f ca="1">'Index Data'!D220</f>
        <v>1.3634021640045966E-2</v>
      </c>
      <c r="J111" s="23">
        <f ca="1">'Index Data'!B220</f>
        <v>1.6597409454678379E-2</v>
      </c>
      <c r="K111" s="23">
        <f ca="1">'Index Data'!C220</f>
        <v>4.2836455365067486E-2</v>
      </c>
      <c r="L111" s="23">
        <f ca="1">'Index Data'!AH220</f>
        <v>5.8600000000000006E-2</v>
      </c>
      <c r="M111" s="23">
        <f ca="1">'Index Data'!V220</f>
        <v>-6.7702701747690717E-3</v>
      </c>
      <c r="N111" s="23">
        <f ca="1">'Index Data'!W220</f>
        <v>1.4693004468473223E-2</v>
      </c>
      <c r="O111" s="23">
        <f ca="1">'Index Data'!R220</f>
        <v>2.7828191167574017E-3</v>
      </c>
      <c r="P111" s="23">
        <f ca="1">'Index Data'!S220</f>
        <v>1.3423448793767079E-2</v>
      </c>
      <c r="Q111" s="23">
        <f ca="1">'Index Data'!U220</f>
        <v>3.8349049468005022E-3</v>
      </c>
      <c r="R111" s="24"/>
      <c r="S111" s="23">
        <f t="shared" ca="1" si="12"/>
        <v>1.140472271816796E-2</v>
      </c>
      <c r="T111" s="2">
        <f t="shared" ca="1" si="7"/>
        <v>-6.7702701747690717E-3</v>
      </c>
      <c r="U111" s="2">
        <f t="shared" ca="1" si="8"/>
        <v>-6.7702701747690717E-3</v>
      </c>
      <c r="V111" s="2">
        <f t="shared" ca="1" si="9"/>
        <v>-6.7702701747690717E-3</v>
      </c>
      <c r="W111" s="2">
        <f t="shared" ca="1" si="10"/>
        <v>2.7828191167574017E-3</v>
      </c>
      <c r="X111" s="2">
        <v>9.6999999965685646E-3</v>
      </c>
      <c r="Y111" s="2">
        <f t="shared" ca="1" si="13"/>
        <v>-6.7702701747690726E-3</v>
      </c>
      <c r="Z111" s="2">
        <f t="shared" ca="1" si="11"/>
        <v>-2.7597344436370592E-3</v>
      </c>
    </row>
    <row r="112" spans="1:26">
      <c r="A112" s="22">
        <v>35520</v>
      </c>
      <c r="B112" s="25" t="s">
        <v>45</v>
      </c>
      <c r="C112" s="25" t="s">
        <v>46</v>
      </c>
      <c r="D112" s="25" t="s">
        <v>41</v>
      </c>
      <c r="E112" s="25" t="s">
        <v>41</v>
      </c>
      <c r="F112" s="25" t="s">
        <v>39</v>
      </c>
      <c r="H112" s="23">
        <f ca="1">'Index Data'!E221</f>
        <v>-1.1081504039250538E-2</v>
      </c>
      <c r="I112" s="23">
        <f ca="1">'Index Data'!D221</f>
        <v>-2.0003910068426251E-2</v>
      </c>
      <c r="J112" s="23">
        <f ca="1">'Index Data'!B221</f>
        <v>3.8676397441946555E-3</v>
      </c>
      <c r="K112" s="23">
        <f ca="1">'Index Data'!C221</f>
        <v>-2.6279639252224842E-2</v>
      </c>
      <c r="L112" s="23">
        <f ca="1">'Index Data'!AH221</f>
        <v>-3.8599999999999995E-2</v>
      </c>
      <c r="M112" s="23">
        <f ca="1">'Index Data'!V221</f>
        <v>-5.4115110677870872E-2</v>
      </c>
      <c r="N112" s="23">
        <f ca="1">'Index Data'!W221</f>
        <v>-3.5953308454826478E-2</v>
      </c>
      <c r="O112" s="23">
        <f ca="1">'Index Data'!R221</f>
        <v>-5.4496460746460688E-2</v>
      </c>
      <c r="P112" s="23">
        <f ca="1">'Index Data'!S221</f>
        <v>-4.3179572681240008E-2</v>
      </c>
      <c r="Q112" s="23">
        <f ca="1">'Index Data'!U221</f>
        <v>-4.5044971505069857E-2</v>
      </c>
      <c r="R112" s="24"/>
      <c r="S112" s="23">
        <f t="shared" ca="1" si="12"/>
        <v>-1.8219428862591109E-2</v>
      </c>
      <c r="T112" s="2">
        <f t="shared" ca="1" si="7"/>
        <v>-5.4115110677870872E-2</v>
      </c>
      <c r="U112" s="2">
        <f t="shared" ca="1" si="8"/>
        <v>-5.4115110677870872E-2</v>
      </c>
      <c r="V112" s="2">
        <f t="shared" ca="1" si="9"/>
        <v>-5.4115110677870872E-2</v>
      </c>
      <c r="W112" s="2">
        <f t="shared" ca="1" si="10"/>
        <v>-5.4496460746460688E-2</v>
      </c>
      <c r="X112" s="2">
        <v>-3.6400000015531564E-2</v>
      </c>
      <c r="Y112" s="2">
        <f t="shared" ca="1" si="13"/>
        <v>-5.4115110677870872E-2</v>
      </c>
      <c r="Z112" s="2">
        <f t="shared" ca="1" si="11"/>
        <v>-5.0600689800547244E-2</v>
      </c>
    </row>
    <row r="113" spans="1:26">
      <c r="A113" s="22">
        <v>35550</v>
      </c>
      <c r="B113" s="25" t="s">
        <v>45</v>
      </c>
      <c r="C113" s="25" t="s">
        <v>46</v>
      </c>
      <c r="D113" s="25" t="s">
        <v>41</v>
      </c>
      <c r="E113" s="25" t="s">
        <v>41</v>
      </c>
      <c r="F113" s="25" t="s">
        <v>39</v>
      </c>
      <c r="H113" s="23">
        <f ca="1">'Index Data'!E222</f>
        <v>1.4969419614216673E-2</v>
      </c>
      <c r="I113" s="23">
        <f ca="1">'Index Data'!D222</f>
        <v>3.211854736388535E-2</v>
      </c>
      <c r="J113" s="23">
        <f ca="1">'Index Data'!B222</f>
        <v>5.5478976569905483E-3</v>
      </c>
      <c r="K113" s="23">
        <f ca="1">'Index Data'!C222</f>
        <v>1.7788137152670799E-3</v>
      </c>
      <c r="L113" s="23">
        <f ca="1">'Index Data'!AH222</f>
        <v>-2.7900000000000001E-2</v>
      </c>
      <c r="M113" s="23">
        <f ca="1">'Index Data'!V222</f>
        <v>6.6403385049365202E-2</v>
      </c>
      <c r="N113" s="23">
        <f ca="1">'Index Data'!W222</f>
        <v>4.2010770722317722E-2</v>
      </c>
      <c r="O113" s="23">
        <f ca="1">'Index Data'!R222</f>
        <v>0.10013186439236034</v>
      </c>
      <c r="P113" s="23">
        <f ca="1">'Index Data'!S222</f>
        <v>4.5402475031865612E-2</v>
      </c>
      <c r="Q113" s="23">
        <f ca="1">'Index Data'!U222</f>
        <v>5.4108060943157892E-2</v>
      </c>
      <c r="R113" s="24"/>
      <c r="S113" s="23">
        <f t="shared" ca="1" si="12"/>
        <v>2.8688721813951618E-2</v>
      </c>
      <c r="T113" s="2">
        <f t="shared" ca="1" si="7"/>
        <v>6.6403385049365202E-2</v>
      </c>
      <c r="U113" s="2">
        <f t="shared" ca="1" si="8"/>
        <v>6.6403385049365202E-2</v>
      </c>
      <c r="V113" s="2">
        <f t="shared" ca="1" si="9"/>
        <v>6.6403385049365202E-2</v>
      </c>
      <c r="W113" s="2">
        <f t="shared" ca="1" si="10"/>
        <v>0.10013186439236034</v>
      </c>
      <c r="X113" s="2">
        <v>3.8000000019179137E-2</v>
      </c>
      <c r="Y113" s="2">
        <f t="shared" ca="1" si="13"/>
        <v>6.6403385049365216E-2</v>
      </c>
      <c r="Z113" s="2">
        <f t="shared" ca="1" si="11"/>
        <v>6.3252343994052621E-2</v>
      </c>
    </row>
    <row r="114" spans="1:26">
      <c r="A114" s="22">
        <v>35581</v>
      </c>
      <c r="B114" s="25" t="s">
        <v>45</v>
      </c>
      <c r="C114" s="25" t="s">
        <v>46</v>
      </c>
      <c r="D114" s="25" t="s">
        <v>41</v>
      </c>
      <c r="E114" s="25" t="s">
        <v>41</v>
      </c>
      <c r="F114" s="25" t="s">
        <v>39</v>
      </c>
      <c r="H114" s="23">
        <f ca="1">'Index Data'!E223</f>
        <v>9.4531765763488252E-3</v>
      </c>
      <c r="I114" s="23">
        <f ca="1">'Index Data'!D223</f>
        <v>5.9667393422090279E-2</v>
      </c>
      <c r="J114" s="23">
        <f ca="1">'Index Data'!B223</f>
        <v>6.5321742427920451E-2</v>
      </c>
      <c r="K114" s="23">
        <f ca="1">'Index Data'!C223</f>
        <v>2.8609478324761288E-2</v>
      </c>
      <c r="L114" s="23">
        <f ca="1">'Index Data'!AH223</f>
        <v>1.06E-2</v>
      </c>
      <c r="M114" s="23">
        <f ca="1">'Index Data'!V223</f>
        <v>7.2165202976757367E-2</v>
      </c>
      <c r="N114" s="23">
        <f ca="1">'Index Data'!W223</f>
        <v>5.5862488157532905E-2</v>
      </c>
      <c r="O114" s="23">
        <f ca="1">'Index Data'!R223</f>
        <v>5.1231488999729347E-2</v>
      </c>
      <c r="P114" s="23">
        <f ca="1">'Index Data'!S223</f>
        <v>5.9296528946028236E-2</v>
      </c>
      <c r="Q114" s="23">
        <f ca="1">'Index Data'!U223</f>
        <v>6.40446480479267E-2</v>
      </c>
      <c r="R114" s="24"/>
      <c r="S114" s="23">
        <f t="shared" ca="1" si="12"/>
        <v>4.9624550052941988E-2</v>
      </c>
      <c r="T114" s="2">
        <f t="shared" ca="1" si="7"/>
        <v>7.2165202976757367E-2</v>
      </c>
      <c r="U114" s="2">
        <f t="shared" ca="1" si="8"/>
        <v>7.2165202976757367E-2</v>
      </c>
      <c r="V114" s="2">
        <f t="shared" ca="1" si="9"/>
        <v>7.2165202976757367E-2</v>
      </c>
      <c r="W114" s="2">
        <f t="shared" ca="1" si="10"/>
        <v>5.1231488999729347E-2</v>
      </c>
      <c r="X114" s="2">
        <v>5.5499999991529325E-2</v>
      </c>
      <c r="Y114" s="2">
        <f t="shared" ca="1" si="13"/>
        <v>7.2165202976757381E-2</v>
      </c>
      <c r="Z114" s="2">
        <f t="shared" ca="1" si="11"/>
        <v>6.7262133831434659E-2</v>
      </c>
    </row>
    <row r="115" spans="1:26">
      <c r="A115" s="22">
        <v>35611</v>
      </c>
      <c r="B115" s="25" t="s">
        <v>45</v>
      </c>
      <c r="C115" s="25" t="s">
        <v>46</v>
      </c>
      <c r="D115" s="25" t="s">
        <v>41</v>
      </c>
      <c r="E115" s="25" t="s">
        <v>41</v>
      </c>
      <c r="F115" s="25" t="s">
        <v>39</v>
      </c>
      <c r="H115" s="23">
        <f ca="1">'Index Data'!E224</f>
        <v>1.1869312331283344E-2</v>
      </c>
      <c r="I115" s="23">
        <f ca="1">'Index Data'!D224</f>
        <v>5.117120666571813E-2</v>
      </c>
      <c r="J115" s="23">
        <f ca="1">'Index Data'!B224</f>
        <v>5.5374944650532214E-2</v>
      </c>
      <c r="K115" s="23">
        <f ca="1">'Index Data'!C224</f>
        <v>5.352917540961654E-2</v>
      </c>
      <c r="L115" s="23">
        <f ca="1">'Index Data'!AH224</f>
        <v>-2.76E-2</v>
      </c>
      <c r="M115" s="23">
        <f ca="1">'Index Data'!V224</f>
        <v>4.0020921672023174E-2</v>
      </c>
      <c r="N115" s="23">
        <f ca="1">'Index Data'!W224</f>
        <v>4.2898675637257105E-2</v>
      </c>
      <c r="O115" s="23">
        <f ca="1">'Index Data'!R224</f>
        <v>5.5061056348389099E-2</v>
      </c>
      <c r="P115" s="23">
        <f ca="1">'Index Data'!S224</f>
        <v>4.624462737670286E-2</v>
      </c>
      <c r="Q115" s="23">
        <f ca="1">'Index Data'!U224</f>
        <v>4.1442454421331626E-2</v>
      </c>
      <c r="R115" s="24"/>
      <c r="S115" s="23">
        <f t="shared" ca="1" si="12"/>
        <v>4.3310827798831178E-2</v>
      </c>
      <c r="T115" s="2">
        <f t="shared" ca="1" si="7"/>
        <v>4.0020921672023174E-2</v>
      </c>
      <c r="U115" s="2">
        <f t="shared" ca="1" si="8"/>
        <v>4.0020921672023174E-2</v>
      </c>
      <c r="V115" s="2">
        <f t="shared" ca="1" si="9"/>
        <v>4.0020921672023174E-2</v>
      </c>
      <c r="W115" s="2">
        <f t="shared" ca="1" si="10"/>
        <v>5.5061056348389099E-2</v>
      </c>
      <c r="X115" s="2">
        <v>4.5300000003854812E-2</v>
      </c>
      <c r="Y115" s="2">
        <f t="shared" ca="1" si="13"/>
        <v>4.0020921672023174E-2</v>
      </c>
      <c r="Z115" s="2">
        <f t="shared" ca="1" si="11"/>
        <v>4.2204747439116952E-2</v>
      </c>
    </row>
    <row r="116" spans="1:26">
      <c r="A116" s="22">
        <v>35642</v>
      </c>
      <c r="B116" s="25" t="s">
        <v>45</v>
      </c>
      <c r="C116" s="25" t="s">
        <v>46</v>
      </c>
      <c r="D116" s="25" t="s">
        <v>41</v>
      </c>
      <c r="E116" s="25" t="s">
        <v>41</v>
      </c>
      <c r="F116" s="25" t="s">
        <v>39</v>
      </c>
      <c r="H116" s="23">
        <f ca="1">'Index Data'!E225</f>
        <v>2.6966817475487698E-2</v>
      </c>
      <c r="I116" s="23">
        <f ca="1">'Index Data'!D225</f>
        <v>4.5216660998243931E-2</v>
      </c>
      <c r="J116" s="23">
        <f ca="1">'Index Data'!B225</f>
        <v>1.6383337317023558E-2</v>
      </c>
      <c r="K116" s="23">
        <f ca="1">'Index Data'!C225</f>
        <v>1.4916518349012552E-2</v>
      </c>
      <c r="L116" s="23">
        <f ca="1">'Index Data'!AH225</f>
        <v>-3.3399999999999999E-2</v>
      </c>
      <c r="M116" s="23">
        <f ca="1">'Index Data'!V225</f>
        <v>8.844023697087211E-2</v>
      </c>
      <c r="N116" s="23">
        <f ca="1">'Index Data'!W225</f>
        <v>7.5234133359647931E-2</v>
      </c>
      <c r="O116" s="23">
        <f ca="1">'Index Data'!R225</f>
        <v>8.4887571901690648E-2</v>
      </c>
      <c r="P116" s="23">
        <f ca="1">'Index Data'!S225</f>
        <v>5.8126418694035585E-2</v>
      </c>
      <c r="Q116" s="23">
        <f ca="1">'Index Data'!U225</f>
        <v>8.1832095960605242E-2</v>
      </c>
      <c r="R116" s="24"/>
      <c r="S116" s="23">
        <f t="shared" ca="1" si="12"/>
        <v>4.1566692293692684E-2</v>
      </c>
      <c r="T116" s="2">
        <f t="shared" ca="1" si="7"/>
        <v>8.844023697087211E-2</v>
      </c>
      <c r="U116" s="2">
        <f t="shared" ca="1" si="8"/>
        <v>8.844023697087211E-2</v>
      </c>
      <c r="V116" s="2">
        <f t="shared" ca="1" si="9"/>
        <v>8.844023697087211E-2</v>
      </c>
      <c r="W116" s="2">
        <f t="shared" ca="1" si="10"/>
        <v>8.4887571901690648E-2</v>
      </c>
      <c r="X116" s="2">
        <v>5.2200000002475599E-2</v>
      </c>
      <c r="Y116" s="2">
        <f t="shared" ca="1" si="13"/>
        <v>8.844023697087211E-2</v>
      </c>
      <c r="Z116" s="2">
        <f t="shared" ca="1" si="11"/>
        <v>8.0925739697004201E-2</v>
      </c>
    </row>
    <row r="117" spans="1:26">
      <c r="A117" s="22">
        <v>35673</v>
      </c>
      <c r="B117" s="25" t="s">
        <v>45</v>
      </c>
      <c r="C117" s="25" t="s">
        <v>46</v>
      </c>
      <c r="D117" s="25" t="s">
        <v>41</v>
      </c>
      <c r="E117" s="25" t="s">
        <v>41</v>
      </c>
      <c r="F117" s="25" t="s">
        <v>39</v>
      </c>
      <c r="H117" s="23">
        <f ca="1">'Index Data'!E226</f>
        <v>-8.5297268344938469E-3</v>
      </c>
      <c r="I117" s="23">
        <f ca="1">'Index Data'!D226</f>
        <v>-7.0161866024736536E-2</v>
      </c>
      <c r="J117" s="23">
        <f ca="1">'Index Data'!B226</f>
        <v>-7.4479191930004671E-2</v>
      </c>
      <c r="K117" s="23">
        <f ca="1">'Index Data'!C226</f>
        <v>-0.12725121781489207</v>
      </c>
      <c r="L117" s="23">
        <f ca="1">'Index Data'!AH226</f>
        <v>4.3E-3</v>
      </c>
      <c r="M117" s="23">
        <f ca="1">'Index Data'!V226</f>
        <v>-5.8529341679307734E-2</v>
      </c>
      <c r="N117" s="23">
        <f ca="1">'Index Data'!W226</f>
        <v>-3.5625993036555288E-2</v>
      </c>
      <c r="O117" s="23">
        <f ca="1">'Index Data'!R226</f>
        <v>-7.5385604113110474E-2</v>
      </c>
      <c r="P117" s="23">
        <f ca="1">'Index Data'!S226</f>
        <v>-5.465696274166601E-2</v>
      </c>
      <c r="Q117" s="23">
        <f ca="1">'Index Data'!U226</f>
        <v>-4.7171166145988437E-2</v>
      </c>
      <c r="R117" s="24"/>
      <c r="S117" s="23">
        <f t="shared" ca="1" si="12"/>
        <v>-5.7835438186688001E-2</v>
      </c>
      <c r="T117" s="2">
        <f t="shared" ca="1" si="7"/>
        <v>-5.8529341679307734E-2</v>
      </c>
      <c r="U117" s="2">
        <f t="shared" ca="1" si="8"/>
        <v>-5.8529341679307734E-2</v>
      </c>
      <c r="V117" s="2">
        <f t="shared" ca="1" si="9"/>
        <v>-5.8529341679307734E-2</v>
      </c>
      <c r="W117" s="2">
        <f t="shared" ca="1" si="10"/>
        <v>-7.5385604113110474E-2</v>
      </c>
      <c r="X117" s="2">
        <v>-1.2199999999137012E-2</v>
      </c>
      <c r="Y117" s="2">
        <f t="shared" ca="1" si="13"/>
        <v>-5.8529341679307734E-2</v>
      </c>
      <c r="Z117" s="2">
        <f t="shared" ca="1" si="11"/>
        <v>-5.0527693025808798E-2</v>
      </c>
    </row>
    <row r="118" spans="1:26">
      <c r="A118" s="22">
        <v>35703</v>
      </c>
      <c r="B118" s="25" t="s">
        <v>45</v>
      </c>
      <c r="C118" s="25" t="s">
        <v>46</v>
      </c>
      <c r="D118" s="25" t="s">
        <v>41</v>
      </c>
      <c r="E118" s="25" t="s">
        <v>41</v>
      </c>
      <c r="F118" s="25" t="s">
        <v>39</v>
      </c>
      <c r="H118" s="23">
        <f ca="1">'Index Data'!E227</f>
        <v>1.4748186864389713E-2</v>
      </c>
      <c r="I118" s="23">
        <f ca="1">'Index Data'!D227</f>
        <v>5.3330905143477464E-2</v>
      </c>
      <c r="J118" s="23">
        <f ca="1">'Index Data'!B227</f>
        <v>5.6244964670920286E-2</v>
      </c>
      <c r="K118" s="23">
        <f ca="1">'Index Data'!C227</f>
        <v>2.77162039325753E-2</v>
      </c>
      <c r="L118" s="23">
        <f ca="1">'Index Data'!AH227</f>
        <v>2.7000000000000003E-2</v>
      </c>
      <c r="M118" s="23">
        <f ca="1">'Index Data'!V227</f>
        <v>4.9210283446047234E-2</v>
      </c>
      <c r="N118" s="23">
        <f ca="1">'Index Data'!W227</f>
        <v>6.0439070232204149E-2</v>
      </c>
      <c r="O118" s="23">
        <f ca="1">'Index Data'!R227</f>
        <v>5.4945436852714268E-2</v>
      </c>
      <c r="P118" s="23">
        <f ca="1">'Index Data'!S227</f>
        <v>5.240150355004887E-2</v>
      </c>
      <c r="Q118" s="23">
        <f ca="1">'Index Data'!U227</f>
        <v>5.4843938060153072E-2</v>
      </c>
      <c r="R118" s="24"/>
      <c r="S118" s="23">
        <f t="shared" ca="1" si="12"/>
        <v>4.5614361487659918E-2</v>
      </c>
      <c r="T118" s="2">
        <f t="shared" ca="1" si="7"/>
        <v>4.9210283446047234E-2</v>
      </c>
      <c r="U118" s="2">
        <f t="shared" ca="1" si="8"/>
        <v>4.9210283446047234E-2</v>
      </c>
      <c r="V118" s="2">
        <f t="shared" ca="1" si="9"/>
        <v>4.9210283446047234E-2</v>
      </c>
      <c r="W118" s="2">
        <f t="shared" ca="1" si="10"/>
        <v>5.4945436852714268E-2</v>
      </c>
      <c r="X118" s="2">
        <v>5.1099999987901157E-2</v>
      </c>
      <c r="Y118" s="2">
        <f t="shared" ca="1" si="13"/>
        <v>4.9210283446047234E-2</v>
      </c>
      <c r="Z118" s="2">
        <f t="shared" ca="1" si="11"/>
        <v>5.0018363259918049E-2</v>
      </c>
    </row>
    <row r="119" spans="1:26">
      <c r="A119" s="22">
        <v>35734</v>
      </c>
      <c r="B119" s="25" t="s">
        <v>45</v>
      </c>
      <c r="C119" s="25" t="s">
        <v>46</v>
      </c>
      <c r="D119" s="25" t="s">
        <v>41</v>
      </c>
      <c r="E119" s="25" t="s">
        <v>41</v>
      </c>
      <c r="F119" s="25" t="s">
        <v>39</v>
      </c>
      <c r="H119" s="23">
        <f ca="1">'Index Data'!E228</f>
        <v>1.4507220336727194E-2</v>
      </c>
      <c r="I119" s="23">
        <f ca="1">'Index Data'!D228</f>
        <v>-5.9543221720868157E-2</v>
      </c>
      <c r="J119" s="23">
        <f ca="1">'Index Data'!B228</f>
        <v>-7.66457677032652E-2</v>
      </c>
      <c r="K119" s="23">
        <f ca="1">'Index Data'!C228</f>
        <v>-0.16409341298781907</v>
      </c>
      <c r="L119" s="23">
        <f ca="1">'Index Data'!AH228</f>
        <v>-6.6400000000000001E-2</v>
      </c>
      <c r="M119" s="23">
        <f ca="1">'Index Data'!V228</f>
        <v>-3.6961638032478289E-2</v>
      </c>
      <c r="N119" s="23">
        <f ca="1">'Index Data'!W228</f>
        <v>-2.7940512481105229E-2</v>
      </c>
      <c r="O119" s="23">
        <f ca="1">'Index Data'!R228</f>
        <v>-2.9319716685883825E-2</v>
      </c>
      <c r="P119" s="23">
        <f ca="1">'Index Data'!S228</f>
        <v>-1.8758102494907086E-2</v>
      </c>
      <c r="Q119" s="23">
        <f ca="1">'Index Data'!U228</f>
        <v>-3.2402752913866309E-2</v>
      </c>
      <c r="R119" s="24"/>
      <c r="S119" s="23">
        <f t="shared" ca="1" si="12"/>
        <v>-4.4733133309349089E-2</v>
      </c>
      <c r="T119" s="2">
        <f t="shared" ca="1" si="7"/>
        <v>-3.6961638032478289E-2</v>
      </c>
      <c r="U119" s="2">
        <f t="shared" ca="1" si="8"/>
        <v>-3.6961638032478289E-2</v>
      </c>
      <c r="V119" s="2">
        <f t="shared" ca="1" si="9"/>
        <v>-3.6961638032478289E-2</v>
      </c>
      <c r="W119" s="2">
        <f t="shared" ca="1" si="10"/>
        <v>-2.9319716685883825E-2</v>
      </c>
      <c r="X119" s="2">
        <v>-1.8099999988902993E-2</v>
      </c>
      <c r="Y119" s="2">
        <f t="shared" ca="1" si="13"/>
        <v>-3.6961638032478289E-2</v>
      </c>
      <c r="Z119" s="2">
        <f t="shared" ca="1" si="11"/>
        <v>-3.2616166322768647E-2</v>
      </c>
    </row>
    <row r="120" spans="1:26">
      <c r="A120" s="22">
        <v>35764</v>
      </c>
      <c r="B120" s="25" t="s">
        <v>45</v>
      </c>
      <c r="C120" s="25" t="s">
        <v>46</v>
      </c>
      <c r="D120" s="25" t="s">
        <v>41</v>
      </c>
      <c r="E120" s="25" t="s">
        <v>41</v>
      </c>
      <c r="F120" s="25" t="s">
        <v>39</v>
      </c>
      <c r="H120" s="23">
        <f ca="1">'Index Data'!E229</f>
        <v>4.6047884552312115E-3</v>
      </c>
      <c r="I120" s="23">
        <f ca="1">'Index Data'!D229</f>
        <v>1.5298379683867028E-2</v>
      </c>
      <c r="J120" s="23">
        <f ca="1">'Index Data'!B229</f>
        <v>-9.9635663675065132E-3</v>
      </c>
      <c r="K120" s="23">
        <f ca="1">'Index Data'!C229</f>
        <v>-3.6476703174308685E-2</v>
      </c>
      <c r="L120" s="23">
        <f ca="1">'Index Data'!AH229</f>
        <v>-4.87E-2</v>
      </c>
      <c r="M120" s="23">
        <f ca="1">'Index Data'!V229</f>
        <v>4.2473637263407409E-2</v>
      </c>
      <c r="N120" s="23">
        <f ca="1">'Index Data'!W229</f>
        <v>4.4213192697394203E-2</v>
      </c>
      <c r="O120" s="23">
        <f ca="1">'Index Data'!R229</f>
        <v>3.8995418292889904E-2</v>
      </c>
      <c r="P120" s="23">
        <f ca="1">'Index Data'!S229</f>
        <v>5.1364322691975869E-2</v>
      </c>
      <c r="Q120" s="23">
        <f ca="1">'Index Data'!U229</f>
        <v>4.3355505190911199E-2</v>
      </c>
      <c r="R120" s="24"/>
      <c r="S120" s="23">
        <f t="shared" ca="1" si="12"/>
        <v>1.3159661438139866E-2</v>
      </c>
      <c r="T120" s="2">
        <f t="shared" ca="1" si="7"/>
        <v>4.2473637263407409E-2</v>
      </c>
      <c r="U120" s="2">
        <f t="shared" ca="1" si="8"/>
        <v>4.2473637263407409E-2</v>
      </c>
      <c r="V120" s="2">
        <f t="shared" ca="1" si="9"/>
        <v>4.2473637263407409E-2</v>
      </c>
      <c r="W120" s="2">
        <f t="shared" ca="1" si="10"/>
        <v>3.8995418292889904E-2</v>
      </c>
      <c r="X120" s="2">
        <v>5.6599999980754712E-2</v>
      </c>
      <c r="Y120" s="2">
        <f t="shared" ca="1" si="13"/>
        <v>4.2473637263407409E-2</v>
      </c>
      <c r="Z120" s="2">
        <f t="shared" ca="1" si="11"/>
        <v>4.5038043384088053E-2</v>
      </c>
    </row>
    <row r="121" spans="1:26">
      <c r="A121" s="22">
        <v>35795</v>
      </c>
      <c r="B121" s="25" t="s">
        <v>45</v>
      </c>
      <c r="C121" s="25" t="s">
        <v>47</v>
      </c>
      <c r="D121" s="25" t="s">
        <v>41</v>
      </c>
      <c r="E121" s="25" t="s">
        <v>41</v>
      </c>
      <c r="F121" s="25" t="s">
        <v>39</v>
      </c>
      <c r="H121" s="23">
        <f ca="1">'Index Data'!E230</f>
        <v>1.0068428750522405E-2</v>
      </c>
      <c r="I121" s="23">
        <f ca="1">'Index Data'!D230</f>
        <v>1.3129351449802904E-2</v>
      </c>
      <c r="J121" s="23">
        <f ca="1">'Index Data'!B230</f>
        <v>8.9524549625933543E-3</v>
      </c>
      <c r="K121" s="23">
        <f ca="1">'Index Data'!C230</f>
        <v>2.4082458337347078E-2</v>
      </c>
      <c r="L121" s="23">
        <f ca="1">'Index Data'!AH230</f>
        <v>-2.3599999999999999E-2</v>
      </c>
      <c r="M121" s="23">
        <f ca="1">'Index Data'!V230</f>
        <v>1.1202602121549656E-2</v>
      </c>
      <c r="N121" s="23">
        <f ca="1">'Index Data'!W230</f>
        <v>2.9192603214336126E-2</v>
      </c>
      <c r="O121" s="23">
        <f ca="1">'Index Data'!R230</f>
        <v>1.7345005553014967E-2</v>
      </c>
      <c r="P121" s="23">
        <f ca="1">'Index Data'!S230</f>
        <v>2.0195932603287774E-2</v>
      </c>
      <c r="Q121" s="23">
        <f ca="1">'Index Data'!U230</f>
        <v>2.0307486555603989E-2</v>
      </c>
      <c r="R121" s="24"/>
      <c r="S121" s="23">
        <f t="shared" ca="1" si="12"/>
        <v>1.2517166909946805E-2</v>
      </c>
      <c r="T121" s="2">
        <f t="shared" ca="1" si="7"/>
        <v>2.9192603214336126E-2</v>
      </c>
      <c r="U121" s="2">
        <f t="shared" ca="1" si="8"/>
        <v>2.9192603214336126E-2</v>
      </c>
      <c r="V121" s="2">
        <f t="shared" ca="1" si="9"/>
        <v>2.9192603214336126E-2</v>
      </c>
      <c r="W121" s="2">
        <f t="shared" ca="1" si="10"/>
        <v>1.7345005553014967E-2</v>
      </c>
      <c r="X121" s="2">
        <v>2.190000001307113E-2</v>
      </c>
      <c r="Y121" s="2">
        <f t="shared" ca="1" si="13"/>
        <v>2.9192603214336126E-2</v>
      </c>
      <c r="Z121" s="2">
        <f t="shared" ca="1" si="11"/>
        <v>2.6845512749484039E-2</v>
      </c>
    </row>
    <row r="122" spans="1:26">
      <c r="A122" s="22">
        <v>35826</v>
      </c>
      <c r="B122" s="25" t="s">
        <v>45</v>
      </c>
      <c r="C122" s="25" t="s">
        <v>47</v>
      </c>
      <c r="D122" s="25" t="s">
        <v>41</v>
      </c>
      <c r="E122" s="25" t="s">
        <v>41</v>
      </c>
      <c r="F122" s="25" t="s">
        <v>39</v>
      </c>
      <c r="H122" s="23">
        <f ca="1">'Index Data'!E231</f>
        <v>1.2838248412995914E-2</v>
      </c>
      <c r="I122" s="23">
        <f ca="1">'Index Data'!D231</f>
        <v>2.2014529168725431E-2</v>
      </c>
      <c r="J122" s="23">
        <f ca="1">'Index Data'!B231</f>
        <v>4.5965996404193563E-2</v>
      </c>
      <c r="K122" s="23">
        <f ca="1">'Index Data'!C231</f>
        <v>-7.8412190762863238E-2</v>
      </c>
      <c r="L122" s="23">
        <f ca="1">'Index Data'!AH231</f>
        <v>4.4800000000000006E-2</v>
      </c>
      <c r="M122" s="23">
        <f ca="1">'Index Data'!V231</f>
        <v>2.9902950884279897E-2</v>
      </c>
      <c r="N122" s="23">
        <f ca="1">'Index Data'!W231</f>
        <v>-1.4152754176431562E-2</v>
      </c>
      <c r="O122" s="23">
        <f ca="1">'Index Data'!R231</f>
        <v>2.6456895167763721E-2</v>
      </c>
      <c r="P122" s="23">
        <f ca="1">'Index Data'!S231</f>
        <v>3.3433466145472886E-3</v>
      </c>
      <c r="Q122" s="23">
        <f ca="1">'Index Data'!U231</f>
        <v>7.4499791422697557E-3</v>
      </c>
      <c r="R122" s="24"/>
      <c r="S122" s="23">
        <f t="shared" ca="1" si="12"/>
        <v>2.0179273017579529E-2</v>
      </c>
      <c r="T122" s="2">
        <f t="shared" ca="1" si="7"/>
        <v>-1.4152754176431562E-2</v>
      </c>
      <c r="U122" s="2">
        <f t="shared" ca="1" si="8"/>
        <v>-1.4152754176431562E-2</v>
      </c>
      <c r="V122" s="2">
        <f t="shared" ca="1" si="9"/>
        <v>-1.4152754176431562E-2</v>
      </c>
      <c r="W122" s="2">
        <f t="shared" ca="1" si="10"/>
        <v>2.6456895167763721E-2</v>
      </c>
      <c r="X122" s="2">
        <v>1.1300000002089527E-2</v>
      </c>
      <c r="Y122" s="2">
        <f t="shared" ca="1" si="13"/>
        <v>-1.4152754176431562E-2</v>
      </c>
      <c r="Z122" s="2">
        <f t="shared" ca="1" si="11"/>
        <v>-6.0164796399126983E-3</v>
      </c>
    </row>
    <row r="123" spans="1:26">
      <c r="A123" s="22">
        <v>35854</v>
      </c>
      <c r="B123" s="25" t="s">
        <v>45</v>
      </c>
      <c r="C123" s="25" t="s">
        <v>47</v>
      </c>
      <c r="D123" s="25" t="s">
        <v>41</v>
      </c>
      <c r="E123" s="25" t="s">
        <v>41</v>
      </c>
      <c r="F123" s="25" t="s">
        <v>39</v>
      </c>
      <c r="H123" s="23">
        <f ca="1">'Index Data'!E232</f>
        <v>-7.5312739341336723E-4</v>
      </c>
      <c r="I123" s="23">
        <f ca="1">'Index Data'!D232</f>
        <v>6.8409917740768433E-2</v>
      </c>
      <c r="J123" s="23">
        <f ca="1">'Index Data'!B232</f>
        <v>6.4398172993806471E-2</v>
      </c>
      <c r="K123" s="23">
        <f ca="1">'Index Data'!C232</f>
        <v>0.10437463000387859</v>
      </c>
      <c r="L123" s="23">
        <f ca="1">'Index Data'!AH232</f>
        <v>-9.1999999999999998E-3</v>
      </c>
      <c r="M123" s="23">
        <f ca="1">'Index Data'!V232</f>
        <v>7.5221861441410118E-2</v>
      </c>
      <c r="N123" s="23">
        <f ca="1">'Index Data'!W232</f>
        <v>6.7322014513867171E-2</v>
      </c>
      <c r="O123" s="23">
        <f ca="1">'Index Data'!R232</f>
        <v>6.4218461634708721E-2</v>
      </c>
      <c r="P123" s="23">
        <f ca="1">'Index Data'!S232</f>
        <v>5.5870820649654908E-2</v>
      </c>
      <c r="Q123" s="23">
        <f ca="1">'Index Data'!U232</f>
        <v>7.1285856323768798E-2</v>
      </c>
      <c r="R123" s="24"/>
      <c r="S123" s="23">
        <f t="shared" ca="1" si="12"/>
        <v>5.4577308713932078E-2</v>
      </c>
      <c r="T123" s="2">
        <f t="shared" ca="1" si="7"/>
        <v>6.7322014513867171E-2</v>
      </c>
      <c r="U123" s="2">
        <f t="shared" ca="1" si="8"/>
        <v>6.7322014513867171E-2</v>
      </c>
      <c r="V123" s="2">
        <f t="shared" ca="1" si="9"/>
        <v>6.7322014513867171E-2</v>
      </c>
      <c r="W123" s="2">
        <f t="shared" ca="1" si="10"/>
        <v>6.4218461634708721E-2</v>
      </c>
      <c r="X123" s="2">
        <v>6.4599999996983071E-2</v>
      </c>
      <c r="Y123" s="2">
        <f t="shared" ca="1" si="13"/>
        <v>6.7322014513867171E-2</v>
      </c>
      <c r="Z123" s="2">
        <f t="shared" ca="1" si="11"/>
        <v>6.6544845144553472E-2</v>
      </c>
    </row>
    <row r="124" spans="1:26">
      <c r="A124" s="22">
        <v>35885</v>
      </c>
      <c r="B124" s="25" t="s">
        <v>45</v>
      </c>
      <c r="C124" s="25" t="s">
        <v>47</v>
      </c>
      <c r="D124" s="25" t="s">
        <v>41</v>
      </c>
      <c r="E124" s="25" t="s">
        <v>41</v>
      </c>
      <c r="F124" s="25" t="s">
        <v>39</v>
      </c>
      <c r="H124" s="23">
        <f ca="1">'Index Data'!E233</f>
        <v>3.4363383196434061E-3</v>
      </c>
      <c r="I124" s="23">
        <f ca="1">'Index Data'!D233</f>
        <v>4.2668249943836507E-2</v>
      </c>
      <c r="J124" s="23">
        <f ca="1">'Index Data'!B233</f>
        <v>3.1017604568363489E-2</v>
      </c>
      <c r="K124" s="23">
        <f ca="1">'Index Data'!C233</f>
        <v>4.3382624768946443E-2</v>
      </c>
      <c r="L124" s="23">
        <f ca="1">'Index Data'!AH233</f>
        <v>1.2999999999999999E-3</v>
      </c>
      <c r="M124" s="23">
        <f ca="1">'Index Data'!V233</f>
        <v>3.9865388238742173E-2</v>
      </c>
      <c r="N124" s="23">
        <f ca="1">'Index Data'!W233</f>
        <v>6.1164716627801936E-2</v>
      </c>
      <c r="O124" s="23">
        <f ca="1">'Index Data'!R233</f>
        <v>6.6515783904532347E-2</v>
      </c>
      <c r="P124" s="23">
        <f ca="1">'Index Data'!S233</f>
        <v>5.8027928387533033E-2</v>
      </c>
      <c r="Q124" s="23">
        <f ca="1">'Index Data'!U233</f>
        <v>5.0434831201670811E-2</v>
      </c>
      <c r="R124" s="24"/>
      <c r="S124" s="23">
        <f t="shared" ca="1" si="12"/>
        <v>3.4821867618997887E-2</v>
      </c>
      <c r="T124" s="2">
        <f t="shared" ca="1" si="7"/>
        <v>6.1164716627801936E-2</v>
      </c>
      <c r="U124" s="2">
        <f t="shared" ca="1" si="8"/>
        <v>6.1164716627801936E-2</v>
      </c>
      <c r="V124" s="2">
        <f t="shared" ca="1" si="9"/>
        <v>6.1164716627801936E-2</v>
      </c>
      <c r="W124" s="2">
        <f t="shared" ca="1" si="10"/>
        <v>6.6515783904532347E-2</v>
      </c>
      <c r="X124" s="2">
        <v>5.2099999996512159E-2</v>
      </c>
      <c r="Y124" s="2">
        <f t="shared" ca="1" si="13"/>
        <v>6.1164716627801936E-2</v>
      </c>
      <c r="Z124" s="2">
        <f t="shared" ca="1" si="11"/>
        <v>5.9753103347298761E-2</v>
      </c>
    </row>
    <row r="125" spans="1:26">
      <c r="A125" s="22">
        <v>35915</v>
      </c>
      <c r="B125" s="25" t="s">
        <v>45</v>
      </c>
      <c r="C125" s="25" t="s">
        <v>47</v>
      </c>
      <c r="D125" s="25" t="s">
        <v>41</v>
      </c>
      <c r="E125" s="25" t="s">
        <v>41</v>
      </c>
      <c r="F125" s="25" t="s">
        <v>39</v>
      </c>
      <c r="H125" s="23">
        <f ca="1">'Index Data'!E234</f>
        <v>5.2196053469128235E-3</v>
      </c>
      <c r="I125" s="23">
        <f ca="1">'Index Data'!D234</f>
        <v>9.372547209012469E-3</v>
      </c>
      <c r="J125" s="23">
        <f ca="1">'Index Data'!B234</f>
        <v>8.1428234358688293E-3</v>
      </c>
      <c r="K125" s="23">
        <f ca="1">'Index Data'!C234</f>
        <v>-1.0895176005810718E-2</v>
      </c>
      <c r="L125" s="23">
        <f ca="1">'Index Data'!AH234</f>
        <v>2.46E-2</v>
      </c>
      <c r="M125" s="23">
        <f ca="1">'Index Data'!V234</f>
        <v>1.3835971512695952E-2</v>
      </c>
      <c r="N125" s="23">
        <f ca="1">'Index Data'!W234</f>
        <v>6.6885933277554552E-3</v>
      </c>
      <c r="O125" s="23">
        <f ca="1">'Index Data'!R234</f>
        <v>4.0760644894584433E-2</v>
      </c>
      <c r="P125" s="23">
        <f ca="1">'Index Data'!S234</f>
        <v>-8.5783489201372281E-3</v>
      </c>
      <c r="Q125" s="23">
        <f ca="1">'Index Data'!U234</f>
        <v>1.0280677114920174E-2</v>
      </c>
      <c r="R125" s="24"/>
      <c r="S125" s="23">
        <f t="shared" ca="1" si="12"/>
        <v>8.5419588365925406E-3</v>
      </c>
      <c r="T125" s="2">
        <f t="shared" ca="1" si="7"/>
        <v>6.6885933277554552E-3</v>
      </c>
      <c r="U125" s="2">
        <f t="shared" ca="1" si="8"/>
        <v>6.6885933277554552E-3</v>
      </c>
      <c r="V125" s="2">
        <f t="shared" ca="1" si="9"/>
        <v>6.6885933277554552E-3</v>
      </c>
      <c r="W125" s="2">
        <f t="shared" ca="1" si="10"/>
        <v>4.0760644894584433E-2</v>
      </c>
      <c r="X125" s="2">
        <v>3.4999999942297855E-3</v>
      </c>
      <c r="Y125" s="2">
        <f t="shared" ca="1" si="13"/>
        <v>6.6885933277554552E-3</v>
      </c>
      <c r="Z125" s="2">
        <f t="shared" ca="1" si="11"/>
        <v>8.6062785285624943E-3</v>
      </c>
    </row>
    <row r="126" spans="1:26">
      <c r="A126" s="22">
        <v>35946</v>
      </c>
      <c r="B126" s="25" t="s">
        <v>45</v>
      </c>
      <c r="C126" s="25" t="s">
        <v>47</v>
      </c>
      <c r="D126" s="25" t="s">
        <v>41</v>
      </c>
      <c r="E126" s="25" t="s">
        <v>41</v>
      </c>
      <c r="F126" s="25" t="s">
        <v>39</v>
      </c>
      <c r="H126" s="23">
        <f ca="1">'Index Data'!E235</f>
        <v>9.4858156028368914E-3</v>
      </c>
      <c r="I126" s="23">
        <f ca="1">'Index Data'!D235</f>
        <v>-1.8973561430793096E-2</v>
      </c>
      <c r="J126" s="23">
        <f ca="1">'Index Data'!B235</f>
        <v>-4.626680341626061E-3</v>
      </c>
      <c r="K126" s="23">
        <f ca="1">'Index Data'!C235</f>
        <v>-0.13703610832497501</v>
      </c>
      <c r="L126" s="23">
        <f ca="1">'Index Data'!AH235</f>
        <v>-5.0700000000000002E-2</v>
      </c>
      <c r="M126" s="23">
        <f ca="1">'Index Data'!V235</f>
        <v>-2.8374058004110487E-2</v>
      </c>
      <c r="N126" s="23">
        <f ca="1">'Index Data'!W235</f>
        <v>-1.4828737515344611E-2</v>
      </c>
      <c r="O126" s="23">
        <f ca="1">'Index Data'!R235</f>
        <v>-2.4414786569219284E-2</v>
      </c>
      <c r="P126" s="23">
        <f ca="1">'Index Data'!S235</f>
        <v>-9.3085858414486758E-3</v>
      </c>
      <c r="Q126" s="23">
        <f ca="1">'Index Data'!U235</f>
        <v>-2.1637402265500913E-2</v>
      </c>
      <c r="R126" s="24"/>
      <c r="S126" s="23">
        <f t="shared" ca="1" si="12"/>
        <v>-1.32816860240671E-2</v>
      </c>
      <c r="T126" s="2">
        <f t="shared" ca="1" si="7"/>
        <v>-1.4828737515344611E-2</v>
      </c>
      <c r="U126" s="2">
        <f t="shared" ca="1" si="8"/>
        <v>-1.4828737515344611E-2</v>
      </c>
      <c r="V126" s="2">
        <f t="shared" ca="1" si="9"/>
        <v>-1.4828737515344611E-2</v>
      </c>
      <c r="W126" s="2">
        <f t="shared" ca="1" si="10"/>
        <v>-2.4414786569219284E-2</v>
      </c>
      <c r="X126" s="2">
        <v>-1.2799999996434441E-2</v>
      </c>
      <c r="Y126" s="2">
        <f t="shared" ca="1" si="13"/>
        <v>-1.4828737515344612E-2</v>
      </c>
      <c r="Z126" s="2">
        <f t="shared" ca="1" si="11"/>
        <v>-1.5141943690603177E-2</v>
      </c>
    </row>
    <row r="127" spans="1:26">
      <c r="A127" s="22">
        <v>35976</v>
      </c>
      <c r="B127" s="25" t="s">
        <v>45</v>
      </c>
      <c r="C127" s="25" t="s">
        <v>47</v>
      </c>
      <c r="D127" s="25" t="s">
        <v>41</v>
      </c>
      <c r="E127" s="25" t="s">
        <v>41</v>
      </c>
      <c r="F127" s="25" t="s">
        <v>39</v>
      </c>
      <c r="H127" s="23">
        <f ca="1">'Index Data'!E236</f>
        <v>8.4808490885596235E-3</v>
      </c>
      <c r="I127" s="23">
        <f ca="1">'Index Data'!D236</f>
        <v>1.8016337797008442E-2</v>
      </c>
      <c r="J127" s="23">
        <f ca="1">'Index Data'!B236</f>
        <v>7.7928218686023299E-3</v>
      </c>
      <c r="K127" s="23">
        <f ca="1">'Index Data'!C236</f>
        <v>-0.10489612087752438</v>
      </c>
      <c r="L127" s="23">
        <f ca="1">'Index Data'!AH236</f>
        <v>1.9799999999999998E-2</v>
      </c>
      <c r="M127" s="23">
        <f ca="1">'Index Data'!V236</f>
        <v>6.1246126452021626E-2</v>
      </c>
      <c r="N127" s="23">
        <f ca="1">'Index Data'!W236</f>
        <v>1.281681434164429E-2</v>
      </c>
      <c r="O127" s="23">
        <f ca="1">'Index Data'!R236</f>
        <v>7.7031648661853303E-2</v>
      </c>
      <c r="P127" s="23">
        <f ca="1">'Index Data'!S236</f>
        <v>3.1384861285534887E-2</v>
      </c>
      <c r="Q127" s="23">
        <f ca="1">'Index Data'!U236</f>
        <v>3.702015950167957E-2</v>
      </c>
      <c r="R127" s="24"/>
      <c r="S127" s="23">
        <f t="shared" ca="1" si="12"/>
        <v>1.6109240055318677E-2</v>
      </c>
      <c r="T127" s="2">
        <f t="shared" ca="1" si="7"/>
        <v>1.281681434164429E-2</v>
      </c>
      <c r="U127" s="2">
        <f t="shared" ca="1" si="8"/>
        <v>1.281681434164429E-2</v>
      </c>
      <c r="V127" s="2">
        <f t="shared" ca="1" si="9"/>
        <v>1.281681434164429E-2</v>
      </c>
      <c r="W127" s="2">
        <f t="shared" ca="1" si="10"/>
        <v>7.7031648661853303E-2</v>
      </c>
      <c r="X127" s="2">
        <v>4.00000000032954E-2</v>
      </c>
      <c r="Y127" s="2">
        <f t="shared" ca="1" si="13"/>
        <v>1.281681434164429E-2</v>
      </c>
      <c r="Z127" s="2">
        <f t="shared" ca="1" si="11"/>
        <v>2.3069564047990189E-2</v>
      </c>
    </row>
    <row r="128" spans="1:26">
      <c r="A128" s="22">
        <v>36007</v>
      </c>
      <c r="B128" s="25" t="s">
        <v>45</v>
      </c>
      <c r="C128" s="25" t="s">
        <v>47</v>
      </c>
      <c r="D128" s="25" t="s">
        <v>41</v>
      </c>
      <c r="E128" s="25" t="s">
        <v>41</v>
      </c>
      <c r="F128" s="25" t="s">
        <v>39</v>
      </c>
      <c r="H128" s="23">
        <f ca="1">'Index Data'!E237</f>
        <v>2.1272625489829229E-3</v>
      </c>
      <c r="I128" s="23">
        <f ca="1">'Index Data'!D237</f>
        <v>3.2671356685710982E-4</v>
      </c>
      <c r="J128" s="23">
        <f ca="1">'Index Data'!B237</f>
        <v>1.0360369286312003E-2</v>
      </c>
      <c r="K128" s="23">
        <f ca="1">'Index Data'!C237</f>
        <v>3.169708071509731E-2</v>
      </c>
      <c r="L128" s="23">
        <f ca="1">'Index Data'!AH237</f>
        <v>-3.9599999999999996E-2</v>
      </c>
      <c r="M128" s="23">
        <f ca="1">'Index Data'!V237</f>
        <v>-6.6199498809612648E-3</v>
      </c>
      <c r="N128" s="23">
        <f ca="1">'Index Data'!W237</f>
        <v>-1.7649931066176391E-2</v>
      </c>
      <c r="O128" s="23">
        <f ca="1">'Index Data'!R237</f>
        <v>1.5574596774193566E-2</v>
      </c>
      <c r="P128" s="23">
        <f ca="1">'Index Data'!S237</f>
        <v>-2.8049900928724069E-2</v>
      </c>
      <c r="Q128" s="23">
        <f ca="1">'Index Data'!U237</f>
        <v>-1.2026254828926693E-2</v>
      </c>
      <c r="R128" s="24"/>
      <c r="S128" s="23">
        <f t="shared" ca="1" si="12"/>
        <v>6.8682336328227246E-4</v>
      </c>
      <c r="T128" s="2">
        <f t="shared" ca="1" si="7"/>
        <v>-1.7649931066176391E-2</v>
      </c>
      <c r="U128" s="2">
        <f t="shared" ca="1" si="8"/>
        <v>-1.7649931066176391E-2</v>
      </c>
      <c r="V128" s="2">
        <f t="shared" ca="1" si="9"/>
        <v>-1.7649931066176391E-2</v>
      </c>
      <c r="W128" s="2">
        <f t="shared" ca="1" si="10"/>
        <v>1.5574596774193566E-2</v>
      </c>
      <c r="X128" s="2">
        <v>-1.939999999666342E-2</v>
      </c>
      <c r="Y128" s="2">
        <f t="shared" ca="1" si="13"/>
        <v>-1.7649931066176391E-2</v>
      </c>
      <c r="Z128" s="2">
        <f t="shared" ca="1" si="11"/>
        <v>-1.5508105264246052E-2</v>
      </c>
    </row>
    <row r="129" spans="1:26">
      <c r="A129" s="22">
        <v>36038</v>
      </c>
      <c r="B129" s="25" t="s">
        <v>45</v>
      </c>
      <c r="C129" s="25" t="s">
        <v>47</v>
      </c>
      <c r="D129" s="25" t="s">
        <v>41</v>
      </c>
      <c r="E129" s="25" t="s">
        <v>41</v>
      </c>
      <c r="F129" s="25" t="s">
        <v>39</v>
      </c>
      <c r="H129" s="23">
        <f ca="1">'Index Data'!E238</f>
        <v>1.6274392968866395E-2</v>
      </c>
      <c r="I129" s="23">
        <f ca="1">'Index Data'!D238</f>
        <v>-0.14010213332275168</v>
      </c>
      <c r="J129" s="23">
        <f ca="1">'Index Data'!B238</f>
        <v>-0.12366864878646569</v>
      </c>
      <c r="K129" s="23">
        <f ca="1">'Index Data'!C238</f>
        <v>-0.28914010877871171</v>
      </c>
      <c r="L129" s="23">
        <f ca="1">'Index Data'!AH238</f>
        <v>-3.4200000000000001E-2</v>
      </c>
      <c r="M129" s="23">
        <f ca="1">'Index Data'!V238</f>
        <v>-0.15007718199684483</v>
      </c>
      <c r="N129" s="23">
        <f ca="1">'Index Data'!W238</f>
        <v>-0.14881657237255674</v>
      </c>
      <c r="O129" s="23">
        <f ca="1">'Index Data'!R238</f>
        <v>-0.15755124323787784</v>
      </c>
      <c r="P129" s="23">
        <f ca="1">'Index Data'!S238</f>
        <v>-8.9858208530265909E-2</v>
      </c>
      <c r="Q129" s="23">
        <f ca="1">'Index Data'!U238</f>
        <v>-0.14947410631343849</v>
      </c>
      <c r="R129" s="24"/>
      <c r="S129" s="23">
        <f t="shared" ca="1" si="12"/>
        <v>-0.10882682806442806</v>
      </c>
      <c r="T129" s="2">
        <f t="shared" ca="1" si="7"/>
        <v>-0.14881657237255674</v>
      </c>
      <c r="U129" s="2">
        <f t="shared" ca="1" si="8"/>
        <v>-0.14881657237255674</v>
      </c>
      <c r="V129" s="2">
        <f t="shared" ca="1" si="9"/>
        <v>-0.14881657237255674</v>
      </c>
      <c r="W129" s="2">
        <f t="shared" ca="1" si="10"/>
        <v>-0.15755124323787784</v>
      </c>
      <c r="X129" s="2">
        <v>-0.12050000000013716</v>
      </c>
      <c r="Y129" s="2">
        <f t="shared" ca="1" si="13"/>
        <v>-0.14881657237255674</v>
      </c>
      <c r="Z129" s="2">
        <f t="shared" ca="1" si="11"/>
        <v>-0.14380835821297192</v>
      </c>
    </row>
    <row r="130" spans="1:26">
      <c r="A130" s="22">
        <v>36068</v>
      </c>
      <c r="B130" s="25" t="s">
        <v>45</v>
      </c>
      <c r="C130" s="25" t="s">
        <v>46</v>
      </c>
      <c r="D130" s="25" t="s">
        <v>41</v>
      </c>
      <c r="E130" s="25" t="s">
        <v>41</v>
      </c>
      <c r="F130" s="25" t="s">
        <v>39</v>
      </c>
      <c r="H130" s="23">
        <f ca="1">'Index Data'!E239</f>
        <v>2.3416028436366393E-2</v>
      </c>
      <c r="I130" s="23">
        <f ca="1">'Index Data'!D239</f>
        <v>1.9892656329868749E-2</v>
      </c>
      <c r="J130" s="23">
        <f ca="1">'Index Data'!B239</f>
        <v>-3.0396926267898354E-2</v>
      </c>
      <c r="K130" s="23">
        <f ca="1">'Index Data'!C239</f>
        <v>6.3454424736792164E-2</v>
      </c>
      <c r="L130" s="23">
        <f ca="1">'Index Data'!AH239</f>
        <v>7.2000000000000008E-2</v>
      </c>
      <c r="M130" s="23">
        <f ca="1">'Index Data'!V239</f>
        <v>7.6819775895988318E-2</v>
      </c>
      <c r="N130" s="23">
        <f ca="1">'Index Data'!W239</f>
        <v>5.7396641104250537E-2</v>
      </c>
      <c r="O130" s="23">
        <f ca="1">'Index Data'!R239</f>
        <v>4.7836460573212787E-2</v>
      </c>
      <c r="P130" s="23">
        <f ca="1">'Index Data'!S239</f>
        <v>5.8487142589000833E-2</v>
      </c>
      <c r="Q130" s="23">
        <f ca="1">'Index Data'!U239</f>
        <v>6.7348720287329258E-2</v>
      </c>
      <c r="R130" s="24"/>
      <c r="S130" s="23">
        <f t="shared" ca="1" si="12"/>
        <v>2.0597330751168277E-2</v>
      </c>
      <c r="T130" s="2">
        <f t="shared" ref="T130:T193" ca="1" si="14">IF(C130="R1G",M130,N130)</f>
        <v>7.6819775895988318E-2</v>
      </c>
      <c r="U130" s="2">
        <f t="shared" ref="U130:U193" ca="1" si="15">IF(E130="EAFE",J130,T130)</f>
        <v>7.6819775895988318E-2</v>
      </c>
      <c r="V130" s="2">
        <f t="shared" ref="V130:V193" ca="1" si="16">IF(D130="EM",K130,T130)</f>
        <v>7.6819775895988318E-2</v>
      </c>
      <c r="W130" s="2">
        <f t="shared" ref="W130:W193" ca="1" si="17">IF(F130="MTM",O130,IF(F130="MVL",P130,Y130))</f>
        <v>4.7836460573212787E-2</v>
      </c>
      <c r="X130" s="2">
        <v>6.1300000001682564E-2</v>
      </c>
      <c r="Y130" s="2">
        <f t="shared" ca="1" si="13"/>
        <v>7.6819775895988318E-2</v>
      </c>
      <c r="Z130" s="2">
        <f t="shared" ref="Z130:Z193" ca="1" si="18">0.2*X130+0.075*W130+0.1*V130+0.25*U130+0.375*T130</f>
        <v>7.1542072067919002E-2</v>
      </c>
    </row>
    <row r="131" spans="1:26">
      <c r="A131" s="22">
        <v>36099</v>
      </c>
      <c r="B131" s="25" t="s">
        <v>45</v>
      </c>
      <c r="C131" s="25" t="s">
        <v>46</v>
      </c>
      <c r="D131" s="25" t="s">
        <v>41</v>
      </c>
      <c r="E131" s="25" t="s">
        <v>41</v>
      </c>
      <c r="F131" s="25" t="s">
        <v>39</v>
      </c>
      <c r="H131" s="23">
        <f ca="1">'Index Data'!E240</f>
        <v>-5.275470256851037E-3</v>
      </c>
      <c r="I131" s="23">
        <f ca="1">'Index Data'!D240</f>
        <v>9.1328015147085481E-2</v>
      </c>
      <c r="J131" s="23">
        <f ca="1">'Index Data'!B240</f>
        <v>0.10452201403966491</v>
      </c>
      <c r="K131" s="23">
        <f ca="1">'Index Data'!C240</f>
        <v>0.1053038411226066</v>
      </c>
      <c r="L131" s="23">
        <f ca="1">'Index Data'!AH240</f>
        <v>-9.1000000000000004E-3</v>
      </c>
      <c r="M131" s="23">
        <f ca="1">'Index Data'!V240</f>
        <v>8.0371114694457874E-2</v>
      </c>
      <c r="N131" s="23">
        <f ca="1">'Index Data'!W240</f>
        <v>7.745971758998571E-2</v>
      </c>
      <c r="O131" s="23">
        <f ca="1">'Index Data'!R240</f>
        <v>9.2935653445028535E-2</v>
      </c>
      <c r="P131" s="23">
        <f ca="1">'Index Data'!S240</f>
        <v>6.0055089905306919E-2</v>
      </c>
      <c r="Q131" s="23">
        <f ca="1">'Index Data'!U240</f>
        <v>7.8984157356849341E-2</v>
      </c>
      <c r="R131" s="24"/>
      <c r="S131" s="23">
        <f t="shared" ref="S131:S194" ca="1" si="19">IF(B131="OW",0.8*I131+0.2*H131,IF(B131="NW",0.6*I131+0.4*H131,0.4*I131+0.6*H131))</f>
        <v>7.2007318066298176E-2</v>
      </c>
      <c r="T131" s="2">
        <f t="shared" ca="1" si="14"/>
        <v>8.0371114694457874E-2</v>
      </c>
      <c r="U131" s="2">
        <f t="shared" ca="1" si="15"/>
        <v>8.0371114694457874E-2</v>
      </c>
      <c r="V131" s="2">
        <f t="shared" ca="1" si="16"/>
        <v>8.0371114694457874E-2</v>
      </c>
      <c r="W131" s="2">
        <f t="shared" ca="1" si="17"/>
        <v>9.2935653445028535E-2</v>
      </c>
      <c r="X131" s="2">
        <v>7.4199999991940713E-2</v>
      </c>
      <c r="Y131" s="2">
        <f t="shared" ref="Y131:Y194" ca="1" si="20">0.25*U131+0.1*V131+0.65*T131</f>
        <v>8.0371114694457874E-2</v>
      </c>
      <c r="Z131" s="2">
        <f t="shared" ca="1" si="18"/>
        <v>8.0079232160247246E-2</v>
      </c>
    </row>
    <row r="132" spans="1:26">
      <c r="A132" s="22">
        <v>36129</v>
      </c>
      <c r="B132" s="25" t="s">
        <v>45</v>
      </c>
      <c r="C132" s="25" t="s">
        <v>46</v>
      </c>
      <c r="D132" s="25" t="s">
        <v>41</v>
      </c>
      <c r="E132" s="25" t="s">
        <v>41</v>
      </c>
      <c r="F132" s="25" t="s">
        <v>39</v>
      </c>
      <c r="H132" s="23">
        <f ca="1">'Index Data'!E241</f>
        <v>5.6634110052554863E-3</v>
      </c>
      <c r="I132" s="23">
        <f ca="1">'Index Data'!D241</f>
        <v>6.0710048603758192E-2</v>
      </c>
      <c r="J132" s="23">
        <f ca="1">'Index Data'!B241</f>
        <v>5.147932444425269E-2</v>
      </c>
      <c r="K132" s="23">
        <f ca="1">'Index Data'!C241</f>
        <v>8.3167464629619714E-2</v>
      </c>
      <c r="L132" s="23">
        <f ca="1">'Index Data'!AH241</f>
        <v>-4.0999999999999995E-3</v>
      </c>
      <c r="M132" s="23">
        <f ca="1">'Index Data'!V241</f>
        <v>7.6063593830800413E-2</v>
      </c>
      <c r="N132" s="23">
        <f ca="1">'Index Data'!W241</f>
        <v>4.6589866961470348E-2</v>
      </c>
      <c r="O132" s="23">
        <f ca="1">'Index Data'!R241</f>
        <v>8.2641014429383458E-2</v>
      </c>
      <c r="P132" s="23">
        <f ca="1">'Index Data'!S241</f>
        <v>4.8511748764902024E-2</v>
      </c>
      <c r="Q132" s="23">
        <f ca="1">'Index Data'!U241</f>
        <v>6.1899524334557782E-2</v>
      </c>
      <c r="R132" s="24"/>
      <c r="S132" s="23">
        <f t="shared" ca="1" si="19"/>
        <v>4.9700721084057653E-2</v>
      </c>
      <c r="T132" s="2">
        <f t="shared" ca="1" si="14"/>
        <v>7.6063593830800413E-2</v>
      </c>
      <c r="U132" s="2">
        <f t="shared" ca="1" si="15"/>
        <v>7.6063593830800413E-2</v>
      </c>
      <c r="V132" s="2">
        <f t="shared" ca="1" si="16"/>
        <v>7.6063593830800413E-2</v>
      </c>
      <c r="W132" s="2">
        <f t="shared" ca="1" si="17"/>
        <v>8.2641014429383458E-2</v>
      </c>
      <c r="X132" s="2">
        <v>4.7900000008404886E-2</v>
      </c>
      <c r="Y132" s="2">
        <f t="shared" ca="1" si="20"/>
        <v>7.6063593830800413E-2</v>
      </c>
      <c r="Z132" s="2">
        <f t="shared" ca="1" si="18"/>
        <v>7.092418161121504E-2</v>
      </c>
    </row>
    <row r="133" spans="1:26">
      <c r="A133" s="22">
        <v>36160</v>
      </c>
      <c r="B133" s="25" t="s">
        <v>45</v>
      </c>
      <c r="C133" s="25" t="s">
        <v>46</v>
      </c>
      <c r="D133" s="25" t="s">
        <v>41</v>
      </c>
      <c r="E133" s="25" t="s">
        <v>41</v>
      </c>
      <c r="F133" s="25" t="s">
        <v>39</v>
      </c>
      <c r="H133" s="23">
        <f ca="1">'Index Data'!E242</f>
        <v>3.0066575989691241E-3</v>
      </c>
      <c r="I133" s="23">
        <f ca="1">'Index Data'!D242</f>
        <v>4.6441285418771426E-2</v>
      </c>
      <c r="J133" s="23">
        <f ca="1">'Index Data'!B242</f>
        <v>3.9691716195029328E-2</v>
      </c>
      <c r="K133" s="23">
        <f ca="1">'Index Data'!C242</f>
        <v>-1.4502110752421096E-2</v>
      </c>
      <c r="L133" s="23">
        <f ca="1">'Index Data'!AH242</f>
        <v>-1.1299999999999999E-2</v>
      </c>
      <c r="M133" s="23">
        <f ca="1">'Index Data'!V242</f>
        <v>9.0171569911379493E-2</v>
      </c>
      <c r="N133" s="23">
        <f ca="1">'Index Data'!W242</f>
        <v>3.4036893707327841E-2</v>
      </c>
      <c r="O133" s="23">
        <f ca="1">'Index Data'!R242</f>
        <v>0.10232348189679748</v>
      </c>
      <c r="P133" s="23">
        <f ca="1">'Index Data'!S242</f>
        <v>4.0927897552622244E-2</v>
      </c>
      <c r="Q133" s="23">
        <f ca="1">'Index Data'!U242</f>
        <v>6.3698733626347162E-2</v>
      </c>
      <c r="R133" s="24"/>
      <c r="S133" s="23">
        <f t="shared" ca="1" si="19"/>
        <v>3.7754359854810966E-2</v>
      </c>
      <c r="T133" s="2">
        <f t="shared" ca="1" si="14"/>
        <v>9.0171569911379493E-2</v>
      </c>
      <c r="U133" s="2">
        <f t="shared" ca="1" si="15"/>
        <v>9.0171569911379493E-2</v>
      </c>
      <c r="V133" s="2">
        <f t="shared" ca="1" si="16"/>
        <v>9.0171569911379493E-2</v>
      </c>
      <c r="W133" s="2">
        <f t="shared" ca="1" si="17"/>
        <v>0.10232348189679748</v>
      </c>
      <c r="X133" s="2">
        <v>5.3299999997167724E-2</v>
      </c>
      <c r="Y133" s="2">
        <f t="shared" ca="1" si="20"/>
        <v>9.0171569911379507E-2</v>
      </c>
      <c r="Z133" s="2">
        <f t="shared" ca="1" si="18"/>
        <v>8.3708649327443485E-2</v>
      </c>
    </row>
    <row r="134" spans="1:26">
      <c r="A134" s="22">
        <v>36191</v>
      </c>
      <c r="B134" s="25" t="s">
        <v>45</v>
      </c>
      <c r="C134" s="25" t="s">
        <v>46</v>
      </c>
      <c r="D134" s="25" t="s">
        <v>41</v>
      </c>
      <c r="E134" s="25" t="s">
        <v>41</v>
      </c>
      <c r="F134" s="25" t="s">
        <v>39</v>
      </c>
      <c r="H134" s="23">
        <f ca="1">'Index Data'!E243</f>
        <v>7.1372493041181933E-3</v>
      </c>
      <c r="I134" s="23">
        <f ca="1">'Index Data'!D243</f>
        <v>2.043742349973279E-2</v>
      </c>
      <c r="J134" s="23">
        <f ca="1">'Index Data'!B243</f>
        <v>-2.726755595568267E-3</v>
      </c>
      <c r="K134" s="23">
        <f ca="1">'Index Data'!C243</f>
        <v>-1.6126593761024124E-2</v>
      </c>
      <c r="L134" s="23">
        <f ca="1">'Index Data'!AH243</f>
        <v>-0.01</v>
      </c>
      <c r="M134" s="23">
        <f ca="1">'Index Data'!V243</f>
        <v>5.8716734843958306E-2</v>
      </c>
      <c r="N134" s="23">
        <f ca="1">'Index Data'!W243</f>
        <v>7.9841941280536146E-3</v>
      </c>
      <c r="O134" s="23">
        <f ca="1">'Index Data'!R243</f>
        <v>4.3018168495010632E-2</v>
      </c>
      <c r="P134" s="23">
        <f ca="1">'Index Data'!S243</f>
        <v>1.5173654040687896E-2</v>
      </c>
      <c r="Q134" s="23">
        <f ca="1">'Index Data'!U243</f>
        <v>3.5682109090765232E-2</v>
      </c>
      <c r="R134" s="24"/>
      <c r="S134" s="23">
        <f t="shared" ca="1" si="19"/>
        <v>1.777738866060987E-2</v>
      </c>
      <c r="T134" s="2">
        <f t="shared" ca="1" si="14"/>
        <v>5.8716734843958306E-2</v>
      </c>
      <c r="U134" s="2">
        <f t="shared" ca="1" si="15"/>
        <v>5.8716734843958306E-2</v>
      </c>
      <c r="V134" s="2">
        <f t="shared" ca="1" si="16"/>
        <v>5.8716734843958306E-2</v>
      </c>
      <c r="W134" s="2">
        <f t="shared" ca="1" si="17"/>
        <v>4.3018168495010632E-2</v>
      </c>
      <c r="X134" s="2">
        <v>-8.0000000098106039E-3</v>
      </c>
      <c r="Y134" s="2">
        <f t="shared" ca="1" si="20"/>
        <v>5.8716734843958306E-2</v>
      </c>
      <c r="Z134" s="2">
        <f t="shared" ca="1" si="18"/>
        <v>4.419599539703345E-2</v>
      </c>
    </row>
    <row r="135" spans="1:26">
      <c r="A135" s="22">
        <v>36219</v>
      </c>
      <c r="B135" s="25" t="s">
        <v>45</v>
      </c>
      <c r="C135" s="25" t="s">
        <v>46</v>
      </c>
      <c r="D135" s="25" t="s">
        <v>41</v>
      </c>
      <c r="E135" s="25" t="s">
        <v>41</v>
      </c>
      <c r="F135" s="25" t="s">
        <v>39</v>
      </c>
      <c r="H135" s="23">
        <f ca="1">'Index Data'!E244</f>
        <v>-1.7456830368743029E-2</v>
      </c>
      <c r="I135" s="23">
        <f ca="1">'Index Data'!D244</f>
        <v>-2.5132971609259126E-2</v>
      </c>
      <c r="J135" s="23">
        <f ca="1">'Index Data'!B244</f>
        <v>-2.3601275099541699E-2</v>
      </c>
      <c r="K135" s="23">
        <f ca="1">'Index Data'!C244</f>
        <v>9.7321108436203754E-3</v>
      </c>
      <c r="L135" s="23">
        <f ca="1">'Index Data'!AH244</f>
        <v>6.9999999999999993E-3</v>
      </c>
      <c r="M135" s="23">
        <f ca="1">'Index Data'!V244</f>
        <v>-4.568246444562412E-2</v>
      </c>
      <c r="N135" s="23">
        <f ca="1">'Index Data'!W244</f>
        <v>-1.411444957562227E-2</v>
      </c>
      <c r="O135" s="23">
        <f ca="1">'Index Data'!R244</f>
        <v>-2.4651306953197658E-2</v>
      </c>
      <c r="P135" s="23">
        <f ca="1">'Index Data'!S244</f>
        <v>-2.58575569691601E-2</v>
      </c>
      <c r="Q135" s="23">
        <f ca="1">'Index Data'!U244</f>
        <v>-3.1736456486010041E-2</v>
      </c>
      <c r="R135" s="24"/>
      <c r="S135" s="23">
        <f t="shared" ca="1" si="19"/>
        <v>-2.3597743361155908E-2</v>
      </c>
      <c r="T135" s="2">
        <f t="shared" ca="1" si="14"/>
        <v>-4.568246444562412E-2</v>
      </c>
      <c r="U135" s="2">
        <f t="shared" ca="1" si="15"/>
        <v>-4.568246444562412E-2</v>
      </c>
      <c r="V135" s="2">
        <f t="shared" ca="1" si="16"/>
        <v>-4.568246444562412E-2</v>
      </c>
      <c r="W135" s="2">
        <f t="shared" ca="1" si="17"/>
        <v>-2.4651306953197658E-2</v>
      </c>
      <c r="X135" s="2">
        <v>-2.8499999993789604E-2</v>
      </c>
      <c r="Y135" s="2">
        <f t="shared" ca="1" si="20"/>
        <v>-4.568246444562412E-2</v>
      </c>
      <c r="Z135" s="2">
        <f t="shared" ca="1" si="18"/>
        <v>-4.066863474332523E-2</v>
      </c>
    </row>
    <row r="136" spans="1:26">
      <c r="A136" s="22">
        <v>36250</v>
      </c>
      <c r="B136" s="25" t="s">
        <v>45</v>
      </c>
      <c r="C136" s="25" t="s">
        <v>46</v>
      </c>
      <c r="D136" s="25" t="s">
        <v>41</v>
      </c>
      <c r="E136" s="25" t="s">
        <v>41</v>
      </c>
      <c r="F136" s="25" t="s">
        <v>39</v>
      </c>
      <c r="H136" s="23">
        <f ca="1">'Index Data'!E245</f>
        <v>5.5416646631725897E-3</v>
      </c>
      <c r="I136" s="23">
        <f ca="1">'Index Data'!D245</f>
        <v>4.4979420896815593E-2</v>
      </c>
      <c r="J136" s="23">
        <f ca="1">'Index Data'!B245</f>
        <v>4.1984262709092522E-2</v>
      </c>
      <c r="K136" s="23">
        <f ca="1">'Index Data'!C245</f>
        <v>0.13176583980114642</v>
      </c>
      <c r="L136" s="23">
        <f ca="1">'Index Data'!AH245</f>
        <v>-2.9500000000000002E-2</v>
      </c>
      <c r="M136" s="23">
        <f ca="1">'Index Data'!V245</f>
        <v>5.2664445864324269E-2</v>
      </c>
      <c r="N136" s="23">
        <f ca="1">'Index Data'!W245</f>
        <v>2.0694472674091267E-2</v>
      </c>
      <c r="O136" s="23">
        <f ca="1">'Index Data'!R245</f>
        <v>5.7878903436295065E-2</v>
      </c>
      <c r="P136" s="23">
        <f ca="1">'Index Data'!S245</f>
        <v>2.1739355052023561E-2</v>
      </c>
      <c r="Q136" s="23">
        <f ca="1">'Index Data'!U245</f>
        <v>3.8317508103320054E-2</v>
      </c>
      <c r="R136" s="24"/>
      <c r="S136" s="23">
        <f t="shared" ca="1" si="19"/>
        <v>3.7091869650086991E-2</v>
      </c>
      <c r="T136" s="2">
        <f t="shared" ca="1" si="14"/>
        <v>5.2664445864324269E-2</v>
      </c>
      <c r="U136" s="2">
        <f t="shared" ca="1" si="15"/>
        <v>5.2664445864324269E-2</v>
      </c>
      <c r="V136" s="2">
        <f t="shared" ca="1" si="16"/>
        <v>5.2664445864324269E-2</v>
      </c>
      <c r="W136" s="2">
        <f t="shared" ca="1" si="17"/>
        <v>5.7878903436295065E-2</v>
      </c>
      <c r="X136" s="2">
        <v>1.5100000007589376E-2</v>
      </c>
      <c r="Y136" s="2">
        <f t="shared" ca="1" si="20"/>
        <v>5.2664445864324269E-2</v>
      </c>
      <c r="Z136" s="2">
        <f t="shared" ca="1" si="18"/>
        <v>4.5542641010875101E-2</v>
      </c>
    </row>
    <row r="137" spans="1:26">
      <c r="A137" s="22">
        <v>36280</v>
      </c>
      <c r="B137" s="25" t="s">
        <v>45</v>
      </c>
      <c r="C137" s="25" t="s">
        <v>46</v>
      </c>
      <c r="D137" s="25" t="s">
        <v>41</v>
      </c>
      <c r="E137" s="25" t="s">
        <v>41</v>
      </c>
      <c r="F137" s="25" t="s">
        <v>39</v>
      </c>
      <c r="H137" s="23">
        <f ca="1">'Index Data'!E246</f>
        <v>3.1679996174490757E-3</v>
      </c>
      <c r="I137" s="23">
        <f ca="1">'Index Data'!D246</f>
        <v>4.3203666134141082E-2</v>
      </c>
      <c r="J137" s="23">
        <f ca="1">'Index Data'!B246</f>
        <v>4.0748723649100892E-2</v>
      </c>
      <c r="K137" s="23">
        <f ca="1">'Index Data'!C246</f>
        <v>0.12373097868716533</v>
      </c>
      <c r="L137" s="23">
        <f ca="1">'Index Data'!AH246</f>
        <v>2.86E-2</v>
      </c>
      <c r="M137" s="23">
        <f ca="1">'Index Data'!V246</f>
        <v>1.2787824262686868E-3</v>
      </c>
      <c r="N137" s="23">
        <f ca="1">'Index Data'!W246</f>
        <v>9.340001602215646E-2</v>
      </c>
      <c r="O137" s="23">
        <f ca="1">'Index Data'!R246</f>
        <v>2.9438859294268981E-3</v>
      </c>
      <c r="P137" s="23">
        <f ca="1">'Index Data'!S246</f>
        <v>4.4778383407323596E-2</v>
      </c>
      <c r="Q137" s="23">
        <f ca="1">'Index Data'!U246</f>
        <v>4.1822958090781563E-2</v>
      </c>
      <c r="R137" s="24"/>
      <c r="S137" s="23">
        <f t="shared" ca="1" si="19"/>
        <v>3.5196532830802686E-2</v>
      </c>
      <c r="T137" s="2">
        <f t="shared" ca="1" si="14"/>
        <v>1.2787824262686868E-3</v>
      </c>
      <c r="U137" s="2">
        <f t="shared" ca="1" si="15"/>
        <v>1.2787824262686868E-3</v>
      </c>
      <c r="V137" s="2">
        <f t="shared" ca="1" si="16"/>
        <v>1.2787824262686868E-3</v>
      </c>
      <c r="W137" s="2">
        <f t="shared" ca="1" si="17"/>
        <v>2.9438859294268981E-3</v>
      </c>
      <c r="X137" s="2">
        <v>6.9299999991289551E-2</v>
      </c>
      <c r="Y137" s="2">
        <f t="shared" ca="1" si="20"/>
        <v>1.2787824262686868E-3</v>
      </c>
      <c r="Z137" s="2">
        <f t="shared" ca="1" si="18"/>
        <v>1.5007908702009727E-2</v>
      </c>
    </row>
    <row r="138" spans="1:26">
      <c r="A138" s="22">
        <v>36311</v>
      </c>
      <c r="B138" s="25" t="s">
        <v>45</v>
      </c>
      <c r="C138" s="25" t="s">
        <v>46</v>
      </c>
      <c r="D138" s="25" t="s">
        <v>41</v>
      </c>
      <c r="E138" s="25" t="s">
        <v>41</v>
      </c>
      <c r="F138" s="25" t="s">
        <v>39</v>
      </c>
      <c r="H138" s="23">
        <f ca="1">'Index Data'!E247</f>
        <v>-8.7589675143599673E-3</v>
      </c>
      <c r="I138" s="23">
        <f ca="1">'Index Data'!D247</f>
        <v>-3.5336447384806124E-2</v>
      </c>
      <c r="J138" s="23">
        <f ca="1">'Index Data'!B247</f>
        <v>-5.1279678030811751E-2</v>
      </c>
      <c r="K138" s="23">
        <f ca="1">'Index Data'!C247</f>
        <v>-5.8234613697100554E-3</v>
      </c>
      <c r="L138" s="23">
        <f ca="1">'Index Data'!AH247</f>
        <v>-6.0499999999999998E-2</v>
      </c>
      <c r="M138" s="23">
        <f ca="1">'Index Data'!V247</f>
        <v>-3.0732016424413686E-2</v>
      </c>
      <c r="N138" s="23">
        <f ca="1">'Index Data'!W247</f>
        <v>-1.099013818267075E-2</v>
      </c>
      <c r="O138" s="23">
        <f ca="1">'Index Data'!R247</f>
        <v>-2.7515425011481458E-2</v>
      </c>
      <c r="P138" s="23">
        <f ca="1">'Index Data'!S247</f>
        <v>-8.5369984997339821E-3</v>
      </c>
      <c r="Q138" s="23">
        <f ca="1">'Index Data'!U247</f>
        <v>-2.1618898837151099E-2</v>
      </c>
      <c r="R138" s="24"/>
      <c r="S138" s="23">
        <f t="shared" ca="1" si="19"/>
        <v>-3.0020951410716892E-2</v>
      </c>
      <c r="T138" s="2">
        <f t="shared" ca="1" si="14"/>
        <v>-3.0732016424413686E-2</v>
      </c>
      <c r="U138" s="2">
        <f t="shared" ca="1" si="15"/>
        <v>-3.0732016424413686E-2</v>
      </c>
      <c r="V138" s="2">
        <f t="shared" ca="1" si="16"/>
        <v>-3.0732016424413686E-2</v>
      </c>
      <c r="W138" s="2">
        <f t="shared" ca="1" si="17"/>
        <v>-2.7515425011481458E-2</v>
      </c>
      <c r="X138" s="2">
        <v>3.5000000022260558E-3</v>
      </c>
      <c r="Y138" s="2">
        <f t="shared" ca="1" si="20"/>
        <v>-3.0732016424413686E-2</v>
      </c>
      <c r="Z138" s="2">
        <f t="shared" ca="1" si="18"/>
        <v>-2.3644368783115821E-2</v>
      </c>
    </row>
    <row r="139" spans="1:26">
      <c r="A139" s="22">
        <v>36341</v>
      </c>
      <c r="B139" s="25" t="s">
        <v>45</v>
      </c>
      <c r="C139" s="25" t="s">
        <v>46</v>
      </c>
      <c r="D139" s="25" t="s">
        <v>41</v>
      </c>
      <c r="E139" s="25" t="s">
        <v>41</v>
      </c>
      <c r="F139" s="25" t="s">
        <v>39</v>
      </c>
      <c r="H139" s="23">
        <f ca="1">'Index Data'!E248</f>
        <v>-3.1859002873321119E-3</v>
      </c>
      <c r="I139" s="23">
        <f ca="1">'Index Data'!D248</f>
        <v>4.9786867055579387E-2</v>
      </c>
      <c r="J139" s="23">
        <f ca="1">'Index Data'!B248</f>
        <v>3.9217738001627991E-2</v>
      </c>
      <c r="K139" s="23">
        <f ca="1">'Index Data'!C248</f>
        <v>0.11350050150451363</v>
      </c>
      <c r="L139" s="23">
        <f ca="1">'Index Data'!AH248</f>
        <v>-2.5099999999999997E-2</v>
      </c>
      <c r="M139" s="23">
        <f ca="1">'Index Data'!V248</f>
        <v>7.0045581139285648E-2</v>
      </c>
      <c r="N139" s="23">
        <f ca="1">'Index Data'!W248</f>
        <v>2.903158211116063E-2</v>
      </c>
      <c r="O139" s="23">
        <f ca="1">'Index Data'!R248</f>
        <v>8.1083300823357921E-2</v>
      </c>
      <c r="P139" s="23">
        <f ca="1">'Index Data'!S248</f>
        <v>1.808987338064879E-2</v>
      </c>
      <c r="Q139" s="23">
        <f ca="1">'Index Data'!U248</f>
        <v>5.0957776702438631E-2</v>
      </c>
      <c r="R139" s="24"/>
      <c r="S139" s="23">
        <f t="shared" ca="1" si="19"/>
        <v>3.9192313586997089E-2</v>
      </c>
      <c r="T139" s="2">
        <f t="shared" ca="1" si="14"/>
        <v>7.0045581139285648E-2</v>
      </c>
      <c r="U139" s="2">
        <f t="shared" ca="1" si="15"/>
        <v>7.0045581139285648E-2</v>
      </c>
      <c r="V139" s="2">
        <f t="shared" ca="1" si="16"/>
        <v>7.0045581139285648E-2</v>
      </c>
      <c r="W139" s="2">
        <f t="shared" ca="1" si="17"/>
        <v>8.1083300823357921E-2</v>
      </c>
      <c r="X139" s="2">
        <v>2.8499999994784808E-2</v>
      </c>
      <c r="Y139" s="2">
        <f t="shared" ca="1" si="20"/>
        <v>7.0045581139285648E-2</v>
      </c>
      <c r="Z139" s="2">
        <f t="shared" ca="1" si="18"/>
        <v>6.2564293886690894E-2</v>
      </c>
    </row>
    <row r="140" spans="1:26">
      <c r="A140" s="22">
        <v>36372</v>
      </c>
      <c r="B140" s="25" t="s">
        <v>45</v>
      </c>
      <c r="C140" s="25" t="s">
        <v>46</v>
      </c>
      <c r="D140" s="25" t="s">
        <v>32</v>
      </c>
      <c r="E140" s="25" t="s">
        <v>41</v>
      </c>
      <c r="F140" s="25" t="s">
        <v>39</v>
      </c>
      <c r="H140" s="23">
        <f ca="1">'Index Data'!E249</f>
        <v>-4.2574233543189004E-3</v>
      </c>
      <c r="I140" s="23">
        <f ca="1">'Index Data'!D249</f>
        <v>-4.0866623584908442E-3</v>
      </c>
      <c r="J140" s="23">
        <f ca="1">'Index Data'!B249</f>
        <v>2.9953579281700459E-2</v>
      </c>
      <c r="K140" s="23">
        <f ca="1">'Index Data'!C249</f>
        <v>-2.7167255170425956E-2</v>
      </c>
      <c r="L140" s="23">
        <f ca="1">'Index Data'!AH249</f>
        <v>-2.5399999999999999E-2</v>
      </c>
      <c r="M140" s="23">
        <f ca="1">'Index Data'!V249</f>
        <v>-3.178158060495094E-2</v>
      </c>
      <c r="N140" s="23">
        <f ca="1">'Index Data'!W249</f>
        <v>-2.9275948388105214E-2</v>
      </c>
      <c r="O140" s="23">
        <f ca="1">'Index Data'!R249</f>
        <v>-3.3256096634505794E-2</v>
      </c>
      <c r="P140" s="23">
        <f ca="1">'Index Data'!S249</f>
        <v>-2.3080758682852864E-2</v>
      </c>
      <c r="Q140" s="23">
        <f ca="1">'Index Data'!U249</f>
        <v>-3.053197093341891E-2</v>
      </c>
      <c r="R140" s="24"/>
      <c r="S140" s="23">
        <f t="shared" ca="1" si="19"/>
        <v>-4.1208145576564553E-3</v>
      </c>
      <c r="T140" s="2">
        <f t="shared" ca="1" si="14"/>
        <v>-3.178158060495094E-2</v>
      </c>
      <c r="U140" s="2">
        <f t="shared" ca="1" si="15"/>
        <v>-3.178158060495094E-2</v>
      </c>
      <c r="V140" s="2">
        <f t="shared" ca="1" si="16"/>
        <v>-2.7167255170425956E-2</v>
      </c>
      <c r="W140" s="2">
        <f t="shared" ca="1" si="17"/>
        <v>-3.3256096634505794E-2</v>
      </c>
      <c r="X140" s="2">
        <v>-1.6599999992013892E-2</v>
      </c>
      <c r="Y140" s="2">
        <f t="shared" ca="1" si="20"/>
        <v>-3.1320148061498444E-2</v>
      </c>
      <c r="Z140" s="2">
        <f t="shared" ca="1" si="18"/>
        <v>-2.8394420641127648E-2</v>
      </c>
    </row>
    <row r="141" spans="1:26">
      <c r="A141" s="22">
        <v>36403</v>
      </c>
      <c r="B141" s="25" t="s">
        <v>45</v>
      </c>
      <c r="C141" s="25" t="s">
        <v>46</v>
      </c>
      <c r="D141" s="25" t="s">
        <v>32</v>
      </c>
      <c r="E141" s="25" t="s">
        <v>41</v>
      </c>
      <c r="F141" s="25" t="s">
        <v>39</v>
      </c>
      <c r="H141" s="23">
        <f ca="1">'Index Data'!E250</f>
        <v>-5.0871476847416945E-4</v>
      </c>
      <c r="I141" s="23">
        <f ca="1">'Index Data'!D250</f>
        <v>-1.2005558810162264E-3</v>
      </c>
      <c r="J141" s="23">
        <f ca="1">'Index Data'!B250</f>
        <v>3.8753604936354914E-3</v>
      </c>
      <c r="K141" s="23">
        <f ca="1">'Index Data'!C250</f>
        <v>9.0925925925925341E-3</v>
      </c>
      <c r="L141" s="23">
        <f ca="1">'Index Data'!AH250</f>
        <v>-8.0000000000000004E-4</v>
      </c>
      <c r="M141" s="23">
        <f ca="1">'Index Data'!V250</f>
        <v>1.6338164647595268E-2</v>
      </c>
      <c r="N141" s="23">
        <f ca="1">'Index Data'!W250</f>
        <v>-3.7113240410735486E-2</v>
      </c>
      <c r="O141" s="23">
        <f ca="1">'Index Data'!R250</f>
        <v>-4.3221154790671866E-3</v>
      </c>
      <c r="P141" s="23">
        <f ca="1">'Index Data'!S250</f>
        <v>-1.6892588266472896E-2</v>
      </c>
      <c r="Q141" s="23">
        <f ca="1">'Index Data'!U250</f>
        <v>-9.3696463998559701E-3</v>
      </c>
      <c r="R141" s="24"/>
      <c r="S141" s="23">
        <f t="shared" ca="1" si="19"/>
        <v>-1.0621876585078151E-3</v>
      </c>
      <c r="T141" s="2">
        <f t="shared" ca="1" si="14"/>
        <v>1.6338164647595268E-2</v>
      </c>
      <c r="U141" s="2">
        <f t="shared" ca="1" si="15"/>
        <v>1.6338164647595268E-2</v>
      </c>
      <c r="V141" s="2">
        <f t="shared" ca="1" si="16"/>
        <v>9.0925925925925341E-3</v>
      </c>
      <c r="W141" s="2">
        <f t="shared" ca="1" si="17"/>
        <v>-4.3221154790671866E-3</v>
      </c>
      <c r="X141" s="2">
        <v>-2.5400000006623569E-2</v>
      </c>
      <c r="Y141" s="2">
        <f t="shared" ca="1" si="20"/>
        <v>1.5613607442094994E-2</v>
      </c>
      <c r="Z141" s="2">
        <f t="shared" ca="1" si="18"/>
        <v>5.7164535017515429E-3</v>
      </c>
    </row>
    <row r="142" spans="1:26">
      <c r="A142" s="22">
        <v>36433</v>
      </c>
      <c r="B142" s="25" t="s">
        <v>45</v>
      </c>
      <c r="C142" s="25" t="s">
        <v>46</v>
      </c>
      <c r="D142" s="25" t="s">
        <v>32</v>
      </c>
      <c r="E142" s="25" t="s">
        <v>41</v>
      </c>
      <c r="F142" s="25" t="s">
        <v>39</v>
      </c>
      <c r="H142" s="23">
        <f ca="1">'Index Data'!E251</f>
        <v>1.1609447521176852E-2</v>
      </c>
      <c r="I142" s="23">
        <f ca="1">'Index Data'!D251</f>
        <v>-1.0781167806417647E-2</v>
      </c>
      <c r="J142" s="23">
        <f ca="1">'Index Data'!B251</f>
        <v>1.0288576217552596E-2</v>
      </c>
      <c r="K142" s="23">
        <f ca="1">'Index Data'!C251</f>
        <v>-3.3840450716631998E-2</v>
      </c>
      <c r="L142" s="23">
        <f ca="1">'Index Data'!AH251</f>
        <v>0.1605</v>
      </c>
      <c r="M142" s="23">
        <f ca="1">'Index Data'!V251</f>
        <v>-2.1006012702025244E-2</v>
      </c>
      <c r="N142" s="23">
        <f ca="1">'Index Data'!W251</f>
        <v>-3.4945721899832527E-2</v>
      </c>
      <c r="O142" s="23">
        <f ca="1">'Index Data'!R251</f>
        <v>-2.3480199680353539E-3</v>
      </c>
      <c r="P142" s="23">
        <f ca="1">'Index Data'!S251</f>
        <v>-3.5384093132850153E-2</v>
      </c>
      <c r="Q142" s="23">
        <f ca="1">'Index Data'!U251</f>
        <v>-2.74960875271066E-2</v>
      </c>
      <c r="R142" s="24"/>
      <c r="S142" s="23">
        <f t="shared" ca="1" si="19"/>
        <v>-6.3030447408987476E-3</v>
      </c>
      <c r="T142" s="2">
        <f t="shared" ca="1" si="14"/>
        <v>-2.1006012702025244E-2</v>
      </c>
      <c r="U142" s="2">
        <f t="shared" ca="1" si="15"/>
        <v>-2.1006012702025244E-2</v>
      </c>
      <c r="V142" s="2">
        <f t="shared" ca="1" si="16"/>
        <v>-3.3840450716631998E-2</v>
      </c>
      <c r="W142" s="2">
        <f t="shared" ca="1" si="17"/>
        <v>-2.3480199680353539E-3</v>
      </c>
      <c r="X142" s="2">
        <v>-3.5699999996422038E-2</v>
      </c>
      <c r="Y142" s="2">
        <f t="shared" ca="1" si="20"/>
        <v>-2.2289456503485919E-2</v>
      </c>
      <c r="Z142" s="2">
        <f t="shared" ca="1" si="18"/>
        <v>-2.3828904507316038E-2</v>
      </c>
    </row>
    <row r="143" spans="1:26">
      <c r="A143" s="22">
        <v>36464</v>
      </c>
      <c r="B143" s="25" t="s">
        <v>45</v>
      </c>
      <c r="C143" s="25" t="s">
        <v>46</v>
      </c>
      <c r="D143" s="25" t="s">
        <v>32</v>
      </c>
      <c r="E143" s="25" t="s">
        <v>41</v>
      </c>
      <c r="F143" s="25" t="s">
        <v>39</v>
      </c>
      <c r="H143" s="23">
        <f ca="1">'Index Data'!E252</f>
        <v>3.6896390622567186E-3</v>
      </c>
      <c r="I143" s="23">
        <f ca="1">'Index Data'!D252</f>
        <v>5.0645970098457602E-2</v>
      </c>
      <c r="J143" s="23">
        <f ca="1">'Index Data'!B252</f>
        <v>3.7674472800345075E-2</v>
      </c>
      <c r="K143" s="23">
        <f ca="1">'Index Data'!C252</f>
        <v>2.129276122096211E-2</v>
      </c>
      <c r="L143" s="23">
        <f ca="1">'Index Data'!AH252</f>
        <v>8.1000000000000013E-3</v>
      </c>
      <c r="M143" s="23">
        <f ca="1">'Index Data'!V252</f>
        <v>7.5516783689113021E-2</v>
      </c>
      <c r="N143" s="23">
        <f ca="1">'Index Data'!W252</f>
        <v>5.7557024574781228E-2</v>
      </c>
      <c r="O143" s="23">
        <f ca="1">'Index Data'!R252</f>
        <v>8.2829002017325251E-2</v>
      </c>
      <c r="P143" s="23">
        <f ca="1">'Index Data'!S252</f>
        <v>6.0291469145258569E-2</v>
      </c>
      <c r="Q143" s="23">
        <f ca="1">'Index Data'!U252</f>
        <v>6.7221816041094895E-2</v>
      </c>
      <c r="R143" s="24"/>
      <c r="S143" s="23">
        <f t="shared" ca="1" si="19"/>
        <v>4.1254703891217423E-2</v>
      </c>
      <c r="T143" s="2">
        <f t="shared" ca="1" si="14"/>
        <v>7.5516783689113021E-2</v>
      </c>
      <c r="U143" s="2">
        <f t="shared" ca="1" si="15"/>
        <v>7.5516783689113021E-2</v>
      </c>
      <c r="V143" s="2">
        <f t="shared" ca="1" si="16"/>
        <v>2.129276122096211E-2</v>
      </c>
      <c r="W143" s="2">
        <f t="shared" ca="1" si="17"/>
        <v>8.2829002017325251E-2</v>
      </c>
      <c r="X143" s="2">
        <v>4.0799999998035075E-2</v>
      </c>
      <c r="Y143" s="2">
        <f t="shared" ca="1" si="20"/>
        <v>7.0094381442297932E-2</v>
      </c>
      <c r="Z143" s="2">
        <f t="shared" ca="1" si="18"/>
        <v>6.3699441078698266E-2</v>
      </c>
    </row>
    <row r="144" spans="1:26">
      <c r="A144" s="22">
        <v>36494</v>
      </c>
      <c r="B144" s="25" t="s">
        <v>45</v>
      </c>
      <c r="C144" s="25" t="s">
        <v>46</v>
      </c>
      <c r="D144" s="25" t="s">
        <v>32</v>
      </c>
      <c r="E144" s="25" t="s">
        <v>41</v>
      </c>
      <c r="F144" s="25" t="s">
        <v>39</v>
      </c>
      <c r="H144" s="23">
        <f ca="1">'Index Data'!E253</f>
        <v>-7.161186369882332E-5</v>
      </c>
      <c r="I144" s="23">
        <f ca="1">'Index Data'!D253</f>
        <v>3.1071823539981173E-2</v>
      </c>
      <c r="J144" s="23">
        <f ca="1">'Index Data'!B253</f>
        <v>3.4950686541588165E-2</v>
      </c>
      <c r="K144" s="23">
        <f ca="1">'Index Data'!C253</f>
        <v>8.9662996577890286E-2</v>
      </c>
      <c r="L144" s="23">
        <f ca="1">'Index Data'!AH253</f>
        <v>-3.4000000000000002E-2</v>
      </c>
      <c r="M144" s="23">
        <f ca="1">'Index Data'!V253</f>
        <v>5.3955619654413964E-2</v>
      </c>
      <c r="N144" s="23">
        <f ca="1">'Index Data'!W253</f>
        <v>-7.8226745439647812E-3</v>
      </c>
      <c r="O144" s="23">
        <f ca="1">'Index Data'!R253</f>
        <v>4.1406392694063855E-2</v>
      </c>
      <c r="P144" s="23">
        <f ca="1">'Index Data'!S253</f>
        <v>-2.6357149132654996E-3</v>
      </c>
      <c r="Q144" s="23">
        <f ca="1">'Index Data'!U253</f>
        <v>2.5724977445936929E-2</v>
      </c>
      <c r="R144" s="24"/>
      <c r="S144" s="23">
        <f t="shared" ca="1" si="19"/>
        <v>2.4843136459245175E-2</v>
      </c>
      <c r="T144" s="2">
        <f t="shared" ca="1" si="14"/>
        <v>5.3955619654413964E-2</v>
      </c>
      <c r="U144" s="2">
        <f t="shared" ca="1" si="15"/>
        <v>5.3955619654413964E-2</v>
      </c>
      <c r="V144" s="2">
        <f t="shared" ca="1" si="16"/>
        <v>8.9662996577890286E-2</v>
      </c>
      <c r="W144" s="2">
        <f t="shared" ca="1" si="17"/>
        <v>4.1406392694063855E-2</v>
      </c>
      <c r="X144" s="2">
        <v>1.5199999996422298E-2</v>
      </c>
      <c r="Y144" s="2">
        <f t="shared" ca="1" si="20"/>
        <v>5.7526357346761592E-2</v>
      </c>
      <c r="Z144" s="2">
        <f t="shared" ca="1" si="18"/>
        <v>4.8834041393137004E-2</v>
      </c>
    </row>
    <row r="145" spans="1:26">
      <c r="A145" s="22">
        <v>36525</v>
      </c>
      <c r="B145" s="25" t="s">
        <v>45</v>
      </c>
      <c r="C145" s="25" t="s">
        <v>46</v>
      </c>
      <c r="D145" s="25" t="s">
        <v>32</v>
      </c>
      <c r="E145" s="25" t="s">
        <v>41</v>
      </c>
      <c r="F145" s="25" t="s">
        <v>39</v>
      </c>
      <c r="H145" s="23">
        <f ca="1">'Index Data'!E254</f>
        <v>-4.8222108165530313E-3</v>
      </c>
      <c r="I145" s="23">
        <f ca="1">'Index Data'!D254</f>
        <v>8.3308175452289621E-2</v>
      </c>
      <c r="J145" s="23">
        <f ca="1">'Index Data'!B254</f>
        <v>8.9947630489519453E-2</v>
      </c>
      <c r="K145" s="23">
        <f ca="1">'Index Data'!C254</f>
        <v>0.12719111095939509</v>
      </c>
      <c r="L145" s="23">
        <f ca="1">'Index Data'!AH254</f>
        <v>-1.7000000000000001E-3</v>
      </c>
      <c r="M145" s="23">
        <f ca="1">'Index Data'!V254</f>
        <v>0.10400644356682595</v>
      </c>
      <c r="N145" s="23">
        <f ca="1">'Index Data'!W254</f>
        <v>4.8288391661886441E-3</v>
      </c>
      <c r="O145" s="23">
        <f ca="1">'Index Data'!R254</f>
        <v>0.14443060841503416</v>
      </c>
      <c r="P145" s="23">
        <f ca="1">'Index Data'!S254</f>
        <v>3.2593056602296153E-2</v>
      </c>
      <c r="Q145" s="23">
        <f ca="1">'Index Data'!U254</f>
        <v>6.025327874540292E-2</v>
      </c>
      <c r="R145" s="24"/>
      <c r="S145" s="23">
        <f t="shared" ca="1" si="19"/>
        <v>6.5682098198521083E-2</v>
      </c>
      <c r="T145" s="2">
        <f t="shared" ca="1" si="14"/>
        <v>0.10400644356682595</v>
      </c>
      <c r="U145" s="2">
        <f t="shared" ca="1" si="15"/>
        <v>0.10400644356682595</v>
      </c>
      <c r="V145" s="2">
        <f t="shared" ca="1" si="16"/>
        <v>0.12719111095939509</v>
      </c>
      <c r="W145" s="2">
        <f t="shared" ca="1" si="17"/>
        <v>0.14443060841503416</v>
      </c>
      <c r="X145" s="2">
        <v>1.9700000003691764E-2</v>
      </c>
      <c r="Y145" s="2">
        <f t="shared" ca="1" si="20"/>
        <v>0.10632491030608288</v>
      </c>
      <c r="Z145" s="2">
        <f t="shared" ca="1" si="18"/>
        <v>9.2495433957071632E-2</v>
      </c>
    </row>
    <row r="146" spans="1:26">
      <c r="A146" s="22">
        <v>36556</v>
      </c>
      <c r="B146" s="25" t="s">
        <v>45</v>
      </c>
      <c r="C146" s="25" t="s">
        <v>46</v>
      </c>
      <c r="D146" s="25" t="s">
        <v>32</v>
      </c>
      <c r="E146" s="25" t="s">
        <v>41</v>
      </c>
      <c r="F146" s="25" t="s">
        <v>39</v>
      </c>
      <c r="H146" s="23">
        <f ca="1">'Index Data'!E255</f>
        <v>-3.2743628185907263E-3</v>
      </c>
      <c r="I146" s="23">
        <f ca="1">'Index Data'!D255</f>
        <v>-5.3943525712045991E-2</v>
      </c>
      <c r="J146" s="23">
        <f ca="1">'Index Data'!B255</f>
        <v>-6.3364489195557733E-2</v>
      </c>
      <c r="K146" s="23">
        <f ca="1">'Index Data'!C255</f>
        <v>5.9508487151921745E-3</v>
      </c>
      <c r="L146" s="23">
        <f ca="1">'Index Data'!AH255</f>
        <v>-2.2099999999999998E-2</v>
      </c>
      <c r="M146" s="23">
        <f ca="1">'Index Data'!V255</f>
        <v>-4.6888360672456122E-2</v>
      </c>
      <c r="N146" s="23">
        <f ca="1">'Index Data'!W255</f>
        <v>-3.262294160138763E-2</v>
      </c>
      <c r="O146" s="23">
        <f ca="1">'Index Data'!R255</f>
        <v>-6.8564948200821443E-2</v>
      </c>
      <c r="P146" s="23">
        <f ca="1">'Index Data'!S255</f>
        <v>-3.7061962672631989E-2</v>
      </c>
      <c r="Q146" s="23">
        <f ca="1">'Index Data'!U255</f>
        <v>-4.0940657660588048E-2</v>
      </c>
      <c r="R146" s="24"/>
      <c r="S146" s="23">
        <f t="shared" ca="1" si="19"/>
        <v>-4.3809693133354935E-2</v>
      </c>
      <c r="T146" s="2">
        <f t="shared" ca="1" si="14"/>
        <v>-4.6888360672456122E-2</v>
      </c>
      <c r="U146" s="2">
        <f t="shared" ca="1" si="15"/>
        <v>-4.6888360672456122E-2</v>
      </c>
      <c r="V146" s="2">
        <f t="shared" ca="1" si="16"/>
        <v>5.9508487151921745E-3</v>
      </c>
      <c r="W146" s="2">
        <f t="shared" ca="1" si="17"/>
        <v>-6.8564948200821443E-2</v>
      </c>
      <c r="X146" s="2">
        <v>-5.1700000001390523E-2</v>
      </c>
      <c r="Y146" s="2">
        <f t="shared" ca="1" si="20"/>
        <v>-4.1604439733691295E-2</v>
      </c>
      <c r="Z146" s="2">
        <f t="shared" ca="1" si="18"/>
        <v>-4.419251166410558E-2</v>
      </c>
    </row>
    <row r="147" spans="1:26">
      <c r="A147" s="22">
        <v>36585</v>
      </c>
      <c r="B147" s="25" t="s">
        <v>45</v>
      </c>
      <c r="C147" s="25" t="s">
        <v>46</v>
      </c>
      <c r="D147" s="25" t="s">
        <v>32</v>
      </c>
      <c r="E147" s="25" t="s">
        <v>41</v>
      </c>
      <c r="F147" s="25" t="s">
        <v>39</v>
      </c>
      <c r="H147" s="23">
        <f ca="1">'Index Data'!E256</f>
        <v>1.2093571755192496E-2</v>
      </c>
      <c r="I147" s="23">
        <f ca="1">'Index Data'!D256</f>
        <v>3.3959191493438223E-3</v>
      </c>
      <c r="J147" s="23">
        <f ca="1">'Index Data'!B256</f>
        <v>2.7108823949993692E-2</v>
      </c>
      <c r="K147" s="23">
        <f ca="1">'Index Data'!C256</f>
        <v>1.3216124273715225E-2</v>
      </c>
      <c r="L147" s="23">
        <f ca="1">'Index Data'!AH256</f>
        <v>3.8800000000000001E-2</v>
      </c>
      <c r="M147" s="23">
        <f ca="1">'Index Data'!V256</f>
        <v>4.8885560018436823E-2</v>
      </c>
      <c r="N147" s="23">
        <f ca="1">'Index Data'!W256</f>
        <v>-7.4296317825124691E-2</v>
      </c>
      <c r="O147" s="23">
        <f ca="1">'Index Data'!R256</f>
        <v>3.5193655599065433E-2</v>
      </c>
      <c r="P147" s="23">
        <f ca="1">'Index Data'!S256</f>
        <v>-5.0094006240833155E-2</v>
      </c>
      <c r="Q147" s="23">
        <f ca="1">'Index Data'!U256</f>
        <v>-2.6747392223090589E-3</v>
      </c>
      <c r="R147" s="24"/>
      <c r="S147" s="23">
        <f t="shared" ca="1" si="19"/>
        <v>5.1354496705135573E-3</v>
      </c>
      <c r="T147" s="2">
        <f t="shared" ca="1" si="14"/>
        <v>4.8885560018436823E-2</v>
      </c>
      <c r="U147" s="2">
        <f t="shared" ca="1" si="15"/>
        <v>4.8885560018436823E-2</v>
      </c>
      <c r="V147" s="2">
        <f t="shared" ca="1" si="16"/>
        <v>1.3216124273715225E-2</v>
      </c>
      <c r="W147" s="2">
        <f t="shared" ca="1" si="17"/>
        <v>3.5193655599065433E-2</v>
      </c>
      <c r="X147" s="2">
        <v>1.5900000004652526E-2</v>
      </c>
      <c r="Y147" s="2">
        <f t="shared" ca="1" si="20"/>
        <v>4.5318616443964663E-2</v>
      </c>
      <c r="Z147" s="2">
        <f t="shared" ca="1" si="18"/>
        <v>3.7694611609754944E-2</v>
      </c>
    </row>
    <row r="148" spans="1:26">
      <c r="A148" s="22">
        <v>36616</v>
      </c>
      <c r="B148" s="25" t="s">
        <v>45</v>
      </c>
      <c r="C148" s="25" t="s">
        <v>46</v>
      </c>
      <c r="D148" s="25" t="s">
        <v>32</v>
      </c>
      <c r="E148" s="25" t="s">
        <v>41</v>
      </c>
      <c r="F148" s="25" t="s">
        <v>39</v>
      </c>
      <c r="H148" s="23">
        <f ca="1">'Index Data'!E257</f>
        <v>1.317369541179679E-2</v>
      </c>
      <c r="I148" s="23">
        <f ca="1">'Index Data'!D257</f>
        <v>6.5738535197552156E-2</v>
      </c>
      <c r="J148" s="23">
        <f ca="1">'Index Data'!B257</f>
        <v>3.8957197158326885E-2</v>
      </c>
      <c r="K148" s="23">
        <f ca="1">'Index Data'!C257</f>
        <v>4.8728309959590755E-3</v>
      </c>
      <c r="L148" s="23">
        <f ca="1">'Index Data'!AH257</f>
        <v>-5.3699999999999998E-2</v>
      </c>
      <c r="M148" s="23">
        <f ca="1">'Index Data'!V257</f>
        <v>7.157665766341216E-2</v>
      </c>
      <c r="N148" s="23">
        <f ca="1">'Index Data'!W257</f>
        <v>0.12201430717435725</v>
      </c>
      <c r="O148" s="23">
        <f ca="1">'Index Data'!R257</f>
        <v>9.2995533798496427E-2</v>
      </c>
      <c r="P148" s="23">
        <f ca="1">'Index Data'!S257</f>
        <v>9.5295336787564799E-2</v>
      </c>
      <c r="Q148" s="23">
        <f ca="1">'Index Data'!U257</f>
        <v>9.1120026110928939E-2</v>
      </c>
      <c r="R148" s="24"/>
      <c r="S148" s="23">
        <f t="shared" ca="1" si="19"/>
        <v>5.5225567240401084E-2</v>
      </c>
      <c r="T148" s="2">
        <f t="shared" ca="1" si="14"/>
        <v>7.157665766341216E-2</v>
      </c>
      <c r="U148" s="2">
        <f t="shared" ca="1" si="15"/>
        <v>7.157665766341216E-2</v>
      </c>
      <c r="V148" s="2">
        <f t="shared" ca="1" si="16"/>
        <v>4.8728309959590755E-3</v>
      </c>
      <c r="W148" s="2">
        <f t="shared" ca="1" si="17"/>
        <v>9.2995533798496427E-2</v>
      </c>
      <c r="X148" s="2">
        <v>0.1062999999934795</v>
      </c>
      <c r="Y148" s="2">
        <f t="shared" ca="1" si="20"/>
        <v>6.4906274996666846E-2</v>
      </c>
      <c r="Z148" s="2">
        <f t="shared" ca="1" si="18"/>
        <v>7.3457359172811654E-2</v>
      </c>
    </row>
    <row r="149" spans="1:26">
      <c r="A149" s="22">
        <v>36646</v>
      </c>
      <c r="B149" s="25" t="s">
        <v>45</v>
      </c>
      <c r="C149" s="25" t="s">
        <v>46</v>
      </c>
      <c r="D149" s="25" t="s">
        <v>32</v>
      </c>
      <c r="E149" s="25" t="s">
        <v>41</v>
      </c>
      <c r="F149" s="25" t="s">
        <v>39</v>
      </c>
      <c r="H149" s="23">
        <f ca="1">'Index Data'!E258</f>
        <v>-2.8633456551075995E-3</v>
      </c>
      <c r="I149" s="23">
        <f ca="1">'Index Data'!D258</f>
        <v>-4.485567308144521E-2</v>
      </c>
      <c r="J149" s="23">
        <f ca="1">'Index Data'!B258</f>
        <v>-5.2443257612197515E-2</v>
      </c>
      <c r="K149" s="23">
        <f ca="1">'Index Data'!C258</f>
        <v>-9.4795978710822015E-2</v>
      </c>
      <c r="L149" s="23">
        <f ca="1">'Index Data'!AH258</f>
        <v>-1.3300000000000001E-2</v>
      </c>
      <c r="M149" s="23">
        <f ca="1">'Index Data'!V258</f>
        <v>-4.75845948352627E-2</v>
      </c>
      <c r="N149" s="23">
        <f ca="1">'Index Data'!W258</f>
        <v>-1.1636341720138031E-2</v>
      </c>
      <c r="O149" s="23">
        <f ca="1">'Index Data'!R258</f>
        <v>-5.2393555141926451E-2</v>
      </c>
      <c r="P149" s="23">
        <f ca="1">'Index Data'!S258</f>
        <v>-7.2093551316985676E-3</v>
      </c>
      <c r="Q149" s="23">
        <f ca="1">'Index Data'!U258</f>
        <v>-3.3336050795641614E-2</v>
      </c>
      <c r="R149" s="24"/>
      <c r="S149" s="23">
        <f t="shared" ca="1" si="19"/>
        <v>-3.6457207596177689E-2</v>
      </c>
      <c r="T149" s="2">
        <f t="shared" ca="1" si="14"/>
        <v>-4.75845948352627E-2</v>
      </c>
      <c r="U149" s="2">
        <f t="shared" ca="1" si="15"/>
        <v>-4.75845948352627E-2</v>
      </c>
      <c r="V149" s="2">
        <f t="shared" ca="1" si="16"/>
        <v>-9.4795978710822015E-2</v>
      </c>
      <c r="W149" s="2">
        <f t="shared" ca="1" si="17"/>
        <v>-5.2393555141926451E-2</v>
      </c>
      <c r="X149" s="2">
        <v>-1.6299999992417713E-2</v>
      </c>
      <c r="Y149" s="2">
        <f t="shared" ca="1" si="20"/>
        <v>-5.2305733222818632E-2</v>
      </c>
      <c r="Z149" s="2">
        <f t="shared" ca="1" si="18"/>
        <v>-4.6409486277249418E-2</v>
      </c>
    </row>
    <row r="150" spans="1:26">
      <c r="A150" s="22">
        <v>36677</v>
      </c>
      <c r="B150" s="25" t="s">
        <v>45</v>
      </c>
      <c r="C150" s="25" t="s">
        <v>46</v>
      </c>
      <c r="D150" s="25" t="s">
        <v>32</v>
      </c>
      <c r="E150" s="25" t="s">
        <v>41</v>
      </c>
      <c r="F150" s="25" t="s">
        <v>39</v>
      </c>
      <c r="H150" s="23">
        <f ca="1">'Index Data'!E259</f>
        <v>-4.5898012263005775E-4</v>
      </c>
      <c r="I150" s="23">
        <f ca="1">'Index Data'!D259</f>
        <v>-2.5951248792474513E-2</v>
      </c>
      <c r="J150" s="23">
        <f ca="1">'Index Data'!B259</f>
        <v>-2.4227280259741874E-2</v>
      </c>
      <c r="K150" s="23">
        <f ca="1">'Index Data'!C259</f>
        <v>-4.1337296661657981E-2</v>
      </c>
      <c r="L150" s="23">
        <f ca="1">'Index Data'!AH259</f>
        <v>-1.09E-2</v>
      </c>
      <c r="M150" s="23">
        <f ca="1">'Index Data'!V259</f>
        <v>-5.0357223040655395E-2</v>
      </c>
      <c r="N150" s="23">
        <f ca="1">'Index Data'!W259</f>
        <v>1.0542867285315139E-2</v>
      </c>
      <c r="O150" s="23">
        <f ca="1">'Index Data'!R259</f>
        <v>-6.1582137650579301E-2</v>
      </c>
      <c r="P150" s="23">
        <f ca="1">'Index Data'!S259</f>
        <v>-9.3487334896219972E-3</v>
      </c>
      <c r="Q150" s="23">
        <f ca="1">'Index Data'!U259</f>
        <v>-2.5863358042487503E-2</v>
      </c>
      <c r="R150" s="24"/>
      <c r="S150" s="23">
        <f t="shared" ca="1" si="19"/>
        <v>-2.0852795058505624E-2</v>
      </c>
      <c r="T150" s="2">
        <f t="shared" ca="1" si="14"/>
        <v>-5.0357223040655395E-2</v>
      </c>
      <c r="U150" s="2">
        <f t="shared" ca="1" si="15"/>
        <v>-5.0357223040655395E-2</v>
      </c>
      <c r="V150" s="2">
        <f t="shared" ca="1" si="16"/>
        <v>-4.1337296661657981E-2</v>
      </c>
      <c r="W150" s="2">
        <f t="shared" ca="1" si="17"/>
        <v>-6.1582137650579301E-2</v>
      </c>
      <c r="X150" s="2">
        <v>-3.5000000096689909E-3</v>
      </c>
      <c r="Y150" s="2">
        <f t="shared" ca="1" si="20"/>
        <v>-4.9455230402755651E-2</v>
      </c>
      <c r="Z150" s="2">
        <f t="shared" ca="1" si="18"/>
        <v>-4.0925654392302661E-2</v>
      </c>
    </row>
    <row r="151" spans="1:26">
      <c r="A151" s="22">
        <v>36707</v>
      </c>
      <c r="B151" s="25" t="s">
        <v>48</v>
      </c>
      <c r="C151" s="25" t="s">
        <v>46</v>
      </c>
      <c r="D151" s="25" t="s">
        <v>32</v>
      </c>
      <c r="E151" s="25" t="s">
        <v>41</v>
      </c>
      <c r="F151" s="25" t="s">
        <v>43</v>
      </c>
      <c r="H151" s="23">
        <f ca="1">'Index Data'!E260</f>
        <v>2.0804879197475579E-2</v>
      </c>
      <c r="I151" s="23">
        <f ca="1">'Index Data'!D260</f>
        <v>3.3895489909104959E-2</v>
      </c>
      <c r="J151" s="23">
        <f ca="1">'Index Data'!B260</f>
        <v>3.934210205610799E-2</v>
      </c>
      <c r="K151" s="23">
        <f ca="1">'Index Data'!C260</f>
        <v>3.5231783566451347E-2</v>
      </c>
      <c r="L151" s="23">
        <f ca="1">'Index Data'!AH260</f>
        <v>7.2900000000000006E-2</v>
      </c>
      <c r="M151" s="23">
        <f ca="1">'Index Data'!V260</f>
        <v>7.5788563461566483E-2</v>
      </c>
      <c r="N151" s="23">
        <f ca="1">'Index Data'!W260</f>
        <v>-4.5703362398548303E-2</v>
      </c>
      <c r="O151" s="23">
        <f ca="1">'Index Data'!R260</f>
        <v>6.0128859236002072E-2</v>
      </c>
      <c r="P151" s="23">
        <f ca="1">'Index Data'!S260</f>
        <v>-6.4259809721701764E-3</v>
      </c>
      <c r="Q151" s="23">
        <f ca="1">'Index Data'!U260</f>
        <v>2.5494489540816179E-2</v>
      </c>
      <c r="R151" s="24"/>
      <c r="S151" s="23">
        <f t="shared" ca="1" si="19"/>
        <v>2.604112348212733E-2</v>
      </c>
      <c r="T151" s="2">
        <f t="shared" ca="1" si="14"/>
        <v>7.5788563461566483E-2</v>
      </c>
      <c r="U151" s="2">
        <f t="shared" ca="1" si="15"/>
        <v>7.5788563461566483E-2</v>
      </c>
      <c r="V151" s="2">
        <f t="shared" ca="1" si="16"/>
        <v>3.5231783566451347E-2</v>
      </c>
      <c r="W151" s="2">
        <f t="shared" ca="1" si="17"/>
        <v>7.1732885472054975E-2</v>
      </c>
      <c r="X151" s="2">
        <v>1.5700000007319082E-2</v>
      </c>
      <c r="Y151" s="2">
        <f t="shared" ca="1" si="20"/>
        <v>7.1732885472054975E-2</v>
      </c>
      <c r="Z151" s="2">
        <f t="shared" ca="1" si="18"/>
        <v>5.941099693199213E-2</v>
      </c>
    </row>
    <row r="152" spans="1:26">
      <c r="A152" s="22">
        <v>36738</v>
      </c>
      <c r="B152" s="25" t="s">
        <v>48</v>
      </c>
      <c r="C152" s="25" t="s">
        <v>46</v>
      </c>
      <c r="D152" s="25" t="s">
        <v>32</v>
      </c>
      <c r="E152" s="25" t="s">
        <v>41</v>
      </c>
      <c r="F152" s="25" t="s">
        <v>40</v>
      </c>
      <c r="H152" s="23">
        <f ca="1">'Index Data'!E261</f>
        <v>9.0773826687735783E-3</v>
      </c>
      <c r="I152" s="23">
        <f ca="1">'Index Data'!D261</f>
        <v>-2.9371020127821584E-2</v>
      </c>
      <c r="J152" s="23">
        <f ca="1">'Index Data'!B261</f>
        <v>-4.1729360184440629E-2</v>
      </c>
      <c r="K152" s="23">
        <f ca="1">'Index Data'!C261</f>
        <v>-5.1427631037603887E-2</v>
      </c>
      <c r="L152" s="23">
        <f ca="1">'Index Data'!AH261</f>
        <v>-5.04E-2</v>
      </c>
      <c r="M152" s="23">
        <f ca="1">'Index Data'!V261</f>
        <v>-4.1687363588470014E-2</v>
      </c>
      <c r="N152" s="23">
        <f ca="1">'Index Data'!W261</f>
        <v>1.2522385599143553E-2</v>
      </c>
      <c r="O152" s="23">
        <f ca="1">'Index Data'!R261</f>
        <v>-1.7368770149161626E-2</v>
      </c>
      <c r="P152" s="23">
        <f ca="1">'Index Data'!S261</f>
        <v>-1.0843781768891836E-2</v>
      </c>
      <c r="Q152" s="23">
        <f ca="1">'Index Data'!U261</f>
        <v>-1.6614590148657502E-2</v>
      </c>
      <c r="R152" s="24"/>
      <c r="S152" s="23">
        <f t="shared" ca="1" si="19"/>
        <v>-6.3019784498644874E-3</v>
      </c>
      <c r="T152" s="2">
        <f t="shared" ca="1" si="14"/>
        <v>-4.1687363588470014E-2</v>
      </c>
      <c r="U152" s="2">
        <f t="shared" ca="1" si="15"/>
        <v>-4.1687363588470014E-2</v>
      </c>
      <c r="V152" s="2">
        <f t="shared" ca="1" si="16"/>
        <v>-5.1427631037603887E-2</v>
      </c>
      <c r="W152" s="2">
        <f t="shared" ca="1" si="17"/>
        <v>-1.0843781768891836E-2</v>
      </c>
      <c r="X152" s="2">
        <v>-2.4600000007670597E-2</v>
      </c>
      <c r="Y152" s="2">
        <f t="shared" ca="1" si="20"/>
        <v>-4.2661390333383405E-2</v>
      </c>
      <c r="Z152" s="2">
        <f t="shared" ca="1" si="18"/>
        <v>-3.6930648980755154E-2</v>
      </c>
    </row>
    <row r="153" spans="1:26">
      <c r="A153" s="22">
        <v>36769</v>
      </c>
      <c r="B153" s="25" t="s">
        <v>48</v>
      </c>
      <c r="C153" s="25" t="s">
        <v>46</v>
      </c>
      <c r="D153" s="25" t="s">
        <v>41</v>
      </c>
      <c r="E153" s="25" t="s">
        <v>41</v>
      </c>
      <c r="F153" s="25" t="s">
        <v>40</v>
      </c>
      <c r="H153" s="23">
        <f ca="1">'Index Data'!E262</f>
        <v>1.449374757103988E-2</v>
      </c>
      <c r="I153" s="23">
        <f ca="1">'Index Data'!D262</f>
        <v>3.1087337187267711E-2</v>
      </c>
      <c r="J153" s="23">
        <f ca="1">'Index Data'!B262</f>
        <v>8.8847160464329625E-3</v>
      </c>
      <c r="K153" s="23">
        <f ca="1">'Index Data'!C262</f>
        <v>4.9097848716170038E-3</v>
      </c>
      <c r="L153" s="23">
        <f ca="1">'Index Data'!AH262</f>
        <v>1.01E-2</v>
      </c>
      <c r="M153" s="23">
        <f ca="1">'Index Data'!V262</f>
        <v>9.0543543991643799E-2</v>
      </c>
      <c r="N153" s="23">
        <f ca="1">'Index Data'!W262</f>
        <v>5.5641549496823935E-2</v>
      </c>
      <c r="O153" s="23">
        <f ca="1">'Index Data'!R262</f>
        <v>8.1236362494701994E-2</v>
      </c>
      <c r="P153" s="23">
        <f ca="1">'Index Data'!S262</f>
        <v>5.1964958645328664E-2</v>
      </c>
      <c r="Q153" s="23">
        <f ca="1">'Index Data'!U262</f>
        <v>7.4017514397770004E-2</v>
      </c>
      <c r="R153" s="24"/>
      <c r="S153" s="23">
        <f t="shared" ca="1" si="19"/>
        <v>2.1131183417531015E-2</v>
      </c>
      <c r="T153" s="2">
        <f t="shared" ca="1" si="14"/>
        <v>9.0543543991643799E-2</v>
      </c>
      <c r="U153" s="2">
        <f t="shared" ca="1" si="15"/>
        <v>9.0543543991643799E-2</v>
      </c>
      <c r="V153" s="2">
        <f t="shared" ca="1" si="16"/>
        <v>9.0543543991643799E-2</v>
      </c>
      <c r="W153" s="2">
        <f t="shared" ca="1" si="17"/>
        <v>5.1964958645328664E-2</v>
      </c>
      <c r="X153" s="2">
        <v>3.7800000008066048E-2</v>
      </c>
      <c r="Y153" s="2">
        <f t="shared" ca="1" si="20"/>
        <v>9.0543543991643799E-2</v>
      </c>
      <c r="Z153" s="2">
        <f t="shared" ca="1" si="18"/>
        <v>7.7101441293954617E-2</v>
      </c>
    </row>
    <row r="154" spans="1:26">
      <c r="A154" s="22">
        <v>36799</v>
      </c>
      <c r="B154" s="25" t="s">
        <v>48</v>
      </c>
      <c r="C154" s="25" t="s">
        <v>46</v>
      </c>
      <c r="D154" s="25" t="s">
        <v>41</v>
      </c>
      <c r="E154" s="25" t="s">
        <v>41</v>
      </c>
      <c r="F154" s="25" t="s">
        <v>40</v>
      </c>
      <c r="H154" s="23">
        <f ca="1">'Index Data'!E263</f>
        <v>6.287040584086398E-3</v>
      </c>
      <c r="I154" s="23">
        <f ca="1">'Index Data'!D263</f>
        <v>-5.4923810631615763E-2</v>
      </c>
      <c r="J154" s="23">
        <f ca="1">'Index Data'!B263</f>
        <v>-4.8493765515788011E-2</v>
      </c>
      <c r="K154" s="23">
        <f ca="1">'Index Data'!C263</f>
        <v>-8.732282512991392E-2</v>
      </c>
      <c r="L154" s="23">
        <f ca="1">'Index Data'!AH263</f>
        <v>-2.1499999999999998E-2</v>
      </c>
      <c r="M154" s="23">
        <f ca="1">'Index Data'!V263</f>
        <v>-9.4594555667578725E-2</v>
      </c>
      <c r="N154" s="23">
        <f ca="1">'Index Data'!W263</f>
        <v>9.1570022332605888E-3</v>
      </c>
      <c r="O154" s="23">
        <f ca="1">'Index Data'!R263</f>
        <v>-9.2714654897064402E-2</v>
      </c>
      <c r="P154" s="23">
        <f ca="1">'Index Data'!S263</f>
        <v>-4.0009676759029666E-3</v>
      </c>
      <c r="Q154" s="23">
        <f ca="1">'Index Data'!U263</f>
        <v>-4.6415616508180844E-2</v>
      </c>
      <c r="R154" s="24"/>
      <c r="S154" s="23">
        <f t="shared" ca="1" si="19"/>
        <v>-1.8197299902194469E-2</v>
      </c>
      <c r="T154" s="2">
        <f t="shared" ca="1" si="14"/>
        <v>-9.4594555667578725E-2</v>
      </c>
      <c r="U154" s="2">
        <f t="shared" ca="1" si="15"/>
        <v>-9.4594555667578725E-2</v>
      </c>
      <c r="V154" s="2">
        <f t="shared" ca="1" si="16"/>
        <v>-9.4594555667578725E-2</v>
      </c>
      <c r="W154" s="2">
        <f t="shared" ca="1" si="17"/>
        <v>-4.0009676759029666E-3</v>
      </c>
      <c r="X154" s="2">
        <v>-3.9500000000619484E-2</v>
      </c>
      <c r="Y154" s="2">
        <f t="shared" ca="1" si="20"/>
        <v>-9.4594555667578725E-2</v>
      </c>
      <c r="Z154" s="2">
        <f t="shared" ca="1" si="18"/>
        <v>-7.6781125434811193E-2</v>
      </c>
    </row>
    <row r="155" spans="1:26">
      <c r="A155" s="22">
        <v>36830</v>
      </c>
      <c r="B155" s="25" t="s">
        <v>48</v>
      </c>
      <c r="C155" s="25" t="s">
        <v>46</v>
      </c>
      <c r="D155" s="25" t="s">
        <v>41</v>
      </c>
      <c r="E155" s="25" t="s">
        <v>41</v>
      </c>
      <c r="F155" s="25" t="s">
        <v>40</v>
      </c>
      <c r="H155" s="23">
        <f ca="1">'Index Data'!E264</f>
        <v>6.617251881046185E-3</v>
      </c>
      <c r="I155" s="23">
        <f ca="1">'Index Data'!D264</f>
        <v>-1.95647411265726E-2</v>
      </c>
      <c r="J155" s="23">
        <f ca="1">'Index Data'!B264</f>
        <v>-2.3418665141843379E-2</v>
      </c>
      <c r="K155" s="23">
        <f ca="1">'Index Data'!C264</f>
        <v>-7.2486522273716061E-2</v>
      </c>
      <c r="L155" s="23">
        <f ca="1">'Index Data'!AH264</f>
        <v>-2.63E-2</v>
      </c>
      <c r="M155" s="23">
        <f ca="1">'Index Data'!V264</f>
        <v>-4.7317708706172072E-2</v>
      </c>
      <c r="N155" s="23">
        <f ca="1">'Index Data'!W264</f>
        <v>2.4564885592075935E-2</v>
      </c>
      <c r="O155" s="23">
        <f ca="1">'Index Data'!R264</f>
        <v>-4.507776995455412E-2</v>
      </c>
      <c r="P155" s="23">
        <f ca="1">'Index Data'!S264</f>
        <v>1.3695302866110995E-2</v>
      </c>
      <c r="Q155" s="23">
        <f ca="1">'Index Data'!U264</f>
        <v>-1.2045648568694752E-2</v>
      </c>
      <c r="R155" s="24"/>
      <c r="S155" s="23">
        <f t="shared" ca="1" si="19"/>
        <v>-3.8555453220013294E-3</v>
      </c>
      <c r="T155" s="2">
        <f t="shared" ca="1" si="14"/>
        <v>-4.7317708706172072E-2</v>
      </c>
      <c r="U155" s="2">
        <f t="shared" ca="1" si="15"/>
        <v>-4.7317708706172072E-2</v>
      </c>
      <c r="V155" s="2">
        <f t="shared" ca="1" si="16"/>
        <v>-4.7317708706172072E-2</v>
      </c>
      <c r="W155" s="2">
        <f t="shared" ca="1" si="17"/>
        <v>1.3695302866110995E-2</v>
      </c>
      <c r="X155" s="2">
        <v>2.2200000002000619E-2</v>
      </c>
      <c r="Y155" s="2">
        <f t="shared" ca="1" si="20"/>
        <v>-4.7317708706172079E-2</v>
      </c>
      <c r="Z155" s="2">
        <f t="shared" ca="1" si="18"/>
        <v>-2.8838191096616304E-2</v>
      </c>
    </row>
    <row r="156" spans="1:26">
      <c r="A156" s="22">
        <v>36860</v>
      </c>
      <c r="B156" s="25" t="s">
        <v>48</v>
      </c>
      <c r="C156" s="25" t="s">
        <v>47</v>
      </c>
      <c r="D156" s="25" t="s">
        <v>41</v>
      </c>
      <c r="E156" s="25" t="s">
        <v>41</v>
      </c>
      <c r="F156" s="25" t="s">
        <v>40</v>
      </c>
      <c r="H156" s="23">
        <f ca="1">'Index Data'!E265</f>
        <v>1.6350956030388358E-2</v>
      </c>
      <c r="I156" s="23">
        <f ca="1">'Index Data'!D265</f>
        <v>-6.1951879646390998E-2</v>
      </c>
      <c r="J156" s="23">
        <f ca="1">'Index Data'!B265</f>
        <v>-3.7286394359239146E-2</v>
      </c>
      <c r="K156" s="23">
        <f ca="1">'Index Data'!C265</f>
        <v>-8.7451308302571737E-2</v>
      </c>
      <c r="L156" s="23">
        <f ca="1">'Index Data'!AH265</f>
        <v>1.3899999999999999E-2</v>
      </c>
      <c r="M156" s="23">
        <f ca="1">'Index Data'!V265</f>
        <v>-0.14740731835198495</v>
      </c>
      <c r="N156" s="23">
        <f ca="1">'Index Data'!W265</f>
        <v>-3.7119456603033237E-2</v>
      </c>
      <c r="O156" s="23">
        <f ca="1">'Index Data'!R265</f>
        <v>-4.118977796397158E-2</v>
      </c>
      <c r="P156" s="23">
        <f ca="1">'Index Data'!S265</f>
        <v>-3.2015482444014386E-2</v>
      </c>
      <c r="Q156" s="23">
        <f ca="1">'Index Data'!U265</f>
        <v>-9.1449249303538926E-2</v>
      </c>
      <c r="R156" s="24"/>
      <c r="S156" s="23">
        <f t="shared" ca="1" si="19"/>
        <v>-1.4970178240323385E-2</v>
      </c>
      <c r="T156" s="2">
        <f t="shared" ca="1" si="14"/>
        <v>-3.7119456603033237E-2</v>
      </c>
      <c r="U156" s="2">
        <f t="shared" ca="1" si="15"/>
        <v>-3.7119456603033237E-2</v>
      </c>
      <c r="V156" s="2">
        <f t="shared" ca="1" si="16"/>
        <v>-3.7119456603033237E-2</v>
      </c>
      <c r="W156" s="2">
        <f t="shared" ca="1" si="17"/>
        <v>-3.2015482444014386E-2</v>
      </c>
      <c r="X156" s="2">
        <v>-4.2199999998601689E-2</v>
      </c>
      <c r="Y156" s="2">
        <f t="shared" ca="1" si="20"/>
        <v>-3.7119456603033237E-2</v>
      </c>
      <c r="Z156" s="2">
        <f t="shared" ca="1" si="18"/>
        <v>-3.7752767220220515E-2</v>
      </c>
    </row>
    <row r="157" spans="1:26">
      <c r="A157" s="22">
        <v>36891</v>
      </c>
      <c r="B157" s="25" t="s">
        <v>48</v>
      </c>
      <c r="C157" s="25" t="s">
        <v>47</v>
      </c>
      <c r="D157" s="25" t="s">
        <v>41</v>
      </c>
      <c r="E157" s="25" t="s">
        <v>41</v>
      </c>
      <c r="F157" s="25" t="s">
        <v>40</v>
      </c>
      <c r="H157" s="23">
        <f ca="1">'Index Data'!E266</f>
        <v>1.8550337627088891E-2</v>
      </c>
      <c r="I157" s="23">
        <f ca="1">'Index Data'!D266</f>
        <v>1.6704227312388551E-2</v>
      </c>
      <c r="J157" s="23">
        <f ca="1">'Index Data'!B266</f>
        <v>3.5777283936507073E-2</v>
      </c>
      <c r="K157" s="23">
        <f ca="1">'Index Data'!C266</f>
        <v>2.4159123924460839E-2</v>
      </c>
      <c r="L157" s="23">
        <f ca="1">'Index Data'!AH266</f>
        <v>1.3000000000000001E-2</v>
      </c>
      <c r="M157" s="23">
        <f ca="1">'Index Data'!V266</f>
        <v>-3.1641268392613393E-2</v>
      </c>
      <c r="N157" s="23">
        <f ca="1">'Index Data'!W266</f>
        <v>5.0099639007557227E-2</v>
      </c>
      <c r="O157" s="23">
        <f ca="1">'Index Data'!R266</f>
        <v>3.2472866455773707E-2</v>
      </c>
      <c r="P157" s="23">
        <f ca="1">'Index Data'!S266</f>
        <v>3.2855401957424119E-2</v>
      </c>
      <c r="Q157" s="23">
        <f ca="1">'Index Data'!U266</f>
        <v>1.2087931033244308E-2</v>
      </c>
      <c r="R157" s="24"/>
      <c r="S157" s="23">
        <f t="shared" ca="1" si="19"/>
        <v>1.7811893501208754E-2</v>
      </c>
      <c r="T157" s="2">
        <f t="shared" ca="1" si="14"/>
        <v>5.0099639007557227E-2</v>
      </c>
      <c r="U157" s="2">
        <f t="shared" ca="1" si="15"/>
        <v>5.0099639007557227E-2</v>
      </c>
      <c r="V157" s="2">
        <f t="shared" ca="1" si="16"/>
        <v>5.0099639007557227E-2</v>
      </c>
      <c r="W157" s="2">
        <f t="shared" ca="1" si="17"/>
        <v>3.2855401957424119E-2</v>
      </c>
      <c r="X157" s="2">
        <v>-4.1000000081249377E-3</v>
      </c>
      <c r="Y157" s="2">
        <f t="shared" ca="1" si="20"/>
        <v>5.0099639007557227E-2</v>
      </c>
      <c r="Z157" s="2">
        <f t="shared" ca="1" si="18"/>
        <v>3.7966393425660813E-2</v>
      </c>
    </row>
    <row r="158" spans="1:26">
      <c r="A158" s="22">
        <v>36922</v>
      </c>
      <c r="B158" s="25" t="s">
        <v>48</v>
      </c>
      <c r="C158" s="25" t="s">
        <v>47</v>
      </c>
      <c r="D158" s="25" t="s">
        <v>41</v>
      </c>
      <c r="E158" s="25" t="s">
        <v>41</v>
      </c>
      <c r="F158" s="25" t="s">
        <v>40</v>
      </c>
      <c r="H158" s="23">
        <f ca="1">'Index Data'!E267</f>
        <v>1.6353633902093122E-2</v>
      </c>
      <c r="I158" s="23">
        <f ca="1">'Index Data'!D267</f>
        <v>2.5283065558536304E-2</v>
      </c>
      <c r="J158" s="23">
        <f ca="1">'Index Data'!B267</f>
        <v>-4.714974844554125E-4</v>
      </c>
      <c r="K158" s="23">
        <f ca="1">'Index Data'!C267</f>
        <v>0.13769475843407677</v>
      </c>
      <c r="L158" s="23">
        <f ca="1">'Index Data'!AH267</f>
        <v>-2.92E-2</v>
      </c>
      <c r="M158" s="23">
        <f ca="1">'Index Data'!V267</f>
        <v>6.908581980127132E-2</v>
      </c>
      <c r="N158" s="23">
        <f ca="1">'Index Data'!W267</f>
        <v>3.8459362015165885E-3</v>
      </c>
      <c r="O158" s="23">
        <f ca="1">'Index Data'!R267</f>
        <v>-3.9898434193821497E-2</v>
      </c>
      <c r="P158" s="23">
        <f ca="1">'Index Data'!S267</f>
        <v>-1.3586881377492034E-2</v>
      </c>
      <c r="Q158" s="23">
        <f ca="1">'Index Data'!U267</f>
        <v>3.2905026089159878E-2</v>
      </c>
      <c r="R158" s="24"/>
      <c r="S158" s="23">
        <f t="shared" ca="1" si="19"/>
        <v>1.9925406564670393E-2</v>
      </c>
      <c r="T158" s="2">
        <f t="shared" ca="1" si="14"/>
        <v>3.8459362015165885E-3</v>
      </c>
      <c r="U158" s="2">
        <f t="shared" ca="1" si="15"/>
        <v>3.8459362015165885E-3</v>
      </c>
      <c r="V158" s="2">
        <f t="shared" ca="1" si="16"/>
        <v>3.8459362015165885E-3</v>
      </c>
      <c r="W158" s="2">
        <f t="shared" ca="1" si="17"/>
        <v>-1.3586881377492034E-2</v>
      </c>
      <c r="X158" s="2">
        <v>8.0000000083151335E-3</v>
      </c>
      <c r="Y158" s="2">
        <f t="shared" ca="1" si="20"/>
        <v>3.8459362015165885E-3</v>
      </c>
      <c r="Z158" s="2">
        <f t="shared" ca="1" si="18"/>
        <v>3.3692876444506507E-3</v>
      </c>
    </row>
    <row r="159" spans="1:26">
      <c r="A159" s="22">
        <v>36950</v>
      </c>
      <c r="B159" s="25" t="s">
        <v>48</v>
      </c>
      <c r="C159" s="25" t="s">
        <v>47</v>
      </c>
      <c r="D159" s="25" t="s">
        <v>41</v>
      </c>
      <c r="E159" s="25" t="s">
        <v>41</v>
      </c>
      <c r="F159" s="25" t="s">
        <v>40</v>
      </c>
      <c r="H159" s="23">
        <f ca="1">'Index Data'!E268</f>
        <v>8.7112802621841737E-3</v>
      </c>
      <c r="I159" s="23">
        <f ca="1">'Index Data'!D268</f>
        <v>-8.4138929757127126E-2</v>
      </c>
      <c r="J159" s="23">
        <f ca="1">'Index Data'!B268</f>
        <v>-7.4895038802129874E-2</v>
      </c>
      <c r="K159" s="23">
        <f ca="1">'Index Data'!C268</f>
        <v>-7.8295227865582309E-2</v>
      </c>
      <c r="L159" s="23">
        <f ca="1">'Index Data'!AH268</f>
        <v>8.3000000000000001E-3</v>
      </c>
      <c r="M159" s="23">
        <f ca="1">'Index Data'!V268</f>
        <v>-0.16977234289692431</v>
      </c>
      <c r="N159" s="23">
        <f ca="1">'Index Data'!W268</f>
        <v>-2.7806913879499368E-2</v>
      </c>
      <c r="O159" s="23">
        <f ca="1">'Index Data'!R268</f>
        <v>-8.1032476462498546E-2</v>
      </c>
      <c r="P159" s="23">
        <f ca="1">'Index Data'!S268</f>
        <v>-3.2827787278181253E-2</v>
      </c>
      <c r="Q159" s="23">
        <f ca="1">'Index Data'!U268</f>
        <v>-9.3278333570401342E-2</v>
      </c>
      <c r="R159" s="24"/>
      <c r="S159" s="23">
        <f t="shared" ca="1" si="19"/>
        <v>-2.8428803745540347E-2</v>
      </c>
      <c r="T159" s="2">
        <f t="shared" ca="1" si="14"/>
        <v>-2.7806913879499368E-2</v>
      </c>
      <c r="U159" s="2">
        <f t="shared" ca="1" si="15"/>
        <v>-2.7806913879499368E-2</v>
      </c>
      <c r="V159" s="2">
        <f t="shared" ca="1" si="16"/>
        <v>-2.7806913879499368E-2</v>
      </c>
      <c r="W159" s="2">
        <f t="shared" ca="1" si="17"/>
        <v>-3.2827787278181253E-2</v>
      </c>
      <c r="X159" s="2">
        <v>-5.1200000005249602E-2</v>
      </c>
      <c r="Y159" s="2">
        <f t="shared" ca="1" si="20"/>
        <v>-2.7806913879499368E-2</v>
      </c>
      <c r="Z159" s="2">
        <f t="shared" ca="1" si="18"/>
        <v>-3.2862096609550556E-2</v>
      </c>
    </row>
    <row r="160" spans="1:26">
      <c r="A160" s="22">
        <v>36981</v>
      </c>
      <c r="B160" s="25" t="s">
        <v>48</v>
      </c>
      <c r="C160" s="25" t="s">
        <v>47</v>
      </c>
      <c r="D160" s="25" t="s">
        <v>41</v>
      </c>
      <c r="E160" s="25" t="s">
        <v>41</v>
      </c>
      <c r="F160" s="25" t="s">
        <v>40</v>
      </c>
      <c r="H160" s="23">
        <f ca="1">'Index Data'!E269</f>
        <v>5.0202276395497139E-3</v>
      </c>
      <c r="I160" s="23">
        <f ca="1">'Index Data'!D269</f>
        <v>-6.7315401997230184E-2</v>
      </c>
      <c r="J160" s="23">
        <f ca="1">'Index Data'!B269</f>
        <v>-6.6210619757825009E-2</v>
      </c>
      <c r="K160" s="23">
        <f ca="1">'Index Data'!C269</f>
        <v>-9.8222832646605987E-2</v>
      </c>
      <c r="L160" s="23">
        <f ca="1">'Index Data'!AH269</f>
        <v>-3.7000000000000005E-2</v>
      </c>
      <c r="M160" s="23">
        <f ca="1">'Index Data'!V269</f>
        <v>-0.10881830196417998</v>
      </c>
      <c r="N160" s="23">
        <f ca="1">'Index Data'!W269</f>
        <v>-3.5336581769686876E-2</v>
      </c>
      <c r="O160" s="23">
        <f ca="1">'Index Data'!R269</f>
        <v>-7.7011626568435673E-2</v>
      </c>
      <c r="P160" s="23">
        <f ca="1">'Index Data'!S269</f>
        <v>-4.4956521739130409E-2</v>
      </c>
      <c r="Q160" s="23">
        <f ca="1">'Index Data'!U269</f>
        <v>-6.6416679234244158E-2</v>
      </c>
      <c r="R160" s="24"/>
      <c r="S160" s="23">
        <f t="shared" ca="1" si="19"/>
        <v>-2.3914024215162248E-2</v>
      </c>
      <c r="T160" s="2">
        <f t="shared" ca="1" si="14"/>
        <v>-3.5336581769686876E-2</v>
      </c>
      <c r="U160" s="2">
        <f t="shared" ca="1" si="15"/>
        <v>-3.5336581769686876E-2</v>
      </c>
      <c r="V160" s="2">
        <f t="shared" ca="1" si="16"/>
        <v>-3.5336581769686876E-2</v>
      </c>
      <c r="W160" s="2">
        <f t="shared" ca="1" si="17"/>
        <v>-4.4956521739130409E-2</v>
      </c>
      <c r="X160" s="2">
        <v>-5.8599999996703067E-2</v>
      </c>
      <c r="Y160" s="2">
        <f t="shared" ca="1" si="20"/>
        <v>-3.5336581769686876E-2</v>
      </c>
      <c r="Z160" s="2">
        <f t="shared" ca="1" si="18"/>
        <v>-4.0710760912798377E-2</v>
      </c>
    </row>
    <row r="161" spans="1:26">
      <c r="A161" s="22">
        <v>37011</v>
      </c>
      <c r="B161" s="25" t="s">
        <v>48</v>
      </c>
      <c r="C161" s="25" t="s">
        <v>47</v>
      </c>
      <c r="D161" s="25" t="s">
        <v>41</v>
      </c>
      <c r="E161" s="25" t="s">
        <v>41</v>
      </c>
      <c r="F161" s="25" t="s">
        <v>40</v>
      </c>
      <c r="H161" s="23">
        <f ca="1">'Index Data'!E270</f>
        <v>-4.1504593661684424E-3</v>
      </c>
      <c r="I161" s="23">
        <f ca="1">'Index Data'!D270</f>
        <v>7.2838107147043973E-2</v>
      </c>
      <c r="J161" s="23">
        <f ca="1">'Index Data'!B270</f>
        <v>7.0136900913835648E-2</v>
      </c>
      <c r="K161" s="23">
        <f ca="1">'Index Data'!C270</f>
        <v>4.940693220104312E-2</v>
      </c>
      <c r="L161" s="23">
        <f ca="1">'Index Data'!AH270</f>
        <v>2.52E-2</v>
      </c>
      <c r="M161" s="23">
        <f ca="1">'Index Data'!V270</f>
        <v>0.12647531091474398</v>
      </c>
      <c r="N161" s="23">
        <f ca="1">'Index Data'!W270</f>
        <v>4.9040969441969867E-2</v>
      </c>
      <c r="O161" s="23">
        <f ca="1">'Index Data'!R270</f>
        <v>7.2711399351459136E-2</v>
      </c>
      <c r="P161" s="23">
        <f ca="1">'Index Data'!S270</f>
        <v>5.4983965117808238E-2</v>
      </c>
      <c r="Q161" s="23">
        <f ca="1">'Index Data'!U270</f>
        <v>8.034863389220176E-2</v>
      </c>
      <c r="R161" s="24"/>
      <c r="S161" s="23">
        <f t="shared" ca="1" si="19"/>
        <v>2.6644967239116527E-2</v>
      </c>
      <c r="T161" s="2">
        <f t="shared" ca="1" si="14"/>
        <v>4.9040969441969867E-2</v>
      </c>
      <c r="U161" s="2">
        <f t="shared" ca="1" si="15"/>
        <v>4.9040969441969867E-2</v>
      </c>
      <c r="V161" s="2">
        <f t="shared" ca="1" si="16"/>
        <v>4.9040969441969867E-2</v>
      </c>
      <c r="W161" s="2">
        <f t="shared" ca="1" si="17"/>
        <v>5.4983965117808238E-2</v>
      </c>
      <c r="X161" s="2">
        <v>4.4599999989994199E-2</v>
      </c>
      <c r="Y161" s="2">
        <f t="shared" ca="1" si="20"/>
        <v>4.9040969441969867E-2</v>
      </c>
      <c r="Z161" s="2">
        <f t="shared" ca="1" si="18"/>
        <v>4.8598500227262614E-2</v>
      </c>
    </row>
    <row r="162" spans="1:26">
      <c r="A162" s="22">
        <v>37042</v>
      </c>
      <c r="B162" s="25" t="s">
        <v>48</v>
      </c>
      <c r="C162" s="25" t="s">
        <v>47</v>
      </c>
      <c r="D162" s="25" t="s">
        <v>41</v>
      </c>
      <c r="E162" s="25" t="s">
        <v>41</v>
      </c>
      <c r="F162" s="25" t="s">
        <v>40</v>
      </c>
      <c r="H162" s="23">
        <f ca="1">'Index Data'!E271</f>
        <v>6.0317294099167399E-3</v>
      </c>
      <c r="I162" s="23">
        <f ca="1">'Index Data'!D271</f>
        <v>-1.1148312623453879E-2</v>
      </c>
      <c r="J162" s="23">
        <f ca="1">'Index Data'!B271</f>
        <v>-3.4500123227781919E-2</v>
      </c>
      <c r="K162" s="23">
        <f ca="1">'Index Data'!C271</f>
        <v>1.1940626717976925E-2</v>
      </c>
      <c r="L162" s="23">
        <f ca="1">'Index Data'!AH271</f>
        <v>3.4000000000000002E-3</v>
      </c>
      <c r="M162" s="23">
        <f ca="1">'Index Data'!V271</f>
        <v>-1.4717331450919236E-2</v>
      </c>
      <c r="N162" s="23">
        <f ca="1">'Index Data'!W271</f>
        <v>2.2464598510272587E-2</v>
      </c>
      <c r="O162" s="23">
        <f ca="1">'Index Data'!R271</f>
        <v>1.1432779134209819E-3</v>
      </c>
      <c r="P162" s="23">
        <f ca="1">'Index Data'!S271</f>
        <v>1.9044513914194327E-2</v>
      </c>
      <c r="Q162" s="23">
        <f ca="1">'Index Data'!U271</f>
        <v>6.7598384521461224E-3</v>
      </c>
      <c r="R162" s="24"/>
      <c r="S162" s="23">
        <f t="shared" ca="1" si="19"/>
        <v>-8.4028740343150814E-4</v>
      </c>
      <c r="T162" s="2">
        <f t="shared" ca="1" si="14"/>
        <v>2.2464598510272587E-2</v>
      </c>
      <c r="U162" s="2">
        <f t="shared" ca="1" si="15"/>
        <v>2.2464598510272587E-2</v>
      </c>
      <c r="V162" s="2">
        <f t="shared" ca="1" si="16"/>
        <v>2.2464598510272587E-2</v>
      </c>
      <c r="W162" s="2">
        <f t="shared" ca="1" si="17"/>
        <v>1.9044513914194327E-2</v>
      </c>
      <c r="X162" s="2">
        <v>1.4800000013720949E-2</v>
      </c>
      <c r="Y162" s="2">
        <f t="shared" ca="1" si="20"/>
        <v>2.246459851027259E-2</v>
      </c>
      <c r="Z162" s="2">
        <f t="shared" ca="1" si="18"/>
        <v>2.067517246625639E-2</v>
      </c>
    </row>
    <row r="163" spans="1:26">
      <c r="A163" s="22">
        <v>37072</v>
      </c>
      <c r="B163" s="25" t="s">
        <v>48</v>
      </c>
      <c r="C163" s="25" t="s">
        <v>47</v>
      </c>
      <c r="D163" s="25" t="s">
        <v>41</v>
      </c>
      <c r="E163" s="25" t="s">
        <v>41</v>
      </c>
      <c r="F163" s="25" t="s">
        <v>40</v>
      </c>
      <c r="H163" s="23">
        <f ca="1">'Index Data'!E272</f>
        <v>3.7784555172736783E-3</v>
      </c>
      <c r="I163" s="23">
        <f ca="1">'Index Data'!D272</f>
        <v>-3.0637282680145945E-2</v>
      </c>
      <c r="J163" s="23">
        <f ca="1">'Index Data'!B272</f>
        <v>-4.0522627931610045E-2</v>
      </c>
      <c r="K163" s="23">
        <f ca="1">'Index Data'!C272</f>
        <v>-2.0535442652874939E-2</v>
      </c>
      <c r="L163" s="23">
        <f ca="1">'Index Data'!AH272</f>
        <v>2.2599999999999999E-2</v>
      </c>
      <c r="M163" s="23">
        <f ca="1">'Index Data'!V272</f>
        <v>-2.3159058709699708E-2</v>
      </c>
      <c r="N163" s="23">
        <f ca="1">'Index Data'!W272</f>
        <v>-2.2179170552658004E-2</v>
      </c>
      <c r="O163" s="23">
        <f ca="1">'Index Data'!R272</f>
        <v>-3.3872060389044813E-2</v>
      </c>
      <c r="P163" s="23">
        <f ca="1">'Index Data'!S272</f>
        <v>-3.8685210976022899E-2</v>
      </c>
      <c r="Q163" s="23">
        <f ca="1">'Index Data'!U272</f>
        <v>-2.2589479662788597E-2</v>
      </c>
      <c r="R163" s="24"/>
      <c r="S163" s="23">
        <f t="shared" ca="1" si="19"/>
        <v>-9.9878397616941714E-3</v>
      </c>
      <c r="T163" s="2">
        <f t="shared" ca="1" si="14"/>
        <v>-2.2179170552658004E-2</v>
      </c>
      <c r="U163" s="2">
        <f t="shared" ca="1" si="15"/>
        <v>-2.2179170552658004E-2</v>
      </c>
      <c r="V163" s="2">
        <f t="shared" ca="1" si="16"/>
        <v>-2.2179170552658004E-2</v>
      </c>
      <c r="W163" s="2">
        <f t="shared" ca="1" si="17"/>
        <v>-3.8685210976022899E-2</v>
      </c>
      <c r="X163" s="2">
        <v>2.2999999918451586E-3</v>
      </c>
      <c r="Y163" s="2">
        <f t="shared" ca="1" si="20"/>
        <v>-2.2179170552658004E-2</v>
      </c>
      <c r="Z163" s="2">
        <f t="shared" ca="1" si="18"/>
        <v>-1.8521289475509739E-2</v>
      </c>
    </row>
    <row r="164" spans="1:26">
      <c r="A164" s="22">
        <v>37103</v>
      </c>
      <c r="B164" s="25" t="s">
        <v>48</v>
      </c>
      <c r="C164" s="25" t="s">
        <v>47</v>
      </c>
      <c r="D164" s="25" t="s">
        <v>41</v>
      </c>
      <c r="E164" s="25" t="s">
        <v>41</v>
      </c>
      <c r="F164" s="25" t="s">
        <v>40</v>
      </c>
      <c r="H164" s="23">
        <f ca="1">'Index Data'!E273</f>
        <v>2.2357259887591456E-2</v>
      </c>
      <c r="I164" s="23">
        <f ca="1">'Index Data'!D273</f>
        <v>-1.5760413652399857E-2</v>
      </c>
      <c r="J164" s="23">
        <f ca="1">'Index Data'!B273</f>
        <v>-1.8115252150458533E-2</v>
      </c>
      <c r="K164" s="23">
        <f ca="1">'Index Data'!C273</f>
        <v>-6.3186386528520433E-2</v>
      </c>
      <c r="L164" s="23">
        <f ca="1">'Index Data'!AH273</f>
        <v>-1.8799999999999997E-2</v>
      </c>
      <c r="M164" s="23">
        <f ca="1">'Index Data'!V273</f>
        <v>-2.4993396724775387E-2</v>
      </c>
      <c r="N164" s="23">
        <f ca="1">'Index Data'!W273</f>
        <v>-2.1265882892324717E-3</v>
      </c>
      <c r="O164" s="23">
        <f ca="1">'Index Data'!R273</f>
        <v>-2.0635079635379599E-3</v>
      </c>
      <c r="P164" s="23">
        <f ca="1">'Index Data'!S273</f>
        <v>7.7038284209599E-3</v>
      </c>
      <c r="Q164" s="23">
        <f ca="1">'Index Data'!U273</f>
        <v>-1.3654504088829747E-2</v>
      </c>
      <c r="R164" s="24"/>
      <c r="S164" s="23">
        <f t="shared" ca="1" si="19"/>
        <v>7.1101904715949295E-3</v>
      </c>
      <c r="T164" s="2">
        <f t="shared" ca="1" si="14"/>
        <v>-2.1265882892324717E-3</v>
      </c>
      <c r="U164" s="2">
        <f t="shared" ca="1" si="15"/>
        <v>-2.1265882892324717E-3</v>
      </c>
      <c r="V164" s="2">
        <f t="shared" ca="1" si="16"/>
        <v>-2.1265882892324717E-3</v>
      </c>
      <c r="W164" s="2">
        <f t="shared" ca="1" si="17"/>
        <v>7.7038284209599E-3</v>
      </c>
      <c r="X164" s="2">
        <v>1.6599999997922943E-2</v>
      </c>
      <c r="Y164" s="2">
        <f t="shared" ca="1" si="20"/>
        <v>-2.1265882892324717E-3</v>
      </c>
      <c r="Z164" s="2">
        <f t="shared" ca="1" si="18"/>
        <v>2.3560106214630394E-3</v>
      </c>
    </row>
    <row r="165" spans="1:26">
      <c r="A165" s="22">
        <v>37134</v>
      </c>
      <c r="B165" s="25" t="s">
        <v>48</v>
      </c>
      <c r="C165" s="25" t="s">
        <v>47</v>
      </c>
      <c r="D165" s="25" t="s">
        <v>41</v>
      </c>
      <c r="E165" s="25" t="s">
        <v>41</v>
      </c>
      <c r="F165" s="25" t="s">
        <v>40</v>
      </c>
      <c r="H165" s="23">
        <f ca="1">'Index Data'!E274</f>
        <v>1.1451465665889114E-2</v>
      </c>
      <c r="I165" s="23">
        <f ca="1">'Index Data'!D274</f>
        <v>-4.5956564735649595E-2</v>
      </c>
      <c r="J165" s="23">
        <f ca="1">'Index Data'!B274</f>
        <v>-2.5124448342927177E-2</v>
      </c>
      <c r="K165" s="23">
        <f ca="1">'Index Data'!C274</f>
        <v>-9.8519834221433393E-3</v>
      </c>
      <c r="L165" s="23">
        <f ca="1">'Index Data'!AH274</f>
        <v>3.3399999999999999E-2</v>
      </c>
      <c r="M165" s="23">
        <f ca="1">'Index Data'!V274</f>
        <v>-8.1773632550782113E-2</v>
      </c>
      <c r="N165" s="23">
        <f ca="1">'Index Data'!W274</f>
        <v>-4.0054395871492759E-2</v>
      </c>
      <c r="O165" s="23">
        <f ca="1">'Index Data'!R274</f>
        <v>-2.6198506384003877E-2</v>
      </c>
      <c r="P165" s="23">
        <f ca="1">'Index Data'!S274</f>
        <v>-3.4329344109418743E-2</v>
      </c>
      <c r="Q165" s="23">
        <f ca="1">'Index Data'!U274</f>
        <v>-6.0945365587423021E-2</v>
      </c>
      <c r="R165" s="24"/>
      <c r="S165" s="23">
        <f t="shared" ca="1" si="19"/>
        <v>-1.1511746494726371E-2</v>
      </c>
      <c r="T165" s="2">
        <f t="shared" ca="1" si="14"/>
        <v>-4.0054395871492759E-2</v>
      </c>
      <c r="U165" s="2">
        <f t="shared" ca="1" si="15"/>
        <v>-4.0054395871492759E-2</v>
      </c>
      <c r="V165" s="2">
        <f t="shared" ca="1" si="16"/>
        <v>-4.0054395871492759E-2</v>
      </c>
      <c r="W165" s="2">
        <f t="shared" ca="1" si="17"/>
        <v>-3.4329344109418743E-2</v>
      </c>
      <c r="X165" s="2">
        <v>-1.7999999993309701E-2</v>
      </c>
      <c r="Y165" s="2">
        <f t="shared" ca="1" si="20"/>
        <v>-4.0054395871492759E-2</v>
      </c>
      <c r="Z165" s="2">
        <f t="shared" ca="1" si="18"/>
        <v>-3.5214137813700599E-2</v>
      </c>
    </row>
    <row r="166" spans="1:26">
      <c r="A166" s="22">
        <v>37164</v>
      </c>
      <c r="B166" s="25" t="s">
        <v>48</v>
      </c>
      <c r="C166" s="25" t="s">
        <v>47</v>
      </c>
      <c r="D166" s="25" t="s">
        <v>41</v>
      </c>
      <c r="E166" s="25" t="s">
        <v>41</v>
      </c>
      <c r="F166" s="25" t="s">
        <v>40</v>
      </c>
      <c r="H166" s="23">
        <f ca="1">'Index Data'!E275</f>
        <v>1.1652744211233457E-2</v>
      </c>
      <c r="I166" s="23">
        <f ca="1">'Index Data'!D275</f>
        <v>-9.1344597454989088E-2</v>
      </c>
      <c r="J166" s="23">
        <f ca="1">'Index Data'!B275</f>
        <v>-0.10106120014662832</v>
      </c>
      <c r="K166" s="23">
        <f ca="1">'Index Data'!C275</f>
        <v>-0.15479920591260249</v>
      </c>
      <c r="L166" s="23">
        <f ca="1">'Index Data'!AH275</f>
        <v>6.2899999999999998E-2</v>
      </c>
      <c r="M166" s="23">
        <f ca="1">'Index Data'!V275</f>
        <v>-9.98430033770078E-2</v>
      </c>
      <c r="N166" s="23">
        <f ca="1">'Index Data'!W275</f>
        <v>-7.0381125149302726E-2</v>
      </c>
      <c r="O166" s="23">
        <f ca="1">'Index Data'!R275</f>
        <v>-6.4526769332261341E-2</v>
      </c>
      <c r="P166" s="23">
        <f ca="1">'Index Data'!S275</f>
        <v>-4.9713308520269665E-2</v>
      </c>
      <c r="Q166" s="23">
        <f ca="1">'Index Data'!U275</f>
        <v>-8.4807229690403524E-2</v>
      </c>
      <c r="R166" s="24"/>
      <c r="S166" s="23">
        <f t="shared" ca="1" si="19"/>
        <v>-2.9546192455255561E-2</v>
      </c>
      <c r="T166" s="2">
        <f t="shared" ca="1" si="14"/>
        <v>-7.0381125149302726E-2</v>
      </c>
      <c r="U166" s="2">
        <f t="shared" ca="1" si="15"/>
        <v>-7.0381125149302726E-2</v>
      </c>
      <c r="V166" s="2">
        <f t="shared" ca="1" si="16"/>
        <v>-7.0381125149302726E-2</v>
      </c>
      <c r="W166" s="2">
        <f t="shared" ca="1" si="17"/>
        <v>-4.9713308520269665E-2</v>
      </c>
      <c r="X166" s="2">
        <v>-0.1213999999983465</v>
      </c>
      <c r="Y166" s="2">
        <f t="shared" ca="1" si="20"/>
        <v>-7.0381125149302726E-2</v>
      </c>
      <c r="Z166" s="2">
        <f t="shared" ca="1" si="18"/>
        <v>-7.9034813871934007E-2</v>
      </c>
    </row>
    <row r="167" spans="1:26">
      <c r="A167" s="22">
        <v>37195</v>
      </c>
      <c r="B167" s="25" t="s">
        <v>48</v>
      </c>
      <c r="C167" s="25" t="s">
        <v>47</v>
      </c>
      <c r="D167" s="25" t="s">
        <v>41</v>
      </c>
      <c r="E167" s="25" t="s">
        <v>41</v>
      </c>
      <c r="F167" s="25" t="s">
        <v>40</v>
      </c>
      <c r="H167" s="23">
        <f ca="1">'Index Data'!E276</f>
        <v>2.0925645066960204E-2</v>
      </c>
      <c r="I167" s="23">
        <f ca="1">'Index Data'!D276</f>
        <v>2.1249627454943371E-2</v>
      </c>
      <c r="J167" s="23">
        <f ca="1">'Index Data'!B276</f>
        <v>2.5570626875528319E-2</v>
      </c>
      <c r="K167" s="23">
        <f ca="1">'Index Data'!C276</f>
        <v>6.2059597588929469E-2</v>
      </c>
      <c r="L167" s="23">
        <f ca="1">'Index Data'!AH276</f>
        <v>-4.07E-2</v>
      </c>
      <c r="M167" s="23">
        <f ca="1">'Index Data'!V276</f>
        <v>5.2466471381791613E-2</v>
      </c>
      <c r="N167" s="23">
        <f ca="1">'Index Data'!W276</f>
        <v>-8.6078102374330667E-3</v>
      </c>
      <c r="O167" s="23">
        <f ca="1">'Index Data'!R276</f>
        <v>-5.9501509575335277E-3</v>
      </c>
      <c r="P167" s="23">
        <f ca="1">'Index Data'!S276</f>
        <v>-1.167591141973999E-2</v>
      </c>
      <c r="Q167" s="23">
        <f ca="1">'Index Data'!U276</f>
        <v>2.0819689999432452E-2</v>
      </c>
      <c r="R167" s="24"/>
      <c r="S167" s="23">
        <f t="shared" ca="1" si="19"/>
        <v>2.105523802215347E-2</v>
      </c>
      <c r="T167" s="2">
        <f t="shared" ca="1" si="14"/>
        <v>-8.6078102374330667E-3</v>
      </c>
      <c r="U167" s="2">
        <f t="shared" ca="1" si="15"/>
        <v>-8.6078102374330667E-3</v>
      </c>
      <c r="V167" s="2">
        <f t="shared" ca="1" si="16"/>
        <v>-8.6078102374330667E-3</v>
      </c>
      <c r="W167" s="2">
        <f t="shared" ca="1" si="17"/>
        <v>-1.167591141973999E-2</v>
      </c>
      <c r="X167" s="2">
        <v>2.3999999990218734E-2</v>
      </c>
      <c r="Y167" s="2">
        <f t="shared" ca="1" si="20"/>
        <v>-8.6078102374330667E-3</v>
      </c>
      <c r="Z167" s="2">
        <f t="shared" ca="1" si="18"/>
        <v>-2.3163557805757247E-3</v>
      </c>
    </row>
    <row r="168" spans="1:26">
      <c r="A168" s="22">
        <v>37225</v>
      </c>
      <c r="B168" s="25" t="s">
        <v>48</v>
      </c>
      <c r="C168" s="25" t="s">
        <v>47</v>
      </c>
      <c r="D168" s="25" t="s">
        <v>41</v>
      </c>
      <c r="E168" s="25" t="s">
        <v>41</v>
      </c>
      <c r="F168" s="25" t="s">
        <v>40</v>
      </c>
      <c r="H168" s="23">
        <f ca="1">'Index Data'!E277</f>
        <v>-1.3787478639117645E-2</v>
      </c>
      <c r="I168" s="23">
        <f ca="1">'Index Data'!D277</f>
        <v>6.1499963101363922E-2</v>
      </c>
      <c r="J168" s="23">
        <f ca="1">'Index Data'!B277</f>
        <v>3.6927464986077997E-2</v>
      </c>
      <c r="K168" s="23">
        <f ca="1">'Index Data'!C277</f>
        <v>0.10442312816413535</v>
      </c>
      <c r="L168" s="23">
        <f ca="1">'Index Data'!AH277</f>
        <v>-2.35E-2</v>
      </c>
      <c r="M168" s="23">
        <f ca="1">'Index Data'!V277</f>
        <v>9.6065085137855513E-2</v>
      </c>
      <c r="N168" s="23">
        <f ca="1">'Index Data'!W277</f>
        <v>5.8137135570625456E-2</v>
      </c>
      <c r="O168" s="23">
        <f ca="1">'Index Data'!R277</f>
        <v>6.5754760901855641E-2</v>
      </c>
      <c r="P168" s="23">
        <f ca="1">'Index Data'!S277</f>
        <v>5.5309805601670849E-2</v>
      </c>
      <c r="Q168" s="23">
        <f ca="1">'Index Data'!U277</f>
        <v>7.7002257686923356E-2</v>
      </c>
      <c r="R168" s="24"/>
      <c r="S168" s="23">
        <f t="shared" ca="1" si="19"/>
        <v>1.6327498057074986E-2</v>
      </c>
      <c r="T168" s="2">
        <f t="shared" ca="1" si="14"/>
        <v>5.8137135570625456E-2</v>
      </c>
      <c r="U168" s="2">
        <f t="shared" ca="1" si="15"/>
        <v>5.8137135570625456E-2</v>
      </c>
      <c r="V168" s="2">
        <f t="shared" ca="1" si="16"/>
        <v>5.8137135570625456E-2</v>
      </c>
      <c r="W168" s="2">
        <f t="shared" ca="1" si="17"/>
        <v>5.5309805601670849E-2</v>
      </c>
      <c r="X168" s="2">
        <v>8.1799999996895689E-2</v>
      </c>
      <c r="Y168" s="2">
        <f t="shared" ca="1" si="20"/>
        <v>5.8137135570625456E-2</v>
      </c>
      <c r="Z168" s="2">
        <f t="shared" ca="1" si="18"/>
        <v>6.2657658708207914E-2</v>
      </c>
    </row>
    <row r="169" spans="1:26">
      <c r="A169" s="22">
        <v>37256</v>
      </c>
      <c r="B169" s="25" t="s">
        <v>48</v>
      </c>
      <c r="C169" s="25" t="s">
        <v>47</v>
      </c>
      <c r="D169" s="25" t="s">
        <v>32</v>
      </c>
      <c r="E169" s="25" t="s">
        <v>41</v>
      </c>
      <c r="F169" s="25" t="s">
        <v>43</v>
      </c>
      <c r="H169" s="23">
        <f ca="1">'Index Data'!E278</f>
        <v>-6.3501752451463446E-3</v>
      </c>
      <c r="I169" s="23">
        <f ca="1">'Index Data'!D278</f>
        <v>9.3727879462028787E-3</v>
      </c>
      <c r="J169" s="23">
        <f ca="1">'Index Data'!B278</f>
        <v>5.961333271520524E-3</v>
      </c>
      <c r="K169" s="23">
        <f ca="1">'Index Data'!C278</f>
        <v>7.9374653188255387E-2</v>
      </c>
      <c r="L169" s="23">
        <f ca="1">'Index Data'!AH278</f>
        <v>1.8600000000000002E-2</v>
      </c>
      <c r="M169" s="23">
        <f ca="1">'Index Data'!V278</f>
        <v>-1.8797469317760576E-3</v>
      </c>
      <c r="N169" s="23">
        <f ca="1">'Index Data'!W278</f>
        <v>2.355384847973602E-2</v>
      </c>
      <c r="O169" s="23">
        <f ca="1">'Index Data'!R278</f>
        <v>1.7390219041873725E-2</v>
      </c>
      <c r="P169" s="23">
        <f ca="1">'Index Data'!S278</f>
        <v>1.4919465335079062E-2</v>
      </c>
      <c r="Q169" s="23">
        <f ca="1">'Index Data'!U278</f>
        <v>1.0662010657094581E-2</v>
      </c>
      <c r="R169" s="24"/>
      <c r="S169" s="23">
        <f t="shared" ca="1" si="19"/>
        <v>-6.0989968606654961E-5</v>
      </c>
      <c r="T169" s="2">
        <f t="shared" ca="1" si="14"/>
        <v>2.355384847973602E-2</v>
      </c>
      <c r="U169" s="2">
        <f t="shared" ca="1" si="15"/>
        <v>2.355384847973602E-2</v>
      </c>
      <c r="V169" s="2">
        <f t="shared" ca="1" si="16"/>
        <v>7.9374653188255387E-2</v>
      </c>
      <c r="W169" s="2">
        <f t="shared" ca="1" si="17"/>
        <v>2.9135928950587957E-2</v>
      </c>
      <c r="X169" s="2">
        <v>5.4400000007551963E-2</v>
      </c>
      <c r="Y169" s="2">
        <f t="shared" ca="1" si="20"/>
        <v>2.9135928950587957E-2</v>
      </c>
      <c r="Z169" s="2">
        <f t="shared" ca="1" si="18"/>
        <v>3.5723815291465039E-2</v>
      </c>
    </row>
    <row r="170" spans="1:26">
      <c r="A170" s="22">
        <v>37287</v>
      </c>
      <c r="B170" s="25" t="s">
        <v>48</v>
      </c>
      <c r="C170" s="25" t="s">
        <v>47</v>
      </c>
      <c r="D170" s="25" t="s">
        <v>32</v>
      </c>
      <c r="E170" s="25" t="s">
        <v>41</v>
      </c>
      <c r="F170" s="25" t="s">
        <v>43</v>
      </c>
      <c r="H170" s="23">
        <f ca="1">'Index Data'!E279</f>
        <v>8.0949597233644834E-3</v>
      </c>
      <c r="I170" s="23">
        <f ca="1">'Index Data'!D279</f>
        <v>-2.740017657334998E-2</v>
      </c>
      <c r="J170" s="23">
        <f ca="1">'Index Data'!B279</f>
        <v>-5.3058262988503441E-2</v>
      </c>
      <c r="K170" s="23">
        <f ca="1">'Index Data'!C279</f>
        <v>3.3885424350119639E-2</v>
      </c>
      <c r="L170" s="23">
        <f ca="1">'Index Data'!AH279</f>
        <v>1.11E-2</v>
      </c>
      <c r="M170" s="23">
        <f ca="1">'Index Data'!V279</f>
        <v>-1.7666299836578522E-2</v>
      </c>
      <c r="N170" s="23">
        <f ca="1">'Index Data'!W279</f>
        <v>-7.706287688563275E-3</v>
      </c>
      <c r="O170" s="23">
        <f ca="1">'Index Data'!R279</f>
        <v>1.2778834161401787E-2</v>
      </c>
      <c r="P170" s="23">
        <f ca="1">'Index Data'!S279</f>
        <v>-8.3200832008320583E-3</v>
      </c>
      <c r="Q170" s="23">
        <f ca="1">'Index Data'!U279</f>
        <v>-1.2702323320885157E-2</v>
      </c>
      <c r="R170" s="24"/>
      <c r="S170" s="23">
        <f t="shared" ca="1" si="19"/>
        <v>-6.1030947953213026E-3</v>
      </c>
      <c r="T170" s="2">
        <f t="shared" ca="1" si="14"/>
        <v>-7.706287688563275E-3</v>
      </c>
      <c r="U170" s="2">
        <f t="shared" ca="1" si="15"/>
        <v>-7.706287688563275E-3</v>
      </c>
      <c r="V170" s="2">
        <f t="shared" ca="1" si="16"/>
        <v>3.3885424350119639E-2</v>
      </c>
      <c r="W170" s="2">
        <f t="shared" ca="1" si="17"/>
        <v>-3.5471164846949837E-3</v>
      </c>
      <c r="X170" s="2">
        <v>5.7000000036415699E-3</v>
      </c>
      <c r="Y170" s="2">
        <f t="shared" ca="1" si="20"/>
        <v>-3.5471164846949837E-3</v>
      </c>
      <c r="Z170" s="2">
        <f t="shared" ca="1" si="18"/>
        <v>-5.539211059638928E-4</v>
      </c>
    </row>
    <row r="171" spans="1:26">
      <c r="A171" s="22">
        <v>37315</v>
      </c>
      <c r="B171" s="25" t="s">
        <v>48</v>
      </c>
      <c r="C171" s="25" t="s">
        <v>47</v>
      </c>
      <c r="D171" s="25" t="s">
        <v>32</v>
      </c>
      <c r="E171" s="25" t="s">
        <v>41</v>
      </c>
      <c r="F171" s="25" t="s">
        <v>43</v>
      </c>
      <c r="H171" s="23">
        <f ca="1">'Index Data'!E280</f>
        <v>9.690989149237203E-3</v>
      </c>
      <c r="I171" s="23">
        <f ca="1">'Index Data'!D280</f>
        <v>-7.3456039039212478E-3</v>
      </c>
      <c r="J171" s="23">
        <f ca="1">'Index Data'!B280</f>
        <v>7.0623733573475112E-3</v>
      </c>
      <c r="K171" s="23">
        <f ca="1">'Index Data'!C280</f>
        <v>1.6430656145281518E-2</v>
      </c>
      <c r="L171" s="23">
        <f ca="1">'Index Data'!AH280</f>
        <v>5.3200000000000004E-2</v>
      </c>
      <c r="M171" s="23">
        <f ca="1">'Index Data'!V280</f>
        <v>-4.1499573102895052E-2</v>
      </c>
      <c r="N171" s="23">
        <f ca="1">'Index Data'!W280</f>
        <v>1.6050013914327189E-3</v>
      </c>
      <c r="O171" s="23">
        <f ca="1">'Index Data'!R280</f>
        <v>1.0295958331651034E-2</v>
      </c>
      <c r="P171" s="23">
        <f ca="1">'Index Data'!S280</f>
        <v>1.2211723658071752E-2</v>
      </c>
      <c r="Q171" s="23">
        <f ca="1">'Index Data'!U280</f>
        <v>-1.9920416867157252E-2</v>
      </c>
      <c r="R171" s="24"/>
      <c r="S171" s="23">
        <f t="shared" ca="1" si="19"/>
        <v>2.876351927973822E-3</v>
      </c>
      <c r="T171" s="2">
        <f t="shared" ca="1" si="14"/>
        <v>1.6050013914327189E-3</v>
      </c>
      <c r="U171" s="2">
        <f t="shared" ca="1" si="15"/>
        <v>1.6050013914327189E-3</v>
      </c>
      <c r="V171" s="2">
        <f t="shared" ca="1" si="16"/>
        <v>1.6430656145281518E-2</v>
      </c>
      <c r="W171" s="2">
        <f t="shared" ca="1" si="17"/>
        <v>3.0875668668175994E-3</v>
      </c>
      <c r="X171" s="2">
        <v>1.4699999999919111E-2</v>
      </c>
      <c r="Y171" s="2">
        <f t="shared" ca="1" si="20"/>
        <v>3.0875668668175994E-3</v>
      </c>
      <c r="Z171" s="2">
        <f t="shared" ca="1" si="18"/>
        <v>5.8177589991687427E-3</v>
      </c>
    </row>
    <row r="172" spans="1:26">
      <c r="A172" s="22">
        <v>37346</v>
      </c>
      <c r="B172" s="25" t="s">
        <v>48</v>
      </c>
      <c r="C172" s="25" t="s">
        <v>47</v>
      </c>
      <c r="D172" s="25" t="s">
        <v>32</v>
      </c>
      <c r="E172" s="25" t="s">
        <v>41</v>
      </c>
      <c r="F172" s="25" t="s">
        <v>43</v>
      </c>
      <c r="H172" s="23">
        <f ca="1">'Index Data'!E281</f>
        <v>-1.6635841526331081E-2</v>
      </c>
      <c r="I172" s="23">
        <f ca="1">'Index Data'!D281</f>
        <v>4.5158570594720761E-2</v>
      </c>
      <c r="J172" s="23">
        <f ca="1">'Index Data'!B281</f>
        <v>5.4594182109974958E-2</v>
      </c>
      <c r="K172" s="23">
        <f ca="1">'Index Data'!C281</f>
        <v>6.0151015633308581E-2</v>
      </c>
      <c r="L172" s="23">
        <f ca="1">'Index Data'!AH281</f>
        <v>1.8500000000000003E-2</v>
      </c>
      <c r="M172" s="23">
        <f ca="1">'Index Data'!V281</f>
        <v>3.4588495694658036E-2</v>
      </c>
      <c r="N172" s="23">
        <f ca="1">'Index Data'!W281</f>
        <v>4.7310438406616501E-2</v>
      </c>
      <c r="O172" s="23">
        <f ca="1">'Index Data'!R281</f>
        <v>3.5089121573015754E-2</v>
      </c>
      <c r="P172" s="23">
        <f ca="1">'Index Data'!S281</f>
        <v>3.2248102173783218E-2</v>
      </c>
      <c r="Q172" s="23">
        <f ca="1">'Index Data'!U281</f>
        <v>4.1090880757649599E-2</v>
      </c>
      <c r="R172" s="24"/>
      <c r="S172" s="23">
        <f t="shared" ca="1" si="19"/>
        <v>8.0819233220896566E-3</v>
      </c>
      <c r="T172" s="2">
        <f t="shared" ca="1" si="14"/>
        <v>4.7310438406616501E-2</v>
      </c>
      <c r="U172" s="2">
        <f t="shared" ca="1" si="15"/>
        <v>4.7310438406616501E-2</v>
      </c>
      <c r="V172" s="2">
        <f t="shared" ca="1" si="16"/>
        <v>6.0151015633308581E-2</v>
      </c>
      <c r="W172" s="2">
        <f t="shared" ca="1" si="17"/>
        <v>4.8594496129285708E-2</v>
      </c>
      <c r="X172" s="2">
        <v>7.0100000001112273E-2</v>
      </c>
      <c r="Y172" s="2">
        <f t="shared" ca="1" si="20"/>
        <v>4.8594496129285708E-2</v>
      </c>
      <c r="Z172" s="2">
        <f t="shared" ca="1" si="18"/>
        <v>5.3248712777385049E-2</v>
      </c>
    </row>
    <row r="173" spans="1:26">
      <c r="A173" s="22">
        <v>37376</v>
      </c>
      <c r="B173" s="25" t="s">
        <v>48</v>
      </c>
      <c r="C173" s="25" t="s">
        <v>47</v>
      </c>
      <c r="D173" s="25" t="s">
        <v>32</v>
      </c>
      <c r="E173" s="25" t="s">
        <v>41</v>
      </c>
      <c r="F173" s="25" t="s">
        <v>43</v>
      </c>
      <c r="H173" s="23">
        <f ca="1">'Index Data'!E282</f>
        <v>1.9392007602379621E-2</v>
      </c>
      <c r="I173" s="23">
        <f ca="1">'Index Data'!D282</f>
        <v>-3.1671765341011245E-2</v>
      </c>
      <c r="J173" s="23">
        <f ca="1">'Index Data'!B282</f>
        <v>7.2419648185513136E-3</v>
      </c>
      <c r="K173" s="23">
        <f ca="1">'Index Data'!C282</f>
        <v>6.4803482936420728E-3</v>
      </c>
      <c r="L173" s="23">
        <f ca="1">'Index Data'!AH282</f>
        <v>2.18E-2</v>
      </c>
      <c r="M173" s="23">
        <f ca="1">'Index Data'!V282</f>
        <v>-8.1615720979743442E-2</v>
      </c>
      <c r="N173" s="23">
        <f ca="1">'Index Data'!W282</f>
        <v>-3.429433987097473E-2</v>
      </c>
      <c r="O173" s="23">
        <f ca="1">'Index Data'!R282</f>
        <v>1.0038610038609688E-3</v>
      </c>
      <c r="P173" s="23">
        <f ca="1">'Index Data'!S282</f>
        <v>-3.363412633306001E-2</v>
      </c>
      <c r="Q173" s="23">
        <f ca="1">'Index Data'!U282</f>
        <v>-5.7293332737822972E-2</v>
      </c>
      <c r="R173" s="24"/>
      <c r="S173" s="23">
        <f t="shared" ca="1" si="19"/>
        <v>-1.0335015749767269E-3</v>
      </c>
      <c r="T173" s="2">
        <f t="shared" ca="1" si="14"/>
        <v>-3.429433987097473E-2</v>
      </c>
      <c r="U173" s="2">
        <f t="shared" ca="1" si="15"/>
        <v>-3.429433987097473E-2</v>
      </c>
      <c r="V173" s="2">
        <f t="shared" ca="1" si="16"/>
        <v>6.4803482936420728E-3</v>
      </c>
      <c r="W173" s="2">
        <f t="shared" ca="1" si="17"/>
        <v>-3.021687105451305E-2</v>
      </c>
      <c r="X173" s="2">
        <v>-9.3000000069710653E-3</v>
      </c>
      <c r="Y173" s="2">
        <f t="shared" ca="1" si="20"/>
        <v>-3.021687105451305E-2</v>
      </c>
      <c r="Z173" s="2">
        <f t="shared" ca="1" si="18"/>
        <v>-2.4912192920477694E-2</v>
      </c>
    </row>
    <row r="174" spans="1:26">
      <c r="A174" s="22">
        <v>37407</v>
      </c>
      <c r="B174" s="25" t="s">
        <v>48</v>
      </c>
      <c r="C174" s="25" t="s">
        <v>47</v>
      </c>
      <c r="D174" s="25" t="s">
        <v>32</v>
      </c>
      <c r="E174" s="25" t="s">
        <v>41</v>
      </c>
      <c r="F174" s="25" t="s">
        <v>43</v>
      </c>
      <c r="H174" s="23">
        <f ca="1">'Index Data'!E283</f>
        <v>8.4967954942707334E-3</v>
      </c>
      <c r="I174" s="23">
        <f ca="1">'Index Data'!D283</f>
        <v>1.4130177059768856E-3</v>
      </c>
      <c r="J174" s="23">
        <f ca="1">'Index Data'!B283</f>
        <v>1.3565827910140903E-2</v>
      </c>
      <c r="K174" s="23">
        <f ca="1">'Index Data'!C283</f>
        <v>-1.5927121955109057E-2</v>
      </c>
      <c r="L174" s="23">
        <f ca="1">'Index Data'!AH283</f>
        <v>5.5999999999999994E-2</v>
      </c>
      <c r="M174" s="23">
        <f ca="1">'Index Data'!V283</f>
        <v>-2.4193044357702573E-2</v>
      </c>
      <c r="N174" s="23">
        <f ca="1">'Index Data'!W283</f>
        <v>5.0129369549709677E-3</v>
      </c>
      <c r="O174" s="23">
        <f ca="1">'Index Data'!R283</f>
        <v>1.6971380081771108E-3</v>
      </c>
      <c r="P174" s="23">
        <f ca="1">'Index Data'!S283</f>
        <v>-1.3082992110256121E-3</v>
      </c>
      <c r="Q174" s="23">
        <f ca="1">'Index Data'!U283</f>
        <v>-8.8220706704670721E-3</v>
      </c>
      <c r="R174" s="24"/>
      <c r="S174" s="23">
        <f t="shared" ca="1" si="19"/>
        <v>5.6632843789531945E-3</v>
      </c>
      <c r="T174" s="2">
        <f t="shared" ca="1" si="14"/>
        <v>5.0129369549709677E-3</v>
      </c>
      <c r="U174" s="2">
        <f t="shared" ca="1" si="15"/>
        <v>5.0129369549709677E-3</v>
      </c>
      <c r="V174" s="2">
        <f t="shared" ca="1" si="16"/>
        <v>-1.5927121955109057E-2</v>
      </c>
      <c r="W174" s="2">
        <f t="shared" ca="1" si="17"/>
        <v>2.9189310639629652E-3</v>
      </c>
      <c r="X174" s="2">
        <v>-1.2899999995504619E-2</v>
      </c>
      <c r="Y174" s="2">
        <f t="shared" ca="1" si="20"/>
        <v>2.9189310639629652E-3</v>
      </c>
      <c r="Z174" s="2">
        <f t="shared" ca="1" si="18"/>
        <v>-8.207067679577519E-4</v>
      </c>
    </row>
    <row r="175" spans="1:26">
      <c r="A175" s="22">
        <v>37437</v>
      </c>
      <c r="B175" s="25" t="s">
        <v>48</v>
      </c>
      <c r="C175" s="25" t="s">
        <v>47</v>
      </c>
      <c r="D175" s="25" t="s">
        <v>32</v>
      </c>
      <c r="E175" s="25" t="s">
        <v>41</v>
      </c>
      <c r="F175" s="25" t="s">
        <v>43</v>
      </c>
      <c r="H175" s="23">
        <f ca="1">'Index Data'!E284</f>
        <v>8.6466708391507562E-3</v>
      </c>
      <c r="I175" s="23">
        <f ca="1">'Index Data'!D284</f>
        <v>-6.1025983957202073E-2</v>
      </c>
      <c r="J175" s="23">
        <f ca="1">'Index Data'!B284</f>
        <v>-3.9433912566332351E-2</v>
      </c>
      <c r="K175" s="23">
        <f ca="1">'Index Data'!C284</f>
        <v>-7.5029878258755886E-2</v>
      </c>
      <c r="L175" s="23">
        <f ca="1">'Index Data'!AH284</f>
        <v>-3.8599999999999995E-2</v>
      </c>
      <c r="M175" s="23">
        <f ca="1">'Index Data'!V284</f>
        <v>-9.2504497999918486E-2</v>
      </c>
      <c r="N175" s="23">
        <f ca="1">'Index Data'!W284</f>
        <v>-5.7418437552310818E-2</v>
      </c>
      <c r="O175" s="23">
        <f ca="1">'Index Data'!R284</f>
        <v>-5.1039661147477842E-2</v>
      </c>
      <c r="P175" s="23">
        <f ca="1">'Index Data'!S284</f>
        <v>-5.5090550905509093E-2</v>
      </c>
      <c r="Q175" s="23">
        <f ca="1">'Index Data'!U284</f>
        <v>-7.3804853576665233E-2</v>
      </c>
      <c r="R175" s="24"/>
      <c r="S175" s="23">
        <f t="shared" ca="1" si="19"/>
        <v>-1.9222391079390375E-2</v>
      </c>
      <c r="T175" s="2">
        <f t="shared" ca="1" si="14"/>
        <v>-5.7418437552310818E-2</v>
      </c>
      <c r="U175" s="2">
        <f t="shared" ca="1" si="15"/>
        <v>-5.7418437552310818E-2</v>
      </c>
      <c r="V175" s="2">
        <f t="shared" ca="1" si="16"/>
        <v>-7.5029878258755886E-2</v>
      </c>
      <c r="W175" s="2">
        <f t="shared" ca="1" si="17"/>
        <v>-5.9179581622955328E-2</v>
      </c>
      <c r="X175" s="2">
        <v>-5.2099999999623448E-2</v>
      </c>
      <c r="Y175" s="2">
        <f t="shared" ca="1" si="20"/>
        <v>-5.9179581622955328E-2</v>
      </c>
      <c r="Z175" s="2">
        <f t="shared" ca="1" si="18"/>
        <v>-5.8247979917716193E-2</v>
      </c>
    </row>
    <row r="176" spans="1:26">
      <c r="A176" s="22">
        <v>37468</v>
      </c>
      <c r="B176" s="25" t="s">
        <v>48</v>
      </c>
      <c r="C176" s="25" t="s">
        <v>47</v>
      </c>
      <c r="D176" s="25" t="s">
        <v>32</v>
      </c>
      <c r="E176" s="25" t="s">
        <v>41</v>
      </c>
      <c r="F176" s="25" t="s">
        <v>43</v>
      </c>
      <c r="H176" s="23">
        <f ca="1">'Index Data'!E285</f>
        <v>1.2066480196271325E-2</v>
      </c>
      <c r="I176" s="23">
        <f ca="1">'Index Data'!D285</f>
        <v>-8.3863207322142905E-2</v>
      </c>
      <c r="J176" s="23">
        <f ca="1">'Index Data'!B285</f>
        <v>-9.8643757011505712E-2</v>
      </c>
      <c r="K176" s="23">
        <f ca="1">'Index Data'!C285</f>
        <v>-7.6057201673127087E-2</v>
      </c>
      <c r="L176" s="23">
        <f ca="1">'Index Data'!AH285</f>
        <v>-3.4099999999999998E-2</v>
      </c>
      <c r="M176" s="23">
        <f ca="1">'Index Data'!V285</f>
        <v>-5.4973821989528694E-2</v>
      </c>
      <c r="N176" s="23">
        <f ca="1">'Index Data'!W285</f>
        <v>-9.2959057281140969E-2</v>
      </c>
      <c r="O176" s="23">
        <f ca="1">'Index Data'!R285</f>
        <v>-6.0845219014384569E-2</v>
      </c>
      <c r="P176" s="23">
        <f ca="1">'Index Data'!S285</f>
        <v>-6.4250185204783497E-2</v>
      </c>
      <c r="Q176" s="23">
        <f ca="1">'Index Data'!U285</f>
        <v>-7.4001715628726775E-2</v>
      </c>
      <c r="R176" s="24"/>
      <c r="S176" s="23">
        <f t="shared" ca="1" si="19"/>
        <v>-2.6305394811094368E-2</v>
      </c>
      <c r="T176" s="2">
        <f t="shared" ca="1" si="14"/>
        <v>-9.2959057281140969E-2</v>
      </c>
      <c r="U176" s="2">
        <f t="shared" ca="1" si="15"/>
        <v>-9.2959057281140969E-2</v>
      </c>
      <c r="V176" s="2">
        <f t="shared" ca="1" si="16"/>
        <v>-7.6057201673127087E-2</v>
      </c>
      <c r="W176" s="2">
        <f t="shared" ca="1" si="17"/>
        <v>-9.1268871720339581E-2</v>
      </c>
      <c r="X176" s="2">
        <v>-6.4699999995859625E-2</v>
      </c>
      <c r="Y176" s="2">
        <f t="shared" ca="1" si="20"/>
        <v>-9.1268871720339581E-2</v>
      </c>
      <c r="Z176" s="2">
        <f t="shared" ca="1" si="18"/>
        <v>-8.549029634622321E-2</v>
      </c>
    </row>
    <row r="177" spans="1:26">
      <c r="A177" s="22">
        <v>37499</v>
      </c>
      <c r="B177" s="25" t="s">
        <v>48</v>
      </c>
      <c r="C177" s="25" t="s">
        <v>47</v>
      </c>
      <c r="D177" s="25" t="s">
        <v>32</v>
      </c>
      <c r="E177" s="25" t="s">
        <v>41</v>
      </c>
      <c r="F177" s="25" t="s">
        <v>43</v>
      </c>
      <c r="H177" s="23">
        <f ca="1">'Index Data'!E286</f>
        <v>1.6884084627936898E-2</v>
      </c>
      <c r="I177" s="23">
        <f ca="1">'Index Data'!D286</f>
        <v>2.585036543861908E-3</v>
      </c>
      <c r="J177" s="23">
        <f ca="1">'Index Data'!B286</f>
        <v>-2.0330978197747565E-3</v>
      </c>
      <c r="K177" s="23">
        <f ca="1">'Index Data'!C286</f>
        <v>1.5406494429959708E-2</v>
      </c>
      <c r="L177" s="23">
        <f ca="1">'Index Data'!AH286</f>
        <v>3.1699999999999999E-2</v>
      </c>
      <c r="M177" s="23">
        <f ca="1">'Index Data'!V286</f>
        <v>2.9873445222964382E-3</v>
      </c>
      <c r="N177" s="23">
        <f ca="1">'Index Data'!W286</f>
        <v>7.5516308994793557E-3</v>
      </c>
      <c r="O177" s="23">
        <f ca="1">'Index Data'!R286</f>
        <v>1.2983365737740438E-2</v>
      </c>
      <c r="P177" s="23">
        <f ca="1">'Index Data'!S286</f>
        <v>9.3192639591036935E-3</v>
      </c>
      <c r="Q177" s="23">
        <f ca="1">'Index Data'!U286</f>
        <v>5.2353549894032184E-3</v>
      </c>
      <c r="R177" s="24"/>
      <c r="S177" s="23">
        <f t="shared" ca="1" si="19"/>
        <v>1.1164465394306902E-2</v>
      </c>
      <c r="T177" s="2">
        <f t="shared" ca="1" si="14"/>
        <v>7.5516308994793557E-3</v>
      </c>
      <c r="U177" s="2">
        <f t="shared" ca="1" si="15"/>
        <v>7.5516308994793557E-3</v>
      </c>
      <c r="V177" s="2">
        <f t="shared" ca="1" si="16"/>
        <v>1.5406494429959708E-2</v>
      </c>
      <c r="W177" s="2">
        <f t="shared" ca="1" si="17"/>
        <v>8.3371172525273912E-3</v>
      </c>
      <c r="X177" s="2">
        <v>7.8999999977729107E-3</v>
      </c>
      <c r="Y177" s="2">
        <f t="shared" ca="1" si="20"/>
        <v>8.3371172525273912E-3</v>
      </c>
      <c r="Z177" s="2">
        <f t="shared" ca="1" si="18"/>
        <v>8.4657025486647042E-3</v>
      </c>
    </row>
    <row r="178" spans="1:26">
      <c r="A178" s="22">
        <v>37529</v>
      </c>
      <c r="B178" s="25" t="s">
        <v>48</v>
      </c>
      <c r="C178" s="25" t="s">
        <v>47</v>
      </c>
      <c r="D178" s="25" t="s">
        <v>32</v>
      </c>
      <c r="E178" s="25" t="s">
        <v>41</v>
      </c>
      <c r="F178" s="25" t="s">
        <v>43</v>
      </c>
      <c r="H178" s="23">
        <f ca="1">'Index Data'!E287</f>
        <v>1.6195608819464448E-2</v>
      </c>
      <c r="I178" s="23">
        <f ca="1">'Index Data'!D287</f>
        <v>-0.10968280467445742</v>
      </c>
      <c r="J178" s="23">
        <f ca="1">'Index Data'!B287</f>
        <v>-0.10714535961167214</v>
      </c>
      <c r="K178" s="23">
        <f ca="1">'Index Data'!C287</f>
        <v>-0.10788982259570488</v>
      </c>
      <c r="L178" s="23">
        <f ca="1">'Index Data'!AH287</f>
        <v>3.5499999999999997E-2</v>
      </c>
      <c r="M178" s="23">
        <f ca="1">'Index Data'!V287</f>
        <v>-0.10372779703238381</v>
      </c>
      <c r="N178" s="23">
        <f ca="1">'Index Data'!W287</f>
        <v>-0.111188185056182</v>
      </c>
      <c r="O178" s="23">
        <f ca="1">'Index Data'!R287</f>
        <v>-6.4809878228231518E-2</v>
      </c>
      <c r="P178" s="23">
        <f ca="1">'Index Data'!S287</f>
        <v>-9.579462815010692E-2</v>
      </c>
      <c r="Q178" s="23">
        <f ca="1">'Index Data'!U287</f>
        <v>-0.10739741408676387</v>
      </c>
      <c r="R178" s="24"/>
      <c r="S178" s="23">
        <f t="shared" ca="1" si="19"/>
        <v>-3.4155756578104303E-2</v>
      </c>
      <c r="T178" s="2">
        <f t="shared" ca="1" si="14"/>
        <v>-0.111188185056182</v>
      </c>
      <c r="U178" s="2">
        <f t="shared" ca="1" si="15"/>
        <v>-0.111188185056182</v>
      </c>
      <c r="V178" s="2">
        <f t="shared" ca="1" si="16"/>
        <v>-0.10788982259570488</v>
      </c>
      <c r="W178" s="2">
        <f t="shared" ca="1" si="17"/>
        <v>-0.11085834881013429</v>
      </c>
      <c r="X178" s="2">
        <v>-6.7500000010212058E-2</v>
      </c>
      <c r="Y178" s="2">
        <f t="shared" ca="1" si="20"/>
        <v>-0.11085834881013429</v>
      </c>
      <c r="Z178" s="2">
        <f t="shared" ca="1" si="18"/>
        <v>-0.10209597408248672</v>
      </c>
    </row>
    <row r="179" spans="1:26">
      <c r="A179" s="22">
        <v>37560</v>
      </c>
      <c r="B179" s="25" t="s">
        <v>49</v>
      </c>
      <c r="C179" s="25" t="s">
        <v>47</v>
      </c>
      <c r="D179" s="25" t="s">
        <v>32</v>
      </c>
      <c r="E179" s="25" t="s">
        <v>41</v>
      </c>
      <c r="F179" s="25" t="s">
        <v>43</v>
      </c>
      <c r="H179" s="23">
        <f ca="1">'Index Data'!E288</f>
        <v>-4.5548729838525729E-3</v>
      </c>
      <c r="I179" s="23">
        <f ca="1">'Index Data'!D288</f>
        <v>7.3637935704314719E-2</v>
      </c>
      <c r="J179" s="23">
        <f ca="1">'Index Data'!B288</f>
        <v>5.382303381935339E-2</v>
      </c>
      <c r="K179" s="23">
        <f ca="1">'Index Data'!C288</f>
        <v>6.4890889109843558E-2</v>
      </c>
      <c r="L179" s="23">
        <f ca="1">'Index Data'!AH288</f>
        <v>-1.7000000000000001E-2</v>
      </c>
      <c r="M179" s="23">
        <f ca="1">'Index Data'!V288</f>
        <v>9.1730265965280611E-2</v>
      </c>
      <c r="N179" s="23">
        <f ca="1">'Index Data'!W288</f>
        <v>7.408657917605313E-2</v>
      </c>
      <c r="O179" s="23">
        <f ca="1">'Index Data'!R288</f>
        <v>1.0991516920550929E-2</v>
      </c>
      <c r="P179" s="23">
        <f ca="1">'Index Data'!S288</f>
        <v>4.3956180137308738E-2</v>
      </c>
      <c r="Q179" s="23">
        <f ca="1">'Index Data'!U288</f>
        <v>8.3086745828343758E-2</v>
      </c>
      <c r="R179" s="24"/>
      <c r="S179" s="23">
        <f t="shared" ca="1" si="19"/>
        <v>4.2360812229047806E-2</v>
      </c>
      <c r="T179" s="2">
        <f t="shared" ca="1" si="14"/>
        <v>7.408657917605313E-2</v>
      </c>
      <c r="U179" s="2">
        <f t="shared" ca="1" si="15"/>
        <v>7.408657917605313E-2</v>
      </c>
      <c r="V179" s="2">
        <f t="shared" ca="1" si="16"/>
        <v>6.4890889109843558E-2</v>
      </c>
      <c r="W179" s="2">
        <f t="shared" ca="1" si="17"/>
        <v>7.3167010169432167E-2</v>
      </c>
      <c r="X179" s="2">
        <v>4.9799999999384115E-2</v>
      </c>
      <c r="Y179" s="2">
        <f t="shared" ca="1" si="20"/>
        <v>7.3167010169432167E-2</v>
      </c>
      <c r="Z179" s="2">
        <f t="shared" ca="1" si="18"/>
        <v>6.82407266586018E-2</v>
      </c>
    </row>
    <row r="180" spans="1:26">
      <c r="A180" s="22">
        <v>37590</v>
      </c>
      <c r="B180" s="25" t="s">
        <v>49</v>
      </c>
      <c r="C180" s="25" t="s">
        <v>47</v>
      </c>
      <c r="D180" s="25" t="s">
        <v>32</v>
      </c>
      <c r="E180" s="25" t="s">
        <v>41</v>
      </c>
      <c r="F180" s="25" t="s">
        <v>43</v>
      </c>
      <c r="H180" s="23">
        <f ca="1">'Index Data'!E289</f>
        <v>-2.6592330405117063E-4</v>
      </c>
      <c r="I180" s="23">
        <f ca="1">'Index Data'!D289</f>
        <v>5.4700629130976432E-2</v>
      </c>
      <c r="J180" s="23">
        <f ca="1">'Index Data'!B289</f>
        <v>4.5513685262920059E-2</v>
      </c>
      <c r="K180" s="23">
        <f ca="1">'Index Data'!C289</f>
        <v>6.8848592068406267E-2</v>
      </c>
      <c r="L180" s="23">
        <f ca="1">'Index Data'!AH289</f>
        <v>-5.0000000000000001E-3</v>
      </c>
      <c r="M180" s="23">
        <f ca="1">'Index Data'!V289</f>
        <v>5.4316845382220598E-2</v>
      </c>
      <c r="N180" s="23">
        <f ca="1">'Index Data'!W289</f>
        <v>6.299600107187768E-2</v>
      </c>
      <c r="O180" s="23">
        <f ca="1">'Index Data'!R289</f>
        <v>-1.1007353272883104E-2</v>
      </c>
      <c r="P180" s="23">
        <f ca="1">'Index Data'!S289</f>
        <v>2.6056195914103637E-2</v>
      </c>
      <c r="Q180" s="23">
        <f ca="1">'Index Data'!U289</f>
        <v>5.8520072682521455E-2</v>
      </c>
      <c r="R180" s="24"/>
      <c r="S180" s="23">
        <f t="shared" ca="1" si="19"/>
        <v>3.2714008156965388E-2</v>
      </c>
      <c r="T180" s="2">
        <f t="shared" ca="1" si="14"/>
        <v>6.299600107187768E-2</v>
      </c>
      <c r="U180" s="2">
        <f t="shared" ca="1" si="15"/>
        <v>6.299600107187768E-2</v>
      </c>
      <c r="V180" s="2">
        <f t="shared" ca="1" si="16"/>
        <v>6.8848592068406267E-2</v>
      </c>
      <c r="W180" s="2">
        <f t="shared" ca="1" si="17"/>
        <v>6.358126017153054E-2</v>
      </c>
      <c r="X180" s="2">
        <v>1.2500000000737144E-2</v>
      </c>
      <c r="Y180" s="2">
        <f t="shared" ca="1" si="20"/>
        <v>6.358126017153054E-2</v>
      </c>
      <c r="Z180" s="2">
        <f t="shared" ca="1" si="18"/>
        <v>5.3525954389776392E-2</v>
      </c>
    </row>
    <row r="181" spans="1:26">
      <c r="A181" s="22">
        <v>37621</v>
      </c>
      <c r="B181" s="25" t="s">
        <v>49</v>
      </c>
      <c r="C181" s="25" t="s">
        <v>47</v>
      </c>
      <c r="D181" s="25" t="s">
        <v>32</v>
      </c>
      <c r="E181" s="25" t="s">
        <v>41</v>
      </c>
      <c r="F181" s="25" t="s">
        <v>43</v>
      </c>
      <c r="H181" s="23">
        <f ca="1">'Index Data'!E290</f>
        <v>2.0655812886952517E-2</v>
      </c>
      <c r="I181" s="23">
        <f ca="1">'Index Data'!D290</f>
        <v>-4.7675997512428514E-2</v>
      </c>
      <c r="J181" s="23">
        <f ca="1">'Index Data'!B290</f>
        <v>-3.3550263787869294E-2</v>
      </c>
      <c r="K181" s="23">
        <f ca="1">'Index Data'!C290</f>
        <v>-3.3241379310344779E-2</v>
      </c>
      <c r="L181" s="23">
        <f ca="1">'Index Data'!AH290</f>
        <v>9.9100000000000008E-2</v>
      </c>
      <c r="M181" s="23">
        <f ca="1">'Index Data'!V290</f>
        <v>-6.9077404093791747E-2</v>
      </c>
      <c r="N181" s="23">
        <f ca="1">'Index Data'!W290</f>
        <v>-4.3434419335212644E-2</v>
      </c>
      <c r="O181" s="23">
        <f ca="1">'Index Data'!R290</f>
        <v>-2.0024631665374205E-2</v>
      </c>
      <c r="P181" s="23">
        <f ca="1">'Index Data'!S290</f>
        <v>-2.0188347447822719E-2</v>
      </c>
      <c r="Q181" s="23">
        <f ca="1">'Index Data'!U290</f>
        <v>-5.6596783789997079E-2</v>
      </c>
      <c r="R181" s="24"/>
      <c r="S181" s="23">
        <f t="shared" ca="1" si="19"/>
        <v>-2.0343273352676099E-2</v>
      </c>
      <c r="T181" s="2">
        <f t="shared" ca="1" si="14"/>
        <v>-4.3434419335212644E-2</v>
      </c>
      <c r="U181" s="2">
        <f t="shared" ca="1" si="15"/>
        <v>-4.3434419335212644E-2</v>
      </c>
      <c r="V181" s="2">
        <f t="shared" ca="1" si="16"/>
        <v>-3.3241379310344779E-2</v>
      </c>
      <c r="W181" s="2">
        <f t="shared" ca="1" si="17"/>
        <v>-4.2415115332725864E-2</v>
      </c>
      <c r="X181" s="2">
        <v>-2.8900000001148896E-2</v>
      </c>
      <c r="Y181" s="2">
        <f t="shared" ca="1" si="20"/>
        <v>-4.2415115332725864E-2</v>
      </c>
      <c r="Z181" s="2">
        <f t="shared" ca="1" si="18"/>
        <v>-3.9431783665726597E-2</v>
      </c>
    </row>
    <row r="182" spans="1:26">
      <c r="A182" s="22">
        <v>37652</v>
      </c>
      <c r="B182" s="25" t="s">
        <v>49</v>
      </c>
      <c r="C182" s="25" t="s">
        <v>47</v>
      </c>
      <c r="D182" s="25" t="s">
        <v>32</v>
      </c>
      <c r="E182" s="25" t="s">
        <v>41</v>
      </c>
      <c r="F182" s="25" t="s">
        <v>43</v>
      </c>
      <c r="H182" s="23">
        <f ca="1">'Index Data'!E291</f>
        <v>8.537253879957634E-4</v>
      </c>
      <c r="I182" s="23">
        <f ca="1">'Index Data'!D291</f>
        <v>-2.918526246643106E-2</v>
      </c>
      <c r="J182" s="23">
        <f ca="1">'Index Data'!B291</f>
        <v>-4.1671590609226088E-2</v>
      </c>
      <c r="K182" s="23">
        <f ca="1">'Index Data'!C291</f>
        <v>-4.3515480097019088E-3</v>
      </c>
      <c r="L182" s="23">
        <f ca="1">'Index Data'!AH291</f>
        <v>5.7699999999999994E-2</v>
      </c>
      <c r="M182" s="23">
        <f ca="1">'Index Data'!V291</f>
        <v>-2.4264488207846369E-2</v>
      </c>
      <c r="N182" s="23">
        <f ca="1">'Index Data'!W291</f>
        <v>-2.4209774119817427E-2</v>
      </c>
      <c r="O182" s="23">
        <f ca="1">'Index Data'!R291</f>
        <v>-1.789703965741947E-2</v>
      </c>
      <c r="P182" s="23">
        <f ca="1">'Index Data'!S291</f>
        <v>-3.2978710842946651E-2</v>
      </c>
      <c r="Q182" s="23">
        <f ca="1">'Index Data'!U291</f>
        <v>-2.4237745964126582E-2</v>
      </c>
      <c r="R182" s="24"/>
      <c r="S182" s="23">
        <f t="shared" ca="1" si="19"/>
        <v>-1.7169667324660329E-2</v>
      </c>
      <c r="T182" s="2">
        <f t="shared" ca="1" si="14"/>
        <v>-2.4209774119817427E-2</v>
      </c>
      <c r="U182" s="2">
        <f t="shared" ca="1" si="15"/>
        <v>-2.4209774119817427E-2</v>
      </c>
      <c r="V182" s="2">
        <f t="shared" ca="1" si="16"/>
        <v>-4.3515480097019088E-3</v>
      </c>
      <c r="W182" s="2">
        <f t="shared" ca="1" si="17"/>
        <v>-2.2223951508805878E-2</v>
      </c>
      <c r="X182" s="2">
        <v>-2.78999999871129E-2</v>
      </c>
      <c r="Y182" s="2">
        <f t="shared" ca="1" si="20"/>
        <v>-2.2223951508805878E-2</v>
      </c>
      <c r="Z182" s="2">
        <f t="shared" ca="1" si="18"/>
        <v>-2.2813059986439108E-2</v>
      </c>
    </row>
    <row r="183" spans="1:26">
      <c r="A183" s="22">
        <v>37680</v>
      </c>
      <c r="B183" s="25" t="s">
        <v>49</v>
      </c>
      <c r="C183" s="25" t="s">
        <v>47</v>
      </c>
      <c r="D183" s="25" t="s">
        <v>32</v>
      </c>
      <c r="E183" s="25" t="s">
        <v>41</v>
      </c>
      <c r="F183" s="25" t="s">
        <v>43</v>
      </c>
      <c r="H183" s="23">
        <f ca="1">'Index Data'!E292</f>
        <v>1.3845490787630707E-2</v>
      </c>
      <c r="I183" s="23">
        <f ca="1">'Index Data'!D292</f>
        <v>-1.752493611736888E-2</v>
      </c>
      <c r="J183" s="23">
        <f ca="1">'Index Data'!B292</f>
        <v>-2.2859365400679881E-2</v>
      </c>
      <c r="K183" s="23">
        <f ca="1">'Index Data'!C292</f>
        <v>-2.6987652551885444E-2</v>
      </c>
      <c r="L183" s="23">
        <f ca="1">'Index Data'!AH292</f>
        <v>-4.8899999999999999E-2</v>
      </c>
      <c r="M183" s="23">
        <f ca="1">'Index Data'!V292</f>
        <v>-4.5907181530215847E-3</v>
      </c>
      <c r="N183" s="23">
        <f ca="1">'Index Data'!W292</f>
        <v>-2.6659395450295945E-2</v>
      </c>
      <c r="O183" s="23">
        <f ca="1">'Index Data'!R292</f>
        <v>-8.2940354036825509E-3</v>
      </c>
      <c r="P183" s="23">
        <f ca="1">'Index Data'!S292</f>
        <v>-2.2601284524652609E-2</v>
      </c>
      <c r="Q183" s="23">
        <f ca="1">'Index Data'!U292</f>
        <v>-1.5470266515730411E-2</v>
      </c>
      <c r="R183" s="24"/>
      <c r="S183" s="23">
        <f t="shared" ca="1" si="19"/>
        <v>-4.9767653553690443E-3</v>
      </c>
      <c r="T183" s="2">
        <f t="shared" ca="1" si="14"/>
        <v>-2.6659395450295945E-2</v>
      </c>
      <c r="U183" s="2">
        <f t="shared" ca="1" si="15"/>
        <v>-2.6659395450295945E-2</v>
      </c>
      <c r="V183" s="2">
        <f t="shared" ca="1" si="16"/>
        <v>-2.6987652551885444E-2</v>
      </c>
      <c r="W183" s="2">
        <f t="shared" ca="1" si="17"/>
        <v>-2.6692221160454898E-2</v>
      </c>
      <c r="X183" s="2">
        <v>-1.5500000010065462E-2</v>
      </c>
      <c r="Y183" s="2">
        <f t="shared" ca="1" si="20"/>
        <v>-2.6692221160454898E-2</v>
      </c>
      <c r="Z183" s="2">
        <f t="shared" ca="1" si="18"/>
        <v>-2.4462804000670718E-2</v>
      </c>
    </row>
    <row r="184" spans="1:26">
      <c r="A184" s="22">
        <v>37711</v>
      </c>
      <c r="B184" s="25" t="s">
        <v>49</v>
      </c>
      <c r="C184" s="25" t="s">
        <v>47</v>
      </c>
      <c r="D184" s="25" t="s">
        <v>32</v>
      </c>
      <c r="E184" s="25" t="s">
        <v>41</v>
      </c>
      <c r="F184" s="25" t="s">
        <v>43</v>
      </c>
      <c r="H184" s="23">
        <f ca="1">'Index Data'!E293</f>
        <v>-7.7935419877084246E-4</v>
      </c>
      <c r="I184" s="23">
        <f ca="1">'Index Data'!D293</f>
        <v>-3.7797916860787509E-3</v>
      </c>
      <c r="J184" s="23">
        <f ca="1">'Index Data'!B293</f>
        <v>-1.8898503263509732E-2</v>
      </c>
      <c r="K184" s="23">
        <f ca="1">'Index Data'!C293</f>
        <v>-2.8349819592057172E-2</v>
      </c>
      <c r="L184" s="23">
        <f ca="1">'Index Data'!AH293</f>
        <v>-4.1100000000000005E-2</v>
      </c>
      <c r="M184" s="23">
        <f ca="1">'Index Data'!V293</f>
        <v>1.861084501727198E-2</v>
      </c>
      <c r="N184" s="23">
        <f ca="1">'Index Data'!W293</f>
        <v>1.6621577635840454E-3</v>
      </c>
      <c r="O184" s="23">
        <f ca="1">'Index Data'!R293</f>
        <v>1.0752945112189062E-2</v>
      </c>
      <c r="P184" s="23">
        <f ca="1">'Index Data'!S293</f>
        <v>8.5324871637911821E-3</v>
      </c>
      <c r="Q184" s="23">
        <f ca="1">'Index Data'!U293</f>
        <v>1.0351524212258757E-2</v>
      </c>
      <c r="R184" s="24"/>
      <c r="S184" s="23">
        <f t="shared" ca="1" si="19"/>
        <v>-2.5796166911555875E-3</v>
      </c>
      <c r="T184" s="2">
        <f t="shared" ca="1" si="14"/>
        <v>1.6621577635840454E-3</v>
      </c>
      <c r="U184" s="2">
        <f t="shared" ca="1" si="15"/>
        <v>1.6621577635840454E-3</v>
      </c>
      <c r="V184" s="2">
        <f t="shared" ca="1" si="16"/>
        <v>-2.8349819592057172E-2</v>
      </c>
      <c r="W184" s="2">
        <f t="shared" ca="1" si="17"/>
        <v>-1.3390399719800763E-3</v>
      </c>
      <c r="X184" s="2">
        <v>3.0400000010504469E-2</v>
      </c>
      <c r="Y184" s="2">
        <f t="shared" ca="1" si="20"/>
        <v>-1.3390399719800763E-3</v>
      </c>
      <c r="Z184" s="2">
        <f t="shared" ca="1" si="18"/>
        <v>4.1834386472367003E-3</v>
      </c>
    </row>
    <row r="185" spans="1:26">
      <c r="A185" s="22">
        <v>37741</v>
      </c>
      <c r="B185" s="25" t="s">
        <v>49</v>
      </c>
      <c r="C185" s="25" t="s">
        <v>47</v>
      </c>
      <c r="D185" s="25" t="s">
        <v>32</v>
      </c>
      <c r="E185" s="25" t="s">
        <v>41</v>
      </c>
      <c r="F185" s="25" t="s">
        <v>43</v>
      </c>
      <c r="H185" s="23">
        <f ca="1">'Index Data'!E294</f>
        <v>8.2516441245811655E-3</v>
      </c>
      <c r="I185" s="23">
        <f ca="1">'Index Data'!D294</f>
        <v>8.9302416370482945E-2</v>
      </c>
      <c r="J185" s="23">
        <f ca="1">'Index Data'!B294</f>
        <v>9.9157733714025961E-2</v>
      </c>
      <c r="K185" s="23">
        <f ca="1">'Index Data'!C294</f>
        <v>8.9071894103976132E-2</v>
      </c>
      <c r="L185" s="23">
        <f ca="1">'Index Data'!AH294</f>
        <v>1.04E-2</v>
      </c>
      <c r="M185" s="23">
        <f ca="1">'Index Data'!V294</f>
        <v>7.3934618357728826E-2</v>
      </c>
      <c r="N185" s="23">
        <f ca="1">'Index Data'!W294</f>
        <v>8.8022757479949962E-2</v>
      </c>
      <c r="O185" s="23">
        <f ca="1">'Index Data'!R294</f>
        <v>6.075793753989453E-2</v>
      </c>
      <c r="P185" s="23">
        <f ca="1">'Index Data'!S294</f>
        <v>6.7954911433172324E-2</v>
      </c>
      <c r="Q185" s="23">
        <f ca="1">'Index Data'!U294</f>
        <v>8.0730300754404571E-2</v>
      </c>
      <c r="R185" s="24"/>
      <c r="S185" s="23">
        <f t="shared" ca="1" si="19"/>
        <v>5.6882107472122231E-2</v>
      </c>
      <c r="T185" s="2">
        <f t="shared" ca="1" si="14"/>
        <v>8.8022757479949962E-2</v>
      </c>
      <c r="U185" s="2">
        <f t="shared" ca="1" si="15"/>
        <v>8.8022757479949962E-2</v>
      </c>
      <c r="V185" s="2">
        <f t="shared" ca="1" si="16"/>
        <v>8.9071894103976132E-2</v>
      </c>
      <c r="W185" s="2">
        <f t="shared" ca="1" si="17"/>
        <v>8.8127671142352579E-2</v>
      </c>
      <c r="X185" s="2">
        <v>3.9399999999784052E-2</v>
      </c>
      <c r="Y185" s="2">
        <f t="shared" ca="1" si="20"/>
        <v>8.8127671142352579E-2</v>
      </c>
      <c r="Z185" s="2">
        <f t="shared" ca="1" si="18"/>
        <v>7.841098817099959E-2</v>
      </c>
    </row>
    <row r="186" spans="1:26">
      <c r="A186" s="22">
        <v>37772</v>
      </c>
      <c r="B186" s="25" t="s">
        <v>49</v>
      </c>
      <c r="C186" s="25" t="s">
        <v>47</v>
      </c>
      <c r="D186" s="25" t="s">
        <v>32</v>
      </c>
      <c r="E186" s="25" t="s">
        <v>41</v>
      </c>
      <c r="F186" s="25" t="s">
        <v>43</v>
      </c>
      <c r="H186" s="23">
        <f ca="1">'Index Data'!E295</f>
        <v>1.8645006461140885E-2</v>
      </c>
      <c r="I186" s="23">
        <f ca="1">'Index Data'!D295</f>
        <v>5.8193275742348879E-2</v>
      </c>
      <c r="J186" s="23">
        <f ca="1">'Index Data'!B295</f>
        <v>6.152036089014528E-2</v>
      </c>
      <c r="K186" s="23">
        <f ca="1">'Index Data'!C295</f>
        <v>7.1766561514195581E-2</v>
      </c>
      <c r="L186" s="23">
        <f ca="1">'Index Data'!AH295</f>
        <v>7.400000000000001E-2</v>
      </c>
      <c r="M186" s="23">
        <f ca="1">'Index Data'!V295</f>
        <v>4.9917738062067889E-2</v>
      </c>
      <c r="N186" s="23">
        <f ca="1">'Index Data'!W295</f>
        <v>6.4550875921700723E-2</v>
      </c>
      <c r="O186" s="23">
        <f ca="1">'Index Data'!R295</f>
        <v>4.7471528226615281E-2</v>
      </c>
      <c r="P186" s="23">
        <f ca="1">'Index Data'!S295</f>
        <v>4.457409297578184E-2</v>
      </c>
      <c r="Q186" s="23">
        <f ca="1">'Index Data'!U295</f>
        <v>5.7015945229180985E-2</v>
      </c>
      <c r="R186" s="24"/>
      <c r="S186" s="23">
        <f t="shared" ca="1" si="19"/>
        <v>4.2373968029865684E-2</v>
      </c>
      <c r="T186" s="2">
        <f t="shared" ca="1" si="14"/>
        <v>6.4550875921700723E-2</v>
      </c>
      <c r="U186" s="2">
        <f t="shared" ca="1" si="15"/>
        <v>6.4550875921700723E-2</v>
      </c>
      <c r="V186" s="2">
        <f t="shared" ca="1" si="16"/>
        <v>7.1766561514195581E-2</v>
      </c>
      <c r="W186" s="2">
        <f t="shared" ca="1" si="17"/>
        <v>6.5272444480950209E-2</v>
      </c>
      <c r="X186" s="2">
        <v>3.4499999995786457E-2</v>
      </c>
      <c r="Y186" s="2">
        <f t="shared" ca="1" si="20"/>
        <v>6.5272444480950209E-2</v>
      </c>
      <c r="Z186" s="2">
        <f t="shared" ca="1" si="18"/>
        <v>5.9316386937711067E-2</v>
      </c>
    </row>
    <row r="187" spans="1:26">
      <c r="A187" s="22">
        <v>37802</v>
      </c>
      <c r="B187" s="25" t="s">
        <v>49</v>
      </c>
      <c r="C187" s="25" t="s">
        <v>47</v>
      </c>
      <c r="D187" s="25" t="s">
        <v>32</v>
      </c>
      <c r="E187" s="25" t="s">
        <v>41</v>
      </c>
      <c r="F187" s="25" t="s">
        <v>43</v>
      </c>
      <c r="H187" s="23">
        <f ca="1">'Index Data'!E296</f>
        <v>-1.9848461312759582E-3</v>
      </c>
      <c r="I187" s="23">
        <f ca="1">'Index Data'!D296</f>
        <v>1.9205938176917653E-2</v>
      </c>
      <c r="J187" s="23">
        <f ca="1">'Index Data'!B296</f>
        <v>2.474972103418081E-2</v>
      </c>
      <c r="K187" s="23">
        <f ca="1">'Index Data'!C296</f>
        <v>5.7005583690429761E-2</v>
      </c>
      <c r="L187" s="23">
        <f ca="1">'Index Data'!AH296</f>
        <v>-4.99E-2</v>
      </c>
      <c r="M187" s="23">
        <f ca="1">'Index Data'!V296</f>
        <v>1.376826475001976E-2</v>
      </c>
      <c r="N187" s="23">
        <f ca="1">'Index Data'!W296</f>
        <v>1.2503104504521106E-2</v>
      </c>
      <c r="O187" s="23">
        <f ca="1">'Index Data'!R296</f>
        <v>1.6425881401731887E-2</v>
      </c>
      <c r="P187" s="23">
        <f ca="1">'Index Data'!S296</f>
        <v>8.2945624535026071E-3</v>
      </c>
      <c r="Q187" s="23">
        <f ca="1">'Index Data'!U296</f>
        <v>1.315149108558942E-2</v>
      </c>
      <c r="R187" s="24"/>
      <c r="S187" s="23">
        <f t="shared" ca="1" si="19"/>
        <v>1.0729624453640209E-2</v>
      </c>
      <c r="T187" s="2">
        <f t="shared" ca="1" si="14"/>
        <v>1.2503104504521106E-2</v>
      </c>
      <c r="U187" s="2">
        <f t="shared" ca="1" si="15"/>
        <v>1.2503104504521106E-2</v>
      </c>
      <c r="V187" s="2">
        <f t="shared" ca="1" si="16"/>
        <v>5.7005583690429761E-2</v>
      </c>
      <c r="W187" s="2">
        <f t="shared" ca="1" si="17"/>
        <v>1.6953352423111974E-2</v>
      </c>
      <c r="X187" s="2">
        <v>2.3899999991289889E-2</v>
      </c>
      <c r="Y187" s="2">
        <f t="shared" ca="1" si="20"/>
        <v>1.6953352423111974E-2</v>
      </c>
      <c r="Z187" s="2">
        <f t="shared" ca="1" si="18"/>
        <v>1.9566500114360043E-2</v>
      </c>
    </row>
    <row r="188" spans="1:26">
      <c r="A188" s="22">
        <v>37833</v>
      </c>
      <c r="B188" s="25" t="s">
        <v>45</v>
      </c>
      <c r="C188" s="25" t="s">
        <v>47</v>
      </c>
      <c r="D188" s="25" t="s">
        <v>32</v>
      </c>
      <c r="E188" s="25" t="s">
        <v>41</v>
      </c>
      <c r="F188" s="25" t="s">
        <v>39</v>
      </c>
      <c r="H188" s="23">
        <f ca="1">'Index Data'!E297</f>
        <v>-3.3619258439402416E-2</v>
      </c>
      <c r="I188" s="23">
        <f ca="1">'Index Data'!D297</f>
        <v>2.2191223199883699E-2</v>
      </c>
      <c r="J188" s="23">
        <f ca="1">'Index Data'!B297</f>
        <v>2.43563305791753E-2</v>
      </c>
      <c r="K188" s="23">
        <f ca="1">'Index Data'!C297</f>
        <v>6.2612612612612695E-2</v>
      </c>
      <c r="L188" s="23">
        <f ca="1">'Index Data'!AH297</f>
        <v>2.2200000000000001E-2</v>
      </c>
      <c r="M188" s="23">
        <f ca="1">'Index Data'!V297</f>
        <v>2.4884459444719773E-2</v>
      </c>
      <c r="N188" s="23">
        <f ca="1">'Index Data'!W297</f>
        <v>1.4890219832882584E-2</v>
      </c>
      <c r="O188" s="23">
        <f ca="1">'Index Data'!R297</f>
        <v>2.7380628414728689E-2</v>
      </c>
      <c r="P188" s="23">
        <f ca="1">'Index Data'!S297</f>
        <v>3.14957161421053E-3</v>
      </c>
      <c r="Q188" s="23">
        <f ca="1">'Index Data'!U297</f>
        <v>1.9926421552553173E-2</v>
      </c>
      <c r="R188" s="24"/>
      <c r="S188" s="23">
        <f t="shared" ca="1" si="19"/>
        <v>1.1029126872026476E-2</v>
      </c>
      <c r="T188" s="2">
        <f t="shared" ca="1" si="14"/>
        <v>1.4890219832882584E-2</v>
      </c>
      <c r="U188" s="2">
        <f t="shared" ca="1" si="15"/>
        <v>1.4890219832882584E-2</v>
      </c>
      <c r="V188" s="2">
        <f t="shared" ca="1" si="16"/>
        <v>6.2612612612612695E-2</v>
      </c>
      <c r="W188" s="2">
        <f t="shared" ca="1" si="17"/>
        <v>2.7380628414728689E-2</v>
      </c>
      <c r="X188" s="2">
        <v>3.4100000001341169E-2</v>
      </c>
      <c r="Y188" s="2">
        <f t="shared" ca="1" si="20"/>
        <v>1.9662459110855596E-2</v>
      </c>
      <c r="Z188" s="2">
        <f t="shared" ca="1" si="18"/>
        <v>2.4441195788185772E-2</v>
      </c>
    </row>
    <row r="189" spans="1:26">
      <c r="A189" s="22">
        <v>37864</v>
      </c>
      <c r="B189" s="25" t="s">
        <v>45</v>
      </c>
      <c r="C189" s="25" t="s">
        <v>47</v>
      </c>
      <c r="D189" s="25" t="s">
        <v>32</v>
      </c>
      <c r="E189" s="25" t="s">
        <v>41</v>
      </c>
      <c r="F189" s="25" t="s">
        <v>39</v>
      </c>
      <c r="H189" s="23">
        <f ca="1">'Index Data'!E298</f>
        <v>6.6392269148175314E-3</v>
      </c>
      <c r="I189" s="23">
        <f ca="1">'Index Data'!D298</f>
        <v>2.373784747501766E-2</v>
      </c>
      <c r="J189" s="23">
        <f ca="1">'Index Data'!B298</f>
        <v>2.4323020065663416E-2</v>
      </c>
      <c r="K189" s="23">
        <f ca="1">'Index Data'!C298</f>
        <v>6.7131681375004873E-2</v>
      </c>
      <c r="L189" s="23">
        <f ca="1">'Index Data'!AH298</f>
        <v>6.1600000000000002E-2</v>
      </c>
      <c r="M189" s="23">
        <f ca="1">'Index Data'!V298</f>
        <v>2.4870160672367123E-2</v>
      </c>
      <c r="N189" s="23">
        <f ca="1">'Index Data'!W298</f>
        <v>1.5582584565117579E-2</v>
      </c>
      <c r="O189" s="23">
        <f ca="1">'Index Data'!R298</f>
        <v>1.4099716783145458E-2</v>
      </c>
      <c r="P189" s="23">
        <f ca="1">'Index Data'!S298</f>
        <v>8.5298379660124889E-3</v>
      </c>
      <c r="Q189" s="23">
        <f ca="1">'Index Data'!U298</f>
        <v>2.0294831374624397E-2</v>
      </c>
      <c r="R189" s="24"/>
      <c r="S189" s="23">
        <f t="shared" ca="1" si="19"/>
        <v>2.0318123362977634E-2</v>
      </c>
      <c r="T189" s="2">
        <f t="shared" ca="1" si="14"/>
        <v>1.5582584565117579E-2</v>
      </c>
      <c r="U189" s="2">
        <f t="shared" ca="1" si="15"/>
        <v>1.5582584565117579E-2</v>
      </c>
      <c r="V189" s="2">
        <f t="shared" ca="1" si="16"/>
        <v>6.7131681375004873E-2</v>
      </c>
      <c r="W189" s="2">
        <f t="shared" ca="1" si="17"/>
        <v>1.4099716783145458E-2</v>
      </c>
      <c r="X189" s="2">
        <v>4.480000000985207E-2</v>
      </c>
      <c r="Y189" s="2">
        <f t="shared" ca="1" si="20"/>
        <v>2.0737494246106311E-2</v>
      </c>
      <c r="Z189" s="2">
        <f t="shared" ca="1" si="18"/>
        <v>2.64697622514053E-2</v>
      </c>
    </row>
    <row r="190" spans="1:26">
      <c r="A190" s="22">
        <v>37894</v>
      </c>
      <c r="B190" s="25" t="s">
        <v>45</v>
      </c>
      <c r="C190" s="25" t="s">
        <v>47</v>
      </c>
      <c r="D190" s="25" t="s">
        <v>32</v>
      </c>
      <c r="E190" s="25" t="s">
        <v>41</v>
      </c>
      <c r="F190" s="25" t="s">
        <v>39</v>
      </c>
      <c r="H190" s="23">
        <f ca="1">'Index Data'!E299</f>
        <v>2.6470640521946254E-2</v>
      </c>
      <c r="I190" s="23">
        <f ca="1">'Index Data'!D299</f>
        <v>6.3872928926067612E-3</v>
      </c>
      <c r="J190" s="23">
        <f ca="1">'Index Data'!B299</f>
        <v>3.102535137149352E-2</v>
      </c>
      <c r="K190" s="23">
        <f ca="1">'Index Data'!C299</f>
        <v>7.3309017370263721E-3</v>
      </c>
      <c r="L190" s="23">
        <f ca="1">'Index Data'!AH299</f>
        <v>2.5499999999999998E-2</v>
      </c>
      <c r="M190" s="23">
        <f ca="1">'Index Data'!V299</f>
        <v>-1.0704738508279273E-2</v>
      </c>
      <c r="N190" s="23">
        <f ca="1">'Index Data'!W299</f>
        <v>-9.755226880090305E-3</v>
      </c>
      <c r="O190" s="23">
        <f ca="1">'Index Data'!R299</f>
        <v>-7.2130357035220813E-3</v>
      </c>
      <c r="P190" s="23">
        <f ca="1">'Index Data'!S299</f>
        <v>-2.8518869259489101E-3</v>
      </c>
      <c r="Q190" s="23">
        <f ca="1">'Index Data'!U299</f>
        <v>-1.0242098023543205E-2</v>
      </c>
      <c r="R190" s="24">
        <f ca="1">Q190/100</f>
        <v>-1.0242098023543205E-4</v>
      </c>
      <c r="S190" s="23">
        <f t="shared" ca="1" si="19"/>
        <v>1.040396241847466E-2</v>
      </c>
      <c r="T190" s="2">
        <f t="shared" ca="1" si="14"/>
        <v>-9.755226880090305E-3</v>
      </c>
      <c r="U190" s="2">
        <f t="shared" ca="1" si="15"/>
        <v>-9.755226880090305E-3</v>
      </c>
      <c r="V190" s="2">
        <f t="shared" ca="1" si="16"/>
        <v>7.3309017370263721E-3</v>
      </c>
      <c r="W190" s="2">
        <f t="shared" ca="1" si="17"/>
        <v>-7.2130357035220813E-3</v>
      </c>
      <c r="X190" s="2">
        <v>-3.8000000094882136E-3</v>
      </c>
      <c r="Y190" s="2">
        <f t="shared" ca="1" si="20"/>
        <v>-8.0466140183786377E-3</v>
      </c>
      <c r="Z190" s="2">
        <f t="shared" ca="1" si="18"/>
        <v>-6.6649043060156028E-3</v>
      </c>
    </row>
    <row r="191" spans="1:26">
      <c r="A191" s="22">
        <v>37925</v>
      </c>
      <c r="B191" s="25" t="s">
        <v>45</v>
      </c>
      <c r="C191" s="25" t="s">
        <v>47</v>
      </c>
      <c r="D191" s="25" t="s">
        <v>32</v>
      </c>
      <c r="E191" s="25" t="s">
        <v>41</v>
      </c>
      <c r="F191" s="25" t="s">
        <v>39</v>
      </c>
      <c r="H191" s="23">
        <f ca="1">'Index Data'!E300</f>
        <v>-9.3262902667128351E-3</v>
      </c>
      <c r="I191" s="23">
        <f ca="1">'Index Data'!D300</f>
        <v>6.0663927691043534E-2</v>
      </c>
      <c r="J191" s="23">
        <f ca="1">'Index Data'!B300</f>
        <v>6.2392626228783721E-2</v>
      </c>
      <c r="K191" s="23">
        <f ca="1">'Index Data'!C300</f>
        <v>8.5089983508998407E-2</v>
      </c>
      <c r="L191" s="23">
        <f ca="1">'Index Data'!AH300</f>
        <v>-2.0999999999999999E-3</v>
      </c>
      <c r="M191" s="23">
        <f ca="1">'Index Data'!V300</f>
        <v>5.6166195316084661E-2</v>
      </c>
      <c r="N191" s="23">
        <f ca="1">'Index Data'!W300</f>
        <v>6.1197513913583433E-2</v>
      </c>
      <c r="O191" s="23">
        <f ca="1">'Index Data'!R300</f>
        <v>6.2980652473083473E-2</v>
      </c>
      <c r="P191" s="23">
        <f ca="1">'Index Data'!S300</f>
        <v>4.4538081151003689E-2</v>
      </c>
      <c r="Q191" s="23">
        <f ca="1">'Index Data'!U300</f>
        <v>5.8634224604669355E-2</v>
      </c>
      <c r="R191" s="24">
        <f t="shared" ref="R191:R210" ca="1" si="21">Q191/100</f>
        <v>5.8634224604669355E-4</v>
      </c>
      <c r="S191" s="23">
        <f t="shared" ca="1" si="19"/>
        <v>4.6665884099492259E-2</v>
      </c>
      <c r="T191" s="2">
        <f t="shared" ca="1" si="14"/>
        <v>6.1197513913583433E-2</v>
      </c>
      <c r="U191" s="2">
        <f t="shared" ca="1" si="15"/>
        <v>6.1197513913583433E-2</v>
      </c>
      <c r="V191" s="2">
        <f t="shared" ca="1" si="16"/>
        <v>8.5089983508998407E-2</v>
      </c>
      <c r="W191" s="2">
        <f t="shared" ca="1" si="17"/>
        <v>6.2980652473083473E-2</v>
      </c>
      <c r="X191" s="2">
        <v>6.7500000008726246E-2</v>
      </c>
      <c r="Y191" s="2">
        <f t="shared" ca="1" si="20"/>
        <v>6.3586760873124926E-2</v>
      </c>
      <c r="Z191" s="2">
        <f t="shared" ca="1" si="18"/>
        <v>6.4980993484115998E-2</v>
      </c>
    </row>
    <row r="192" spans="1:26">
      <c r="A192" s="22">
        <v>37955</v>
      </c>
      <c r="B192" s="25" t="s">
        <v>45</v>
      </c>
      <c r="C192" s="25" t="s">
        <v>47</v>
      </c>
      <c r="D192" s="25" t="s">
        <v>32</v>
      </c>
      <c r="E192" s="25" t="s">
        <v>41</v>
      </c>
      <c r="F192" s="25" t="s">
        <v>39</v>
      </c>
      <c r="H192" s="23">
        <f ca="1">'Index Data'!E301</f>
        <v>2.3950420880571393E-3</v>
      </c>
      <c r="I192" s="23">
        <f ca="1">'Index Data'!D301</f>
        <v>1.5320398999711866E-2</v>
      </c>
      <c r="J192" s="23">
        <f ca="1">'Index Data'!B301</f>
        <v>2.2375170683101367E-2</v>
      </c>
      <c r="K192" s="23">
        <f ca="1">'Index Data'!C301</f>
        <v>1.2290410506318562E-2</v>
      </c>
      <c r="L192" s="23">
        <f ca="1">'Index Data'!AH301</f>
        <v>3.1699999999999999E-2</v>
      </c>
      <c r="M192" s="23">
        <f ca="1">'Index Data'!V301</f>
        <v>1.0469464770975169E-2</v>
      </c>
      <c r="N192" s="23">
        <f ca="1">'Index Data'!W301</f>
        <v>1.3565200615665919E-2</v>
      </c>
      <c r="O192" s="23">
        <f ca="1">'Index Data'!R301</f>
        <v>1.0033508491356298E-2</v>
      </c>
      <c r="P192" s="23">
        <f ca="1">'Index Data'!S301</f>
        <v>1.3680019229362435E-2</v>
      </c>
      <c r="Q192" s="23">
        <f ca="1">'Index Data'!U301</f>
        <v>1.1989948819062256E-2</v>
      </c>
      <c r="R192" s="24">
        <f t="shared" ca="1" si="21"/>
        <v>1.1989948819062256E-4</v>
      </c>
      <c r="S192" s="23">
        <f t="shared" ca="1" si="19"/>
        <v>1.2735327617380922E-2</v>
      </c>
      <c r="T192" s="2">
        <f t="shared" ca="1" si="14"/>
        <v>1.3565200615665919E-2</v>
      </c>
      <c r="U192" s="2">
        <f t="shared" ca="1" si="15"/>
        <v>1.3565200615665919E-2</v>
      </c>
      <c r="V192" s="2">
        <f t="shared" ca="1" si="16"/>
        <v>1.2290410506318562E-2</v>
      </c>
      <c r="W192" s="2">
        <f t="shared" ca="1" si="17"/>
        <v>1.0033508491356298E-2</v>
      </c>
      <c r="X192" s="2">
        <v>3.1299999997457473E-2</v>
      </c>
      <c r="Y192" s="2">
        <f t="shared" ca="1" si="20"/>
        <v>1.3437721604731185E-2</v>
      </c>
      <c r="Z192" s="2">
        <f t="shared" ca="1" si="18"/>
        <v>1.6719804571766275E-2</v>
      </c>
    </row>
    <row r="193" spans="1:26">
      <c r="A193" s="22">
        <v>37986</v>
      </c>
      <c r="B193" s="25" t="s">
        <v>45</v>
      </c>
      <c r="C193" s="25" t="s">
        <v>47</v>
      </c>
      <c r="D193" s="25" t="s">
        <v>32</v>
      </c>
      <c r="E193" s="25" t="s">
        <v>33</v>
      </c>
      <c r="F193" s="25" t="s">
        <v>39</v>
      </c>
      <c r="H193" s="23">
        <f ca="1">'Index Data'!E302</f>
        <v>1.0176408521325177E-2</v>
      </c>
      <c r="I193" s="23">
        <f ca="1">'Index Data'!D302</f>
        <v>6.3408932064910564E-2</v>
      </c>
      <c r="J193" s="23">
        <f ca="1">'Index Data'!B302</f>
        <v>7.8169879991323646E-2</v>
      </c>
      <c r="K193" s="23">
        <f ca="1">'Index Data'!C302</f>
        <v>7.2504446874133169E-2</v>
      </c>
      <c r="L193" s="23">
        <f ca="1">'Index Data'!AH302</f>
        <v>4.8600000000000004E-2</v>
      </c>
      <c r="M193" s="23">
        <f ca="1">'Index Data'!V302</f>
        <v>3.4584408212356803E-2</v>
      </c>
      <c r="N193" s="23">
        <f ca="1">'Index Data'!W302</f>
        <v>6.1640505553934889E-2</v>
      </c>
      <c r="O193" s="23">
        <f ca="1">'Index Data'!R302</f>
        <v>2.1903451395826671E-2</v>
      </c>
      <c r="P193" s="23">
        <f ca="1">'Index Data'!S302</f>
        <v>4.7599901026846421E-2</v>
      </c>
      <c r="Q193" s="23">
        <f ca="1">'Index Data'!U302</f>
        <v>4.7886174077130188E-2</v>
      </c>
      <c r="R193" s="24">
        <f t="shared" ca="1" si="21"/>
        <v>4.7886174077130185E-4</v>
      </c>
      <c r="S193" s="23">
        <f t="shared" ca="1" si="19"/>
        <v>5.2762427356193492E-2</v>
      </c>
      <c r="T193" s="2">
        <f t="shared" ca="1" si="14"/>
        <v>6.1640505553934889E-2</v>
      </c>
      <c r="U193" s="2">
        <f t="shared" ca="1" si="15"/>
        <v>7.8169879991323646E-2</v>
      </c>
      <c r="V193" s="2">
        <f t="shared" ca="1" si="16"/>
        <v>7.2504446874133169E-2</v>
      </c>
      <c r="W193" s="2">
        <f t="shared" ca="1" si="17"/>
        <v>2.1903451395826671E-2</v>
      </c>
      <c r="X193" s="2">
        <v>5.699999999747063E-2</v>
      </c>
      <c r="Y193" s="2">
        <f t="shared" ca="1" si="20"/>
        <v>6.6859243295301907E-2</v>
      </c>
      <c r="Z193" s="2">
        <f t="shared" ca="1" si="18"/>
        <v>6.2950863122150938E-2</v>
      </c>
    </row>
    <row r="194" spans="1:26">
      <c r="A194" s="22">
        <v>38017</v>
      </c>
      <c r="B194" s="25" t="s">
        <v>45</v>
      </c>
      <c r="C194" s="25" t="s">
        <v>47</v>
      </c>
      <c r="D194" s="25" t="s">
        <v>32</v>
      </c>
      <c r="E194" s="25" t="s">
        <v>33</v>
      </c>
      <c r="F194" s="25" t="s">
        <v>39</v>
      </c>
      <c r="H194" s="23">
        <f ca="1">'Index Data'!E303</f>
        <v>8.045302303097213E-3</v>
      </c>
      <c r="I194" s="23">
        <f ca="1">'Index Data'!D303</f>
        <v>1.713701865814074E-2</v>
      </c>
      <c r="J194" s="23">
        <f ca="1">'Index Data'!B303</f>
        <v>1.4214863456168306E-2</v>
      </c>
      <c r="K194" s="23">
        <f ca="1">'Index Data'!C303</f>
        <v>3.5513222360853164E-2</v>
      </c>
      <c r="L194" s="23">
        <f ca="1">'Index Data'!AH303</f>
        <v>-3.3399999999999999E-2</v>
      </c>
      <c r="M194" s="23">
        <f ca="1">'Index Data'!V303</f>
        <v>2.0420413895007816E-2</v>
      </c>
      <c r="N194" s="23">
        <f ca="1">'Index Data'!W303</f>
        <v>1.7583723898703146E-2</v>
      </c>
      <c r="O194" s="23">
        <f ca="1">'Index Data'!R303</f>
        <v>2.5123125449615414E-2</v>
      </c>
      <c r="P194" s="23">
        <f ca="1">'Index Data'!S303</f>
        <v>1.4063161209687813E-2</v>
      </c>
      <c r="Q194" s="23">
        <f ca="1">'Index Data'!U303</f>
        <v>1.9007822040804624E-2</v>
      </c>
      <c r="R194" s="24">
        <f t="shared" ca="1" si="21"/>
        <v>1.9007822040804624E-4</v>
      </c>
      <c r="S194" s="23">
        <f t="shared" ca="1" si="19"/>
        <v>1.5318675387132035E-2</v>
      </c>
      <c r="T194" s="2">
        <f t="shared" ref="T194:T257" ca="1" si="22">IF(C194="R1G",M194,N194)</f>
        <v>1.7583723898703146E-2</v>
      </c>
      <c r="U194" s="2">
        <f t="shared" ref="U194:U257" ca="1" si="23">IF(E194="EAFE",J194,T194)</f>
        <v>1.4214863456168306E-2</v>
      </c>
      <c r="V194" s="2">
        <f t="shared" ref="V194:V257" ca="1" si="24">IF(D194="EM",K194,T194)</f>
        <v>3.5513222360853164E-2</v>
      </c>
      <c r="W194" s="2">
        <f t="shared" ref="W194:W257" ca="1" si="25">IF(F194="MTM",O194,IF(F194="MVL",P194,Y194))</f>
        <v>2.5123125449615414E-2</v>
      </c>
      <c r="X194" s="2">
        <v>2.5199999998063438E-2</v>
      </c>
      <c r="Y194" s="2">
        <f t="shared" ca="1" si="20"/>
        <v>1.8534458634284441E-2</v>
      </c>
      <c r="Z194" s="2">
        <f t="shared" ref="Z194:Z257" ca="1" si="26">0.2*X194+0.075*W194+0.1*V194+0.25*U194+0.375*T194</f>
        <v>2.0623168970474916E-2</v>
      </c>
    </row>
    <row r="195" spans="1:26">
      <c r="A195" s="22">
        <v>38046</v>
      </c>
      <c r="B195" s="25" t="s">
        <v>45</v>
      </c>
      <c r="C195" s="25" t="s">
        <v>47</v>
      </c>
      <c r="D195" s="25" t="s">
        <v>32</v>
      </c>
      <c r="E195" s="25" t="s">
        <v>33</v>
      </c>
      <c r="F195" s="25" t="s">
        <v>39</v>
      </c>
      <c r="H195" s="23">
        <f ca="1">'Index Data'!E304</f>
        <v>1.0824141946975492E-2</v>
      </c>
      <c r="I195" s="23">
        <f ca="1">'Index Data'!D304</f>
        <v>1.8453828746211782E-2</v>
      </c>
      <c r="J195" s="23">
        <f ca="1">'Index Data'!B304</f>
        <v>2.3254655447518046E-2</v>
      </c>
      <c r="K195" s="23">
        <f ca="1">'Index Data'!C304</f>
        <v>4.6123780416128045E-2</v>
      </c>
      <c r="L195" s="23">
        <f ca="1">'Index Data'!AH304</f>
        <v>-1.34E-2</v>
      </c>
      <c r="M195" s="23">
        <f ca="1">'Index Data'!V304</f>
        <v>6.3538286675592741E-3</v>
      </c>
      <c r="N195" s="23">
        <f ca="1">'Index Data'!W304</f>
        <v>2.1431799727290892E-2</v>
      </c>
      <c r="O195" s="23">
        <f ca="1">'Index Data'!R304</f>
        <v>1.3783175888438991E-2</v>
      </c>
      <c r="P195" s="23">
        <f ca="1">'Index Data'!S304</f>
        <v>2.0001552764891888E-2</v>
      </c>
      <c r="Q195" s="23">
        <f ca="1">'Index Data'!U304</f>
        <v>1.3849719288329659E-2</v>
      </c>
      <c r="R195" s="24">
        <f t="shared" ca="1" si="21"/>
        <v>1.3849719288329659E-4</v>
      </c>
      <c r="S195" s="23">
        <f t="shared" ref="S195:S258" ca="1" si="27">IF(B195="OW",0.8*I195+0.2*H195,IF(B195="NW",0.6*I195+0.4*H195,0.4*I195+0.6*H195))</f>
        <v>1.6927891386364524E-2</v>
      </c>
      <c r="T195" s="2">
        <f t="shared" ca="1" si="22"/>
        <v>2.1431799727290892E-2</v>
      </c>
      <c r="U195" s="2">
        <f t="shared" ca="1" si="23"/>
        <v>2.3254655447518046E-2</v>
      </c>
      <c r="V195" s="2">
        <f t="shared" ca="1" si="24"/>
        <v>4.6123780416128045E-2</v>
      </c>
      <c r="W195" s="2">
        <f t="shared" ca="1" si="25"/>
        <v>1.3783175888438991E-2</v>
      </c>
      <c r="X195" s="2">
        <v>2.7100000008698943E-2</v>
      </c>
      <c r="Y195" s="2">
        <f t="shared" ref="Y195:Y258" ca="1" si="28">0.25*U195+0.1*V195+0.65*T195</f>
        <v>2.4356711726231398E-2</v>
      </c>
      <c r="Z195" s="2">
        <f t="shared" ca="1" si="26"/>
        <v>2.4916704994599116E-2</v>
      </c>
    </row>
    <row r="196" spans="1:26">
      <c r="A196" s="22">
        <v>38077</v>
      </c>
      <c r="B196" s="25" t="s">
        <v>45</v>
      </c>
      <c r="C196" s="25" t="s">
        <v>47</v>
      </c>
      <c r="D196" s="25" t="s">
        <v>32</v>
      </c>
      <c r="E196" s="25" t="s">
        <v>33</v>
      </c>
      <c r="F196" s="25" t="s">
        <v>39</v>
      </c>
      <c r="H196" s="23">
        <f ca="1">'Index Data'!E305</f>
        <v>7.4889867841409002E-3</v>
      </c>
      <c r="I196" s="23">
        <f ca="1">'Index Data'!D305</f>
        <v>-5.3250142683784162E-3</v>
      </c>
      <c r="J196" s="23">
        <f ca="1">'Index Data'!B305</f>
        <v>6.0185877639840615E-3</v>
      </c>
      <c r="K196" s="23">
        <f ca="1">'Index Data'!C305</f>
        <v>1.2852026125430124E-2</v>
      </c>
      <c r="L196" s="23">
        <f ca="1">'Index Data'!AH305</f>
        <v>7.690000000000001E-2</v>
      </c>
      <c r="M196" s="23">
        <f ca="1">'Index Data'!V305</f>
        <v>-1.8549671221426887E-2</v>
      </c>
      <c r="N196" s="23">
        <f ca="1">'Index Data'!W305</f>
        <v>-8.7520788062074618E-3</v>
      </c>
      <c r="O196" s="23">
        <f ca="1">'Index Data'!R305</f>
        <v>-4.7567490814858634E-3</v>
      </c>
      <c r="P196" s="23">
        <f ca="1">'Index Data'!S305</f>
        <v>-3.17783507606816E-3</v>
      </c>
      <c r="Q196" s="23">
        <f ca="1">'Index Data'!U305</f>
        <v>-1.3642404378832129E-2</v>
      </c>
      <c r="R196" s="24">
        <f t="shared" ca="1" si="21"/>
        <v>-1.3642404378832128E-4</v>
      </c>
      <c r="S196" s="23">
        <f t="shared" ca="1" si="27"/>
        <v>-2.7622140578745531E-3</v>
      </c>
      <c r="T196" s="2">
        <f t="shared" ca="1" si="22"/>
        <v>-8.7520788062074618E-3</v>
      </c>
      <c r="U196" s="2">
        <f t="shared" ca="1" si="23"/>
        <v>6.0185877639840615E-3</v>
      </c>
      <c r="V196" s="2">
        <f t="shared" ca="1" si="24"/>
        <v>1.2852026125430124E-2</v>
      </c>
      <c r="W196" s="2">
        <f t="shared" ca="1" si="25"/>
        <v>-4.7567490814858634E-3</v>
      </c>
      <c r="X196" s="2">
        <v>4.7999999914707381E-3</v>
      </c>
      <c r="Y196" s="2">
        <f t="shared" ca="1" si="28"/>
        <v>-2.8990016704958229E-3</v>
      </c>
      <c r="Z196" s="2">
        <f t="shared" ca="1" si="26"/>
        <v>1.1106381839393747E-4</v>
      </c>
    </row>
    <row r="197" spans="1:26">
      <c r="A197" s="22">
        <v>38107</v>
      </c>
      <c r="B197" s="25" t="s">
        <v>45</v>
      </c>
      <c r="C197" s="25" t="s">
        <v>47</v>
      </c>
      <c r="D197" s="25" t="s">
        <v>32</v>
      </c>
      <c r="E197" s="25" t="s">
        <v>33</v>
      </c>
      <c r="F197" s="25" t="s">
        <v>39</v>
      </c>
      <c r="H197" s="23">
        <f ca="1">'Index Data'!E306</f>
        <v>-2.6016615653694841E-2</v>
      </c>
      <c r="I197" s="23">
        <f ca="1">'Index Data'!D306</f>
        <v>-2.2954408717160354E-2</v>
      </c>
      <c r="J197" s="23">
        <f ca="1">'Index Data'!B306</f>
        <v>-2.177278202555348E-2</v>
      </c>
      <c r="K197" s="23">
        <f ca="1">'Index Data'!C306</f>
        <v>-8.1763971709887737E-2</v>
      </c>
      <c r="L197" s="23">
        <f ca="1">'Index Data'!AH306</f>
        <v>-9.3100000000000002E-2</v>
      </c>
      <c r="M197" s="23">
        <f ca="1">'Index Data'!V306</f>
        <v>-1.1626371434808562E-2</v>
      </c>
      <c r="N197" s="23">
        <f ca="1">'Index Data'!W306</f>
        <v>-2.4439606499827026E-2</v>
      </c>
      <c r="O197" s="23">
        <f ca="1">'Index Data'!R306</f>
        <v>-4.4263727640754105E-2</v>
      </c>
      <c r="P197" s="23">
        <f ca="1">'Index Data'!S306</f>
        <v>-1.3668165201538778E-2</v>
      </c>
      <c r="Q197" s="23">
        <f ca="1">'Index Data'!U306</f>
        <v>-1.8077163314396787E-2</v>
      </c>
      <c r="R197" s="24">
        <f t="shared" ca="1" si="21"/>
        <v>-1.8077163314396787E-4</v>
      </c>
      <c r="S197" s="23">
        <f t="shared" ca="1" si="27"/>
        <v>-2.3566850104467251E-2</v>
      </c>
      <c r="T197" s="2">
        <f t="shared" ca="1" si="22"/>
        <v>-2.4439606499827026E-2</v>
      </c>
      <c r="U197" s="2">
        <f t="shared" ca="1" si="23"/>
        <v>-2.177278202555348E-2</v>
      </c>
      <c r="V197" s="2">
        <f t="shared" ca="1" si="24"/>
        <v>-8.1763971709887737E-2</v>
      </c>
      <c r="W197" s="2">
        <f t="shared" ca="1" si="25"/>
        <v>-4.4263727640754105E-2</v>
      </c>
      <c r="X197" s="2">
        <v>-4.5499999993094842E-2</v>
      </c>
      <c r="Y197" s="2">
        <f t="shared" ca="1" si="28"/>
        <v>-2.9505336902264711E-2</v>
      </c>
      <c r="Z197" s="2">
        <f t="shared" ca="1" si="26"/>
        <v>-3.5204224686487803E-2</v>
      </c>
    </row>
    <row r="198" spans="1:26">
      <c r="A198" s="22">
        <v>38138</v>
      </c>
      <c r="B198" s="25" t="s">
        <v>45</v>
      </c>
      <c r="C198" s="25" t="s">
        <v>47</v>
      </c>
      <c r="D198" s="25" t="s">
        <v>32</v>
      </c>
      <c r="E198" s="25" t="s">
        <v>33</v>
      </c>
      <c r="F198" s="25" t="s">
        <v>39</v>
      </c>
      <c r="H198" s="23">
        <f ca="1">'Index Data'!E307</f>
        <v>-4.0058706725372298E-3</v>
      </c>
      <c r="I198" s="23">
        <f ca="1">'Index Data'!D307</f>
        <v>8.4356068705010428E-3</v>
      </c>
      <c r="J198" s="23">
        <f ca="1">'Index Data'!B307</f>
        <v>4.3306646640472145E-3</v>
      </c>
      <c r="K198" s="23">
        <f ca="1">'Index Data'!C307</f>
        <v>-1.9693720361252852E-2</v>
      </c>
      <c r="L198" s="23">
        <f ca="1">'Index Data'!AH307</f>
        <v>1.6799999999999999E-2</v>
      </c>
      <c r="M198" s="23">
        <f ca="1">'Index Data'!V307</f>
        <v>1.8639959208047174E-2</v>
      </c>
      <c r="N198" s="23">
        <f ca="1">'Index Data'!W307</f>
        <v>1.0198344223200246E-2</v>
      </c>
      <c r="O198" s="23">
        <f ca="1">'Index Data'!R307</f>
        <v>2.4836259819745968E-2</v>
      </c>
      <c r="P198" s="23">
        <f ca="1">'Index Data'!S307</f>
        <v>8.8642015928467859E-3</v>
      </c>
      <c r="Q198" s="23">
        <f ca="1">'Index Data'!U307</f>
        <v>1.442448165253379E-2</v>
      </c>
      <c r="R198" s="24">
        <f t="shared" ca="1" si="21"/>
        <v>1.442448165253379E-4</v>
      </c>
      <c r="S198" s="23">
        <f t="shared" ca="1" si="27"/>
        <v>5.9473113618933888E-3</v>
      </c>
      <c r="T198" s="2">
        <f t="shared" ca="1" si="22"/>
        <v>1.0198344223200246E-2</v>
      </c>
      <c r="U198" s="2">
        <f t="shared" ca="1" si="23"/>
        <v>4.3306646640472145E-3</v>
      </c>
      <c r="V198" s="2">
        <f t="shared" ca="1" si="24"/>
        <v>-1.9693720361252852E-2</v>
      </c>
      <c r="W198" s="2">
        <f t="shared" ca="1" si="25"/>
        <v>2.4836259819745968E-2</v>
      </c>
      <c r="X198" s="2">
        <v>7.5999999920417505E-3</v>
      </c>
      <c r="Y198" s="2">
        <f t="shared" ca="1" si="28"/>
        <v>5.7422178749666781E-3</v>
      </c>
      <c r="Z198" s="2">
        <f t="shared" ca="1" si="26"/>
        <v>6.3203926984759084E-3</v>
      </c>
    </row>
    <row r="199" spans="1:26">
      <c r="A199" s="22">
        <v>38168</v>
      </c>
      <c r="B199" s="25" t="s">
        <v>45</v>
      </c>
      <c r="C199" s="25" t="s">
        <v>47</v>
      </c>
      <c r="D199" s="25" t="s">
        <v>32</v>
      </c>
      <c r="E199" s="25" t="s">
        <v>33</v>
      </c>
      <c r="F199" s="25" t="s">
        <v>39</v>
      </c>
      <c r="H199" s="23">
        <f ca="1">'Index Data'!E308</f>
        <v>5.6515784546573361E-3</v>
      </c>
      <c r="I199" s="23">
        <f ca="1">'Index Data'!D308</f>
        <v>2.021010137560993E-2</v>
      </c>
      <c r="J199" s="23">
        <f ca="1">'Index Data'!B308</f>
        <v>2.2316896909532102E-2</v>
      </c>
      <c r="K199" s="23">
        <f ca="1">'Index Data'!C308</f>
        <v>4.5755661685410991E-3</v>
      </c>
      <c r="L199" s="23">
        <f ca="1">'Index Data'!AH308</f>
        <v>-2.5000000000000001E-3</v>
      </c>
      <c r="M199" s="23">
        <f ca="1">'Index Data'!V308</f>
        <v>1.2495482834772151E-2</v>
      </c>
      <c r="N199" s="23">
        <f ca="1">'Index Data'!W308</f>
        <v>2.3628197992438125E-2</v>
      </c>
      <c r="O199" s="23">
        <f ca="1">'Index Data'!R308</f>
        <v>3.1116856633043075E-2</v>
      </c>
      <c r="P199" s="23">
        <f ca="1">'Index Data'!S308</f>
        <v>1.334254170143793E-2</v>
      </c>
      <c r="Q199" s="23">
        <f ca="1">'Index Data'!U308</f>
        <v>1.8027322734596552E-2</v>
      </c>
      <c r="R199" s="24">
        <f t="shared" ca="1" si="21"/>
        <v>1.8027322734596551E-4</v>
      </c>
      <c r="S199" s="23">
        <f t="shared" ca="1" si="27"/>
        <v>1.7298396791419413E-2</v>
      </c>
      <c r="T199" s="2">
        <f t="shared" ca="1" si="22"/>
        <v>2.3628197992438125E-2</v>
      </c>
      <c r="U199" s="2">
        <f t="shared" ca="1" si="23"/>
        <v>2.2316896909532102E-2</v>
      </c>
      <c r="V199" s="2">
        <f t="shared" ca="1" si="24"/>
        <v>4.5755661685410991E-3</v>
      </c>
      <c r="W199" s="2">
        <f t="shared" ca="1" si="25"/>
        <v>3.1116856633043075E-2</v>
      </c>
      <c r="X199" s="2">
        <v>1.769999999992633E-2</v>
      </c>
      <c r="Y199" s="2">
        <f t="shared" ca="1" si="28"/>
        <v>2.1395109539321916E-2</v>
      </c>
      <c r="Z199" s="2">
        <f t="shared" ca="1" si="26"/>
        <v>2.0771119338864927E-2</v>
      </c>
    </row>
    <row r="200" spans="1:26">
      <c r="A200" s="22">
        <v>38199</v>
      </c>
      <c r="B200" s="25" t="s">
        <v>45</v>
      </c>
      <c r="C200" s="25" t="s">
        <v>47</v>
      </c>
      <c r="D200" s="25" t="s">
        <v>32</v>
      </c>
      <c r="E200" s="25" t="s">
        <v>33</v>
      </c>
      <c r="F200" s="25" t="s">
        <v>39</v>
      </c>
      <c r="H200" s="23">
        <f ca="1">'Index Data'!E309</f>
        <v>9.9122549949145818E-3</v>
      </c>
      <c r="I200" s="23">
        <f ca="1">'Index Data'!D309</f>
        <v>-3.1722192511146219E-2</v>
      </c>
      <c r="J200" s="23">
        <f ca="1">'Index Data'!B309</f>
        <v>-3.23154584094262E-2</v>
      </c>
      <c r="K200" s="23">
        <f ca="1">'Index Data'!C309</f>
        <v>-1.7682150689343298E-2</v>
      </c>
      <c r="L200" s="23">
        <f ca="1">'Index Data'!AH309</f>
        <v>-5.1000000000000004E-3</v>
      </c>
      <c r="M200" s="23">
        <f ca="1">'Index Data'!V309</f>
        <v>-5.6532440785420968E-2</v>
      </c>
      <c r="N200" s="23">
        <f ca="1">'Index Data'!W309</f>
        <v>-1.4086672504082819E-2</v>
      </c>
      <c r="O200" s="23">
        <f ca="1">'Index Data'!R309</f>
        <v>-4.9619466370009205E-2</v>
      </c>
      <c r="P200" s="23">
        <f ca="1">'Index Data'!S309</f>
        <v>-2.288819052667455E-2</v>
      </c>
      <c r="Q200" s="23">
        <f ca="1">'Index Data'!U309</f>
        <v>-3.5118995765321868E-2</v>
      </c>
      <c r="R200" s="24">
        <f t="shared" ca="1" si="21"/>
        <v>-3.5118995765321868E-4</v>
      </c>
      <c r="S200" s="23">
        <f t="shared" ca="1" si="27"/>
        <v>-2.339530300993406E-2</v>
      </c>
      <c r="T200" s="2">
        <f t="shared" ca="1" si="22"/>
        <v>-1.4086672504082819E-2</v>
      </c>
      <c r="U200" s="2">
        <f t="shared" ca="1" si="23"/>
        <v>-3.23154584094262E-2</v>
      </c>
      <c r="V200" s="2">
        <f t="shared" ca="1" si="24"/>
        <v>-1.7682150689343298E-2</v>
      </c>
      <c r="W200" s="2">
        <f t="shared" ca="1" si="25"/>
        <v>-4.9619466370009205E-2</v>
      </c>
      <c r="X200" s="2">
        <v>-2.5199999996954436E-2</v>
      </c>
      <c r="Y200" s="2">
        <f t="shared" ca="1" si="28"/>
        <v>-1.9003416798944711E-2</v>
      </c>
      <c r="Z200" s="2">
        <f t="shared" ca="1" si="26"/>
        <v>-2.3891041837463517E-2</v>
      </c>
    </row>
    <row r="201" spans="1:26">
      <c r="A201" s="22">
        <v>38230</v>
      </c>
      <c r="B201" s="25" t="s">
        <v>45</v>
      </c>
      <c r="C201" s="25" t="s">
        <v>47</v>
      </c>
      <c r="D201" s="25" t="s">
        <v>32</v>
      </c>
      <c r="E201" s="25" t="s">
        <v>33</v>
      </c>
      <c r="F201" s="25" t="s">
        <v>39</v>
      </c>
      <c r="H201" s="23">
        <f ca="1">'Index Data'!E310</f>
        <v>1.9075174108971655E-2</v>
      </c>
      <c r="I201" s="23">
        <f ca="1">'Index Data'!D310</f>
        <v>6.4933392476426389E-3</v>
      </c>
      <c r="J201" s="23">
        <f ca="1">'Index Data'!B310</f>
        <v>4.6427575202233383E-3</v>
      </c>
      <c r="K201" s="23">
        <f ca="1">'Index Data'!C310</f>
        <v>4.1855309582539829E-2</v>
      </c>
      <c r="L201" s="23">
        <f ca="1">'Index Data'!AH310</f>
        <v>5.0900000000000001E-2</v>
      </c>
      <c r="M201" s="23">
        <f ca="1">'Index Data'!V310</f>
        <v>-4.9375105083225923E-3</v>
      </c>
      <c r="N201" s="23">
        <f ca="1">'Index Data'!W310</f>
        <v>1.4221380375331983E-2</v>
      </c>
      <c r="O201" s="23">
        <f ca="1">'Index Data'!R310</f>
        <v>7.7850653090799898E-3</v>
      </c>
      <c r="P201" s="23">
        <f ca="1">'Index Data'!S310</f>
        <v>2.2881832096564938E-2</v>
      </c>
      <c r="Q201" s="23">
        <f ca="1">'Index Data'!U310</f>
        <v>4.9337144477934747E-3</v>
      </c>
      <c r="R201" s="24">
        <f t="shared" ca="1" si="21"/>
        <v>4.9337144477934748E-5</v>
      </c>
      <c r="S201" s="23">
        <f t="shared" ca="1" si="27"/>
        <v>9.0097062199084432E-3</v>
      </c>
      <c r="T201" s="2">
        <f t="shared" ca="1" si="22"/>
        <v>1.4221380375331983E-2</v>
      </c>
      <c r="U201" s="2">
        <f t="shared" ca="1" si="23"/>
        <v>4.6427575202233383E-3</v>
      </c>
      <c r="V201" s="2">
        <f t="shared" ca="1" si="24"/>
        <v>4.1855309582539829E-2</v>
      </c>
      <c r="W201" s="2">
        <f t="shared" ca="1" si="25"/>
        <v>7.7850653090799898E-3</v>
      </c>
      <c r="X201" s="2">
        <v>1.2399999997434907E-2</v>
      </c>
      <c r="Y201" s="2">
        <f t="shared" ca="1" si="28"/>
        <v>1.4590117582275606E-2</v>
      </c>
      <c r="Z201" s="2">
        <f t="shared" ca="1" si="26"/>
        <v>1.3743117876727292E-2</v>
      </c>
    </row>
    <row r="202" spans="1:26">
      <c r="A202" s="22">
        <v>38260</v>
      </c>
      <c r="B202" s="25" t="s">
        <v>45</v>
      </c>
      <c r="C202" s="25" t="s">
        <v>47</v>
      </c>
      <c r="D202" s="25" t="s">
        <v>32</v>
      </c>
      <c r="E202" s="25" t="s">
        <v>33</v>
      </c>
      <c r="F202" s="25" t="s">
        <v>39</v>
      </c>
      <c r="H202" s="23">
        <f ca="1">'Index Data'!E311</f>
        <v>2.7134996608125499E-3</v>
      </c>
      <c r="I202" s="23">
        <f ca="1">'Index Data'!D311</f>
        <v>2.1068853353956644E-2</v>
      </c>
      <c r="J202" s="23">
        <f ca="1">'Index Data'!B311</f>
        <v>2.6282516527147842E-2</v>
      </c>
      <c r="K202" s="23">
        <f ca="1">'Index Data'!C311</f>
        <v>5.7750805424439895E-2</v>
      </c>
      <c r="L202" s="23">
        <f ca="1">'Index Data'!AH311</f>
        <v>1.9E-2</v>
      </c>
      <c r="M202" s="23">
        <f ca="1">'Index Data'!V311</f>
        <v>9.5100507465544996E-3</v>
      </c>
      <c r="N202" s="23">
        <f ca="1">'Index Data'!W311</f>
        <v>1.5501419447746584E-2</v>
      </c>
      <c r="O202" s="23">
        <f ca="1">'Index Data'!R311</f>
        <v>5.4535398230088572E-2</v>
      </c>
      <c r="P202" s="23">
        <f ca="1">'Index Data'!S311</f>
        <v>8.1922188127437432E-3</v>
      </c>
      <c r="Q202" s="23">
        <f ca="1">'Index Data'!U311</f>
        <v>1.2621967096462664E-2</v>
      </c>
      <c r="R202" s="24">
        <f t="shared" ca="1" si="21"/>
        <v>1.2621967096462664E-4</v>
      </c>
      <c r="S202" s="23">
        <f t="shared" ca="1" si="27"/>
        <v>1.7397782615327827E-2</v>
      </c>
      <c r="T202" s="2">
        <f t="shared" ca="1" si="22"/>
        <v>1.5501419447746584E-2</v>
      </c>
      <c r="U202" s="2">
        <f t="shared" ca="1" si="23"/>
        <v>2.6282516527147842E-2</v>
      </c>
      <c r="V202" s="2">
        <f t="shared" ca="1" si="24"/>
        <v>5.7750805424439895E-2</v>
      </c>
      <c r="W202" s="2">
        <f t="shared" ca="1" si="25"/>
        <v>5.4535398230088572E-2</v>
      </c>
      <c r="X202" s="2">
        <v>1.6000000074238852E-3</v>
      </c>
      <c r="Y202" s="2">
        <f t="shared" ca="1" si="28"/>
        <v>2.242163231526623E-2</v>
      </c>
      <c r="Z202" s="2">
        <f t="shared" ca="1" si="26"/>
        <v>2.2568896835877338E-2</v>
      </c>
    </row>
    <row r="203" spans="1:26">
      <c r="A203" s="22">
        <v>38291</v>
      </c>
      <c r="B203" s="25" t="s">
        <v>45</v>
      </c>
      <c r="C203" s="25" t="s">
        <v>47</v>
      </c>
      <c r="D203" s="25" t="s">
        <v>32</v>
      </c>
      <c r="E203" s="25" t="s">
        <v>33</v>
      </c>
      <c r="F203" s="25" t="s">
        <v>39</v>
      </c>
      <c r="H203" s="23">
        <f ca="1">'Index Data'!E312</f>
        <v>8.3857442348008078E-3</v>
      </c>
      <c r="I203" s="23">
        <f ca="1">'Index Data'!D312</f>
        <v>2.4677400491208985E-2</v>
      </c>
      <c r="J203" s="23">
        <f ca="1">'Index Data'!B312</f>
        <v>3.4160363191857432E-2</v>
      </c>
      <c r="K203" s="23">
        <f ca="1">'Index Data'!C312</f>
        <v>2.3969740327813058E-2</v>
      </c>
      <c r="L203" s="23">
        <f ca="1">'Index Data'!AH312</f>
        <v>2.5600000000000001E-2</v>
      </c>
      <c r="M203" s="23">
        <f ca="1">'Index Data'!V312</f>
        <v>1.5596624590278125E-2</v>
      </c>
      <c r="N203" s="23">
        <f ca="1">'Index Data'!W312</f>
        <v>1.6623797715174211E-2</v>
      </c>
      <c r="O203" s="23">
        <f ca="1">'Index Data'!R312</f>
        <v>7.7974754362041265E-3</v>
      </c>
      <c r="P203" s="23">
        <f ca="1">'Index Data'!S312</f>
        <v>1.2221355903544281E-2</v>
      </c>
      <c r="Q203" s="23">
        <f ca="1">'Index Data'!U312</f>
        <v>1.6130108672524301E-2</v>
      </c>
      <c r="R203" s="24">
        <f t="shared" ca="1" si="21"/>
        <v>1.6130108672524301E-4</v>
      </c>
      <c r="S203" s="23">
        <f t="shared" ca="1" si="27"/>
        <v>2.1419069239927351E-2</v>
      </c>
      <c r="T203" s="2">
        <f t="shared" ca="1" si="22"/>
        <v>1.6623797715174211E-2</v>
      </c>
      <c r="U203" s="2">
        <f t="shared" ca="1" si="23"/>
        <v>3.4160363191857432E-2</v>
      </c>
      <c r="V203" s="2">
        <f t="shared" ca="1" si="24"/>
        <v>2.3969740327813058E-2</v>
      </c>
      <c r="W203" s="2">
        <f t="shared" ca="1" si="25"/>
        <v>7.7974754362041265E-3</v>
      </c>
      <c r="X203" s="2">
        <v>4.4999999933206247E-3</v>
      </c>
      <c r="Y203" s="2">
        <f t="shared" ca="1" si="28"/>
        <v>2.1742533345608901E-2</v>
      </c>
      <c r="Z203" s="2">
        <f t="shared" ca="1" si="26"/>
        <v>1.8655799630315426E-2</v>
      </c>
    </row>
    <row r="204" spans="1:26">
      <c r="A204" s="22">
        <v>38321</v>
      </c>
      <c r="B204" s="25" t="s">
        <v>45</v>
      </c>
      <c r="C204" s="25" t="s">
        <v>47</v>
      </c>
      <c r="D204" s="25" t="s">
        <v>32</v>
      </c>
      <c r="E204" s="25" t="s">
        <v>33</v>
      </c>
      <c r="F204" s="25" t="s">
        <v>39</v>
      </c>
      <c r="H204" s="23">
        <f ca="1">'Index Data'!E313</f>
        <v>-7.9764103668485166E-3</v>
      </c>
      <c r="I204" s="23">
        <f ca="1">'Index Data'!D313</f>
        <v>5.4930212839967886E-2</v>
      </c>
      <c r="J204" s="23">
        <f ca="1">'Index Data'!B313</f>
        <v>6.8590013527620175E-2</v>
      </c>
      <c r="K204" s="23">
        <f ca="1">'Index Data'!C313</f>
        <v>9.2624617811043086E-2</v>
      </c>
      <c r="L204" s="23">
        <f ca="1">'Index Data'!AH313</f>
        <v>5.0999999999999997E-2</v>
      </c>
      <c r="M204" s="23">
        <f ca="1">'Index Data'!V313</f>
        <v>3.4397609224701087E-2</v>
      </c>
      <c r="N204" s="23">
        <f ca="1">'Index Data'!W313</f>
        <v>5.0557961117084674E-2</v>
      </c>
      <c r="O204" s="23">
        <f ca="1">'Index Data'!R313</f>
        <v>7.7527583096245814E-2</v>
      </c>
      <c r="P204" s="23">
        <f ca="1">'Index Data'!S313</f>
        <v>4.4750078883382546E-2</v>
      </c>
      <c r="Q204" s="23">
        <f ca="1">'Index Data'!U313</f>
        <v>4.281336468377446E-2</v>
      </c>
      <c r="R204" s="24">
        <f t="shared" ca="1" si="21"/>
        <v>4.2813364683774458E-4</v>
      </c>
      <c r="S204" s="23">
        <f t="shared" ca="1" si="27"/>
        <v>4.2348888198604606E-2</v>
      </c>
      <c r="T204" s="2">
        <f t="shared" ca="1" si="22"/>
        <v>5.0557961117084674E-2</v>
      </c>
      <c r="U204" s="2">
        <f t="shared" ca="1" si="23"/>
        <v>6.8590013527620175E-2</v>
      </c>
      <c r="V204" s="2">
        <f t="shared" ca="1" si="24"/>
        <v>9.2624617811043086E-2</v>
      </c>
      <c r="W204" s="2">
        <f t="shared" ca="1" si="25"/>
        <v>7.7527583096245814E-2</v>
      </c>
      <c r="X204" s="2">
        <v>3.4800000004779008E-2</v>
      </c>
      <c r="Y204" s="2">
        <f t="shared" ca="1" si="28"/>
        <v>5.9272639889114395E-2</v>
      </c>
      <c r="Z204" s="2">
        <f t="shared" ca="1" si="26"/>
        <v>5.8143769315090348E-2</v>
      </c>
    </row>
    <row r="205" spans="1:26">
      <c r="A205" s="22">
        <v>38352</v>
      </c>
      <c r="B205" s="25" t="s">
        <v>45</v>
      </c>
      <c r="C205" s="25" t="s">
        <v>47</v>
      </c>
      <c r="D205" s="25" t="s">
        <v>32</v>
      </c>
      <c r="E205" s="25" t="s">
        <v>33</v>
      </c>
      <c r="F205" s="25" t="s">
        <v>39</v>
      </c>
      <c r="H205" s="23">
        <f ca="1">'Index Data'!E314</f>
        <v>9.2011221695277381E-3</v>
      </c>
      <c r="I205" s="23">
        <f ca="1">'Index Data'!D314</f>
        <v>3.8978435761961236E-2</v>
      </c>
      <c r="J205" s="23">
        <f ca="1">'Index Data'!B314</f>
        <v>4.3916696478845968E-2</v>
      </c>
      <c r="K205" s="23">
        <f ca="1">'Index Data'!C314</f>
        <v>4.8141207455429477E-2</v>
      </c>
      <c r="L205" s="23">
        <f ca="1">'Index Data'!AH314</f>
        <v>-2.86E-2</v>
      </c>
      <c r="M205" s="23">
        <f ca="1">'Index Data'!V314</f>
        <v>3.920985477536524E-2</v>
      </c>
      <c r="N205" s="23">
        <f ca="1">'Index Data'!W314</f>
        <v>3.3486511344854385E-2</v>
      </c>
      <c r="O205" s="23">
        <f ca="1">'Index Data'!R314</f>
        <v>1.9947515012960229E-2</v>
      </c>
      <c r="P205" s="23">
        <f ca="1">'Index Data'!S314</f>
        <v>3.3603965321205166E-2</v>
      </c>
      <c r="Q205" s="23">
        <f ca="1">'Index Data'!U314</f>
        <v>3.6207515511129162E-2</v>
      </c>
      <c r="R205" s="24">
        <f t="shared" ca="1" si="21"/>
        <v>3.620751551112916E-4</v>
      </c>
      <c r="S205" s="23">
        <f t="shared" ca="1" si="27"/>
        <v>3.3022973043474534E-2</v>
      </c>
      <c r="T205" s="2">
        <f t="shared" ca="1" si="22"/>
        <v>3.3486511344854385E-2</v>
      </c>
      <c r="U205" s="2">
        <f t="shared" ca="1" si="23"/>
        <v>4.3916696478845968E-2</v>
      </c>
      <c r="V205" s="2">
        <f t="shared" ca="1" si="24"/>
        <v>4.8141207455429477E-2</v>
      </c>
      <c r="W205" s="2">
        <f t="shared" ca="1" si="25"/>
        <v>1.9947515012960229E-2</v>
      </c>
      <c r="X205" s="2">
        <v>4.1500000001768234E-2</v>
      </c>
      <c r="Y205" s="2">
        <f t="shared" ca="1" si="28"/>
        <v>3.7559527239409793E-2</v>
      </c>
      <c r="Z205" s="2">
        <f t="shared" ca="1" si="26"/>
        <v>3.8146800245900503E-2</v>
      </c>
    </row>
    <row r="206" spans="1:26">
      <c r="A206" s="22">
        <v>38383</v>
      </c>
      <c r="B206" s="25" t="s">
        <v>45</v>
      </c>
      <c r="C206" s="25" t="s">
        <v>47</v>
      </c>
      <c r="D206" s="25" t="s">
        <v>32</v>
      </c>
      <c r="E206" s="25" t="s">
        <v>33</v>
      </c>
      <c r="F206" s="25" t="s">
        <v>39</v>
      </c>
      <c r="H206" s="23">
        <f ca="1">'Index Data'!E315</f>
        <v>6.2794738148423245E-3</v>
      </c>
      <c r="I206" s="23">
        <f ca="1">'Index Data'!D315</f>
        <v>-2.0998214817018732E-2</v>
      </c>
      <c r="J206" s="23">
        <f ca="1">'Index Data'!B315</f>
        <v>-1.8272837011579231E-2</v>
      </c>
      <c r="K206" s="23">
        <f ca="1">'Index Data'!C315</f>
        <v>3.1650921742492023E-3</v>
      </c>
      <c r="L206" s="23">
        <f ca="1">'Index Data'!AH315</f>
        <v>-3.7900000000000003E-2</v>
      </c>
      <c r="M206" s="23">
        <f ca="1">'Index Data'!V315</f>
        <v>-3.3348238811309536E-2</v>
      </c>
      <c r="N206" s="23">
        <f ca="1">'Index Data'!W315</f>
        <v>-1.7750647812493189E-2</v>
      </c>
      <c r="O206" s="23">
        <f ca="1">'Index Data'!R315</f>
        <v>-2.0693900745043587E-2</v>
      </c>
      <c r="P206" s="23">
        <f ca="1">'Index Data'!S315</f>
        <v>-1.7420225337103259E-2</v>
      </c>
      <c r="Q206" s="23">
        <f ca="1">'Index Data'!U315</f>
        <v>-2.519698439927898E-2</v>
      </c>
      <c r="R206" s="24">
        <f t="shared" ca="1" si="21"/>
        <v>-2.5196984399278983E-4</v>
      </c>
      <c r="S206" s="23">
        <f t="shared" ca="1" si="27"/>
        <v>-1.5542677090646521E-2</v>
      </c>
      <c r="T206" s="2">
        <f t="shared" ca="1" si="22"/>
        <v>-1.7750647812493189E-2</v>
      </c>
      <c r="U206" s="2">
        <f t="shared" ca="1" si="23"/>
        <v>-1.8272837011579231E-2</v>
      </c>
      <c r="V206" s="2">
        <f t="shared" ca="1" si="24"/>
        <v>3.1650921742492023E-3</v>
      </c>
      <c r="W206" s="2">
        <f t="shared" ca="1" si="25"/>
        <v>-2.0693900745043587E-2</v>
      </c>
      <c r="X206" s="2">
        <v>-1.1700000002519695E-2</v>
      </c>
      <c r="Y206" s="2">
        <f t="shared" ca="1" si="28"/>
        <v>-1.578962111359046E-2</v>
      </c>
      <c r="Z206" s="2">
        <f t="shared" ca="1" si="26"/>
        <v>-1.4800235521537039E-2</v>
      </c>
    </row>
    <row r="207" spans="1:26">
      <c r="A207" s="22">
        <v>38411</v>
      </c>
      <c r="B207" s="25" t="s">
        <v>45</v>
      </c>
      <c r="C207" s="25" t="s">
        <v>47</v>
      </c>
      <c r="D207" s="25" t="s">
        <v>32</v>
      </c>
      <c r="E207" s="25" t="s">
        <v>33</v>
      </c>
      <c r="F207" s="25" t="s">
        <v>39</v>
      </c>
      <c r="H207" s="23">
        <f ca="1">'Index Data'!E316</f>
        <v>-5.903197428244961E-3</v>
      </c>
      <c r="I207" s="23">
        <f ca="1">'Index Data'!D316</f>
        <v>3.5109446348116122E-2</v>
      </c>
      <c r="J207" s="23">
        <f ca="1">'Index Data'!B316</f>
        <v>4.3437319394320724E-2</v>
      </c>
      <c r="K207" s="23">
        <f ca="1">'Index Data'!C316</f>
        <v>8.7801059730250444E-2</v>
      </c>
      <c r="L207" s="23">
        <f ca="1">'Index Data'!AH316</f>
        <v>3.7499999999999999E-2</v>
      </c>
      <c r="M207" s="23">
        <f ca="1">'Index Data'!V316</f>
        <v>1.0642234816443946E-2</v>
      </c>
      <c r="N207" s="23">
        <f ca="1">'Index Data'!W316</f>
        <v>3.3142020198579689E-2</v>
      </c>
      <c r="O207" s="23">
        <f ca="1">'Index Data'!R316</f>
        <v>6.0089295788269194E-2</v>
      </c>
      <c r="P207" s="23">
        <f ca="1">'Index Data'!S316</f>
        <v>2.1236399258300367E-2</v>
      </c>
      <c r="Q207" s="23">
        <f ca="1">'Index Data'!U316</f>
        <v>2.2487866997646884E-2</v>
      </c>
      <c r="R207" s="24">
        <f t="shared" ca="1" si="21"/>
        <v>2.2487866997646883E-4</v>
      </c>
      <c r="S207" s="23">
        <f t="shared" ca="1" si="27"/>
        <v>2.6906917592843908E-2</v>
      </c>
      <c r="T207" s="2">
        <f t="shared" ca="1" si="22"/>
        <v>3.3142020198579689E-2</v>
      </c>
      <c r="U207" s="2">
        <f t="shared" ca="1" si="23"/>
        <v>4.3437319394320724E-2</v>
      </c>
      <c r="V207" s="2">
        <f t="shared" ca="1" si="24"/>
        <v>8.7801059730250444E-2</v>
      </c>
      <c r="W207" s="2">
        <f t="shared" ca="1" si="25"/>
        <v>6.0089295788269194E-2</v>
      </c>
      <c r="X207" s="2">
        <v>4.2499999996653104E-2</v>
      </c>
      <c r="Y207" s="2">
        <f t="shared" ca="1" si="28"/>
        <v>4.1181748950682023E-2</v>
      </c>
      <c r="Z207" s="2">
        <f t="shared" ca="1" si="26"/>
        <v>4.5074390579523414E-2</v>
      </c>
    </row>
    <row r="208" spans="1:26">
      <c r="A208" s="22">
        <v>38442</v>
      </c>
      <c r="B208" s="25" t="s">
        <v>45</v>
      </c>
      <c r="C208" s="25" t="s">
        <v>47</v>
      </c>
      <c r="D208" s="25" t="s">
        <v>32</v>
      </c>
      <c r="E208" s="25" t="s">
        <v>33</v>
      </c>
      <c r="F208" s="25" t="s">
        <v>39</v>
      </c>
      <c r="H208" s="23">
        <f ca="1">'Index Data'!E317</f>
        <v>-5.1360091306827419E-3</v>
      </c>
      <c r="I208" s="23">
        <f ca="1">'Index Data'!D317</f>
        <v>-2.1633709635588663E-2</v>
      </c>
      <c r="J208" s="23">
        <f ca="1">'Index Data'!B317</f>
        <v>-2.473525807568101E-2</v>
      </c>
      <c r="K208" s="23">
        <f ca="1">'Index Data'!C317</f>
        <v>-6.5879930477909021E-2</v>
      </c>
      <c r="L208" s="23">
        <f ca="1">'Index Data'!AH317</f>
        <v>-2.0299999999999999E-2</v>
      </c>
      <c r="M208" s="23">
        <f ca="1">'Index Data'!V317</f>
        <v>-1.8219862422514603E-2</v>
      </c>
      <c r="N208" s="23">
        <f ca="1">'Index Data'!W317</f>
        <v>-1.3721708454906542E-2</v>
      </c>
      <c r="O208" s="23">
        <f ca="1">'Index Data'!R317</f>
        <v>-9.7310282960058544E-3</v>
      </c>
      <c r="P208" s="23">
        <f ca="1">'Index Data'!S317</f>
        <v>-9.84926344638575E-3</v>
      </c>
      <c r="Q208" s="23">
        <f ca="1">'Index Data'!U317</f>
        <v>-1.5829913622406558E-2</v>
      </c>
      <c r="R208" s="24">
        <f t="shared" ca="1" si="21"/>
        <v>-1.5829913622406557E-4</v>
      </c>
      <c r="S208" s="23">
        <f t="shared" ca="1" si="27"/>
        <v>-1.8334169534607481E-2</v>
      </c>
      <c r="T208" s="2">
        <f t="shared" ca="1" si="22"/>
        <v>-1.3721708454906542E-2</v>
      </c>
      <c r="U208" s="2">
        <f t="shared" ca="1" si="23"/>
        <v>-2.473525807568101E-2</v>
      </c>
      <c r="V208" s="2">
        <f t="shared" ca="1" si="24"/>
        <v>-6.5879930477909021E-2</v>
      </c>
      <c r="W208" s="2">
        <f t="shared" ca="1" si="25"/>
        <v>-9.7310282960058544E-3</v>
      </c>
      <c r="X208" s="2">
        <v>-1.5999999990108371E-3</v>
      </c>
      <c r="Y208" s="2">
        <f t="shared" ca="1" si="28"/>
        <v>-2.1690918062400408E-2</v>
      </c>
      <c r="Z208" s="2">
        <f t="shared" ca="1" si="26"/>
        <v>-1.8967275359303717E-2</v>
      </c>
    </row>
    <row r="209" spans="1:26">
      <c r="A209" s="22">
        <v>38472</v>
      </c>
      <c r="B209" s="25" t="s">
        <v>45</v>
      </c>
      <c r="C209" s="25" t="s">
        <v>47</v>
      </c>
      <c r="D209" s="25" t="s">
        <v>32</v>
      </c>
      <c r="E209" s="25" t="s">
        <v>33</v>
      </c>
      <c r="F209" s="25" t="s">
        <v>39</v>
      </c>
      <c r="H209" s="23">
        <f ca="1">'Index Data'!E318</f>
        <v>1.3533959597639015E-2</v>
      </c>
      <c r="I209" s="23">
        <f ca="1">'Index Data'!D318</f>
        <v>-2.138934459026888E-2</v>
      </c>
      <c r="J209" s="23">
        <f ca="1">'Index Data'!B318</f>
        <v>-2.2383390079754584E-2</v>
      </c>
      <c r="K209" s="23">
        <f ca="1">'Index Data'!C318</f>
        <v>-2.6653235363830304E-2</v>
      </c>
      <c r="L209" s="23">
        <f ca="1">'Index Data'!AH318</f>
        <v>1.7299999999999999E-2</v>
      </c>
      <c r="M209" s="23">
        <f ca="1">'Index Data'!V318</f>
        <v>-1.9042849074498269E-2</v>
      </c>
      <c r="N209" s="23">
        <f ca="1">'Index Data'!W318</f>
        <v>-1.7910567502248027E-2</v>
      </c>
      <c r="O209" s="23">
        <f ca="1">'Index Data'!R318</f>
        <v>-3.8968815734926068E-2</v>
      </c>
      <c r="P209" s="23">
        <f ca="1">'Index Data'!S318</f>
        <v>1.1850185970072816E-3</v>
      </c>
      <c r="Q209" s="23">
        <f ca="1">'Index Data'!U318</f>
        <v>-1.8441262123537066E-2</v>
      </c>
      <c r="R209" s="24">
        <f t="shared" ca="1" si="21"/>
        <v>-1.8441262123537066E-4</v>
      </c>
      <c r="S209" s="23">
        <f t="shared" ca="1" si="27"/>
        <v>-1.4404683752687301E-2</v>
      </c>
      <c r="T209" s="2">
        <f t="shared" ca="1" si="22"/>
        <v>-1.7910567502248027E-2</v>
      </c>
      <c r="U209" s="2">
        <f t="shared" ca="1" si="23"/>
        <v>-2.2383390079754584E-2</v>
      </c>
      <c r="V209" s="2">
        <f t="shared" ca="1" si="24"/>
        <v>-2.6653235363830304E-2</v>
      </c>
      <c r="W209" s="2">
        <f t="shared" ca="1" si="25"/>
        <v>-3.8968815734926068E-2</v>
      </c>
      <c r="X209" s="2">
        <v>-3.099999999504699E-2</v>
      </c>
      <c r="Y209" s="2">
        <f t="shared" ca="1" si="28"/>
        <v>-1.9903039932782897E-2</v>
      </c>
      <c r="Z209" s="2">
        <f t="shared" ca="1" si="26"/>
        <v>-2.4100295048793539E-2</v>
      </c>
    </row>
    <row r="210" spans="1:26">
      <c r="A210" s="22">
        <v>38503</v>
      </c>
      <c r="B210" s="25" t="s">
        <v>45</v>
      </c>
      <c r="C210" s="25" t="s">
        <v>47</v>
      </c>
      <c r="D210" s="25" t="s">
        <v>32</v>
      </c>
      <c r="E210" s="25" t="s">
        <v>33</v>
      </c>
      <c r="F210" s="25" t="s">
        <v>39</v>
      </c>
      <c r="H210" s="23">
        <f ca="1">'Index Data'!E319</f>
        <v>1.0818747026689928E-2</v>
      </c>
      <c r="I210" s="23">
        <f ca="1">'Index Data'!D319</f>
        <v>1.9421494995131763E-2</v>
      </c>
      <c r="J210" s="23">
        <f ca="1">'Index Data'!B319</f>
        <v>1.5297827398679268E-3</v>
      </c>
      <c r="K210" s="23">
        <f ca="1">'Index Data'!C319</f>
        <v>3.5212039303064706E-2</v>
      </c>
      <c r="L210" s="23">
        <f ca="1">'Index Data'!AH319</f>
        <v>-4.5400000000000003E-2</v>
      </c>
      <c r="M210" s="23">
        <f ca="1">'Index Data'!V319</f>
        <v>4.8381927998783318E-2</v>
      </c>
      <c r="N210" s="23">
        <f ca="1">'Index Data'!W319</f>
        <v>2.4072907980054088E-2</v>
      </c>
      <c r="O210" s="23">
        <f ca="1">'Index Data'!R319</f>
        <v>3.8535891741624202E-2</v>
      </c>
      <c r="P210" s="23">
        <f ca="1">'Index Data'!S319</f>
        <v>2.1944413246131531E-2</v>
      </c>
      <c r="Q210" s="23">
        <f ca="1">'Index Data'!U319</f>
        <v>3.5447380166756075E-2</v>
      </c>
      <c r="R210" s="24">
        <f t="shared" ca="1" si="21"/>
        <v>3.5447380166756074E-4</v>
      </c>
      <c r="S210" s="23">
        <f t="shared" ca="1" si="27"/>
        <v>1.7700945401443395E-2</v>
      </c>
      <c r="T210" s="2">
        <f t="shared" ca="1" si="22"/>
        <v>2.4072907980054088E-2</v>
      </c>
      <c r="U210" s="2">
        <f t="shared" ca="1" si="23"/>
        <v>1.5297827398679268E-3</v>
      </c>
      <c r="V210" s="2">
        <f t="shared" ca="1" si="24"/>
        <v>3.5212039303064706E-2</v>
      </c>
      <c r="W210" s="2">
        <f t="shared" ca="1" si="25"/>
        <v>3.8535891741624202E-2</v>
      </c>
      <c r="X210" s="2">
        <v>4.6599999993303109E-2</v>
      </c>
      <c r="Y210" s="2">
        <f t="shared" ca="1" si="28"/>
        <v>1.9551039802308611E-2</v>
      </c>
      <c r="Z210" s="2">
        <f t="shared" ca="1" si="26"/>
        <v>2.5141181987076173E-2</v>
      </c>
    </row>
    <row r="211" spans="1:26">
      <c r="A211" s="22">
        <v>38533</v>
      </c>
      <c r="B211" s="25" t="s">
        <v>45</v>
      </c>
      <c r="C211" s="25" t="s">
        <v>47</v>
      </c>
      <c r="D211" s="25" t="s">
        <v>32</v>
      </c>
      <c r="E211" s="25" t="s">
        <v>33</v>
      </c>
      <c r="F211" s="25" t="s">
        <v>39</v>
      </c>
      <c r="H211" s="23">
        <f ca="1">'Index Data'!E320</f>
        <v>5.4529078117773301E-3</v>
      </c>
      <c r="I211" s="23">
        <f ca="1">'Index Data'!D320</f>
        <v>1.0551014115647546E-2</v>
      </c>
      <c r="J211" s="23">
        <f ca="1">'Index Data'!B320</f>
        <v>1.3669160077380327E-2</v>
      </c>
      <c r="K211" s="23">
        <f ca="1">'Index Data'!C320</f>
        <v>3.4520071039601072E-2</v>
      </c>
      <c r="L211" s="23">
        <f ca="1">'Index Data'!AH320</f>
        <v>0.05</v>
      </c>
      <c r="M211" s="23">
        <f ca="1">'Index Data'!V320</f>
        <v>-3.6862324528341033E-3</v>
      </c>
      <c r="N211" s="23">
        <f ca="1">'Index Data'!W320</f>
        <v>1.0948341047138635E-2</v>
      </c>
      <c r="O211" s="23">
        <f ca="1">'Index Data'!R320</f>
        <v>3.6921372859714169E-2</v>
      </c>
      <c r="P211" s="23">
        <f ca="1">'Index Data'!S320</f>
        <v>5.1315867339607598E-3</v>
      </c>
      <c r="Q211" s="23">
        <f ca="1">'Index Data'!U320</f>
        <v>4.0853578722573579E-3</v>
      </c>
      <c r="R211" s="24"/>
      <c r="S211" s="23">
        <f t="shared" ca="1" si="27"/>
        <v>9.5313928548735032E-3</v>
      </c>
      <c r="T211" s="2">
        <f t="shared" ca="1" si="22"/>
        <v>1.0948341047138635E-2</v>
      </c>
      <c r="U211" s="2">
        <f t="shared" ca="1" si="23"/>
        <v>1.3669160077380327E-2</v>
      </c>
      <c r="V211" s="2">
        <f t="shared" ca="1" si="24"/>
        <v>3.4520071039601072E-2</v>
      </c>
      <c r="W211" s="2">
        <f t="shared" ca="1" si="25"/>
        <v>3.6921372859714169E-2</v>
      </c>
      <c r="X211" s="2">
        <v>3.5900000000238297E-2</v>
      </c>
      <c r="Y211" s="2">
        <f t="shared" ca="1" si="28"/>
        <v>1.3985718803945302E-2</v>
      </c>
      <c r="Z211" s="2">
        <f t="shared" ca="1" si="26"/>
        <v>2.0924027980508401E-2</v>
      </c>
    </row>
    <row r="212" spans="1:26">
      <c r="A212" s="22">
        <v>38564</v>
      </c>
      <c r="B212" s="25" t="s">
        <v>45</v>
      </c>
      <c r="C212" s="25" t="s">
        <v>47</v>
      </c>
      <c r="D212" s="25" t="s">
        <v>32</v>
      </c>
      <c r="E212" s="25" t="s">
        <v>33</v>
      </c>
      <c r="F212" s="25" t="s">
        <v>39</v>
      </c>
      <c r="H212" s="23">
        <f ca="1">'Index Data'!E321</f>
        <v>-9.0953845160561247E-3</v>
      </c>
      <c r="I212" s="23">
        <f ca="1">'Index Data'!D321</f>
        <v>3.7243753844932656E-2</v>
      </c>
      <c r="J212" s="23">
        <f ca="1">'Index Data'!B321</f>
        <v>3.0719113988210155E-2</v>
      </c>
      <c r="K212" s="23">
        <f ca="1">'Index Data'!C321</f>
        <v>7.0749675981718441E-2</v>
      </c>
      <c r="L212" s="23">
        <f ca="1">'Index Data'!AH321</f>
        <v>-1.6500000000000001E-2</v>
      </c>
      <c r="M212" s="23">
        <f ca="1">'Index Data'!V321</f>
        <v>4.8875738414177555E-2</v>
      </c>
      <c r="N212" s="23">
        <f ca="1">'Index Data'!W321</f>
        <v>2.893199829695741E-2</v>
      </c>
      <c r="O212" s="23">
        <f ca="1">'Index Data'!R321</f>
        <v>4.1496669287717211E-2</v>
      </c>
      <c r="P212" s="23">
        <f ca="1">'Index Data'!S321</f>
        <v>2.8151126213265619E-2</v>
      </c>
      <c r="Q212" s="23">
        <f ca="1">'Index Data'!U321</f>
        <v>3.8892283867170273E-2</v>
      </c>
      <c r="R212" s="24"/>
      <c r="S212" s="23">
        <f t="shared" ca="1" si="27"/>
        <v>2.7975926172734901E-2</v>
      </c>
      <c r="T212" s="2">
        <f t="shared" ca="1" si="22"/>
        <v>2.893199829695741E-2</v>
      </c>
      <c r="U212" s="2">
        <f t="shared" ca="1" si="23"/>
        <v>3.0719113988210155E-2</v>
      </c>
      <c r="V212" s="2">
        <f t="shared" ca="1" si="24"/>
        <v>7.0749675981718441E-2</v>
      </c>
      <c r="W212" s="2">
        <f t="shared" ca="1" si="25"/>
        <v>4.1496669287717211E-2</v>
      </c>
      <c r="X212" s="2">
        <v>5.0700000002160461E-2</v>
      </c>
      <c r="Y212" s="2">
        <f t="shared" ca="1" si="28"/>
        <v>3.3560544988246704E-2</v>
      </c>
      <c r="Z212" s="2">
        <f t="shared" ca="1" si="26"/>
        <v>3.8856495653594295E-2</v>
      </c>
    </row>
    <row r="213" spans="1:26">
      <c r="A213" s="22">
        <v>38595</v>
      </c>
      <c r="B213" s="25" t="s">
        <v>45</v>
      </c>
      <c r="C213" s="25" t="s">
        <v>47</v>
      </c>
      <c r="D213" s="25" t="s">
        <v>32</v>
      </c>
      <c r="E213" s="25" t="s">
        <v>33</v>
      </c>
      <c r="F213" s="25" t="s">
        <v>39</v>
      </c>
      <c r="H213" s="23">
        <f ca="1">'Index Data'!E322</f>
        <v>1.2819468651756781E-2</v>
      </c>
      <c r="I213" s="23">
        <f ca="1">'Index Data'!D322</f>
        <v>8.0594630532211647E-3</v>
      </c>
      <c r="J213" s="23">
        <f ca="1">'Index Data'!B322</f>
        <v>2.5557412143003166E-2</v>
      </c>
      <c r="K213" s="23">
        <f ca="1">'Index Data'!C322</f>
        <v>9.0039392234102615E-3</v>
      </c>
      <c r="L213" s="23">
        <f ca="1">'Index Data'!AH322</f>
        <v>1.21E-2</v>
      </c>
      <c r="M213" s="23">
        <f ca="1">'Index Data'!V322</f>
        <v>-1.2880324040792715E-2</v>
      </c>
      <c r="N213" s="23">
        <f ca="1">'Index Data'!W322</f>
        <v>-4.3487777250556057E-3</v>
      </c>
      <c r="O213" s="23">
        <f ca="1">'Index Data'!R322</f>
        <v>1.7136752136752097E-2</v>
      </c>
      <c r="P213" s="23">
        <f ca="1">'Index Data'!S322</f>
        <v>-1.093741052511033E-2</v>
      </c>
      <c r="Q213" s="23">
        <f ca="1">'Index Data'!U322</f>
        <v>-8.6544844730490119E-3</v>
      </c>
      <c r="R213" s="24"/>
      <c r="S213" s="23">
        <f t="shared" ca="1" si="27"/>
        <v>9.0114641729282883E-3</v>
      </c>
      <c r="T213" s="2">
        <f t="shared" ca="1" si="22"/>
        <v>-4.3487777250556057E-3</v>
      </c>
      <c r="U213" s="2">
        <f t="shared" ca="1" si="23"/>
        <v>2.5557412143003166E-2</v>
      </c>
      <c r="V213" s="2">
        <f t="shared" ca="1" si="24"/>
        <v>9.0039392234102615E-3</v>
      </c>
      <c r="W213" s="2">
        <f t="shared" ca="1" si="25"/>
        <v>1.7136752136752097E-2</v>
      </c>
      <c r="X213" s="2">
        <v>-7.0999999986502971E-3</v>
      </c>
      <c r="Y213" s="2">
        <f t="shared" ca="1" si="28"/>
        <v>4.4630414368056742E-3</v>
      </c>
      <c r="Z213" s="2">
        <f t="shared" ca="1" si="26"/>
        <v>5.5242117217223132E-3</v>
      </c>
    </row>
    <row r="214" spans="1:26">
      <c r="A214" s="22">
        <v>38625</v>
      </c>
      <c r="B214" s="25" t="s">
        <v>45</v>
      </c>
      <c r="C214" s="25" t="s">
        <v>47</v>
      </c>
      <c r="D214" s="25" t="s">
        <v>32</v>
      </c>
      <c r="E214" s="25" t="s">
        <v>33</v>
      </c>
      <c r="F214" s="25" t="s">
        <v>39</v>
      </c>
      <c r="H214" s="23">
        <f ca="1">'Index Data'!E323</f>
        <v>-1.0309112547846456E-2</v>
      </c>
      <c r="I214" s="23">
        <f ca="1">'Index Data'!D323</f>
        <v>3.0366869745108115E-2</v>
      </c>
      <c r="J214" s="23">
        <f ca="1">'Index Data'!B323</f>
        <v>4.4740228119610696E-2</v>
      </c>
      <c r="K214" s="23">
        <f ca="1">'Index Data'!C323</f>
        <v>9.3245219880247227E-2</v>
      </c>
      <c r="L214" s="23">
        <f ca="1">'Index Data'!AH323</f>
        <v>7.7899999999999997E-2</v>
      </c>
      <c r="M214" s="23">
        <f ca="1">'Index Data'!V323</f>
        <v>4.6056101052208715E-3</v>
      </c>
      <c r="N214" s="23">
        <f ca="1">'Index Data'!W323</f>
        <v>1.404041392744877E-2</v>
      </c>
      <c r="O214" s="23">
        <f ca="1">'Index Data'!R323</f>
        <v>4.0488494881167576E-2</v>
      </c>
      <c r="P214" s="23">
        <f ca="1">'Index Data'!S323</f>
        <v>4.1685965724872331E-3</v>
      </c>
      <c r="Q214" s="23">
        <f ca="1">'Index Data'!U323</f>
        <v>9.2928752080293966E-3</v>
      </c>
      <c r="R214" s="24"/>
      <c r="S214" s="23">
        <f t="shared" ca="1" si="27"/>
        <v>2.2231673286517203E-2</v>
      </c>
      <c r="T214" s="2">
        <f t="shared" ca="1" si="22"/>
        <v>1.404041392744877E-2</v>
      </c>
      <c r="U214" s="2">
        <f t="shared" ca="1" si="23"/>
        <v>4.4740228119610696E-2</v>
      </c>
      <c r="V214" s="2">
        <f t="shared" ca="1" si="24"/>
        <v>9.3245219880247227E-2</v>
      </c>
      <c r="W214" s="2">
        <f t="shared" ca="1" si="25"/>
        <v>4.0488494881167576E-2</v>
      </c>
      <c r="X214" s="2">
        <v>1.6700000001943716E-2</v>
      </c>
      <c r="Y214" s="2">
        <f t="shared" ca="1" si="28"/>
        <v>2.9635848070769098E-2</v>
      </c>
      <c r="Z214" s="2">
        <f t="shared" ca="1" si="26"/>
        <v>3.2151371357196999E-2</v>
      </c>
    </row>
    <row r="215" spans="1:26">
      <c r="A215" s="22">
        <v>38656</v>
      </c>
      <c r="B215" s="25" t="s">
        <v>45</v>
      </c>
      <c r="C215" s="25" t="s">
        <v>47</v>
      </c>
      <c r="D215" s="25" t="s">
        <v>32</v>
      </c>
      <c r="E215" s="25" t="s">
        <v>33</v>
      </c>
      <c r="F215" s="25" t="s">
        <v>39</v>
      </c>
      <c r="H215" s="23">
        <f ca="1">'Index Data'!E324</f>
        <v>-7.9139379560264622E-3</v>
      </c>
      <c r="I215" s="23">
        <f ca="1">'Index Data'!D324</f>
        <v>-2.6748052091583974E-2</v>
      </c>
      <c r="J215" s="23">
        <f ca="1">'Index Data'!B324</f>
        <v>-2.9136359710987589E-2</v>
      </c>
      <c r="K215" s="23">
        <f ca="1">'Index Data'!C324</f>
        <v>-6.5328713061892488E-2</v>
      </c>
      <c r="L215" s="23">
        <f ca="1">'Index Data'!AH324</f>
        <v>-4.5000000000000005E-3</v>
      </c>
      <c r="M215" s="23">
        <f ca="1">'Index Data'!V324</f>
        <v>-9.7189309175990061E-3</v>
      </c>
      <c r="N215" s="23">
        <f ca="1">'Index Data'!W324</f>
        <v>-2.539753873322468E-2</v>
      </c>
      <c r="O215" s="23">
        <f ca="1">'Index Data'!R324</f>
        <v>-3.0594664441273879E-2</v>
      </c>
      <c r="P215" s="23">
        <f ca="1">'Index Data'!S324</f>
        <v>-1.368114127569839E-2</v>
      </c>
      <c r="Q215" s="23">
        <f ca="1">'Index Data'!U324</f>
        <v>-1.754017655280847E-2</v>
      </c>
      <c r="R215" s="24"/>
      <c r="S215" s="23">
        <f t="shared" ca="1" si="27"/>
        <v>-2.2981229264472474E-2</v>
      </c>
      <c r="T215" s="2">
        <f t="shared" ca="1" si="22"/>
        <v>-2.539753873322468E-2</v>
      </c>
      <c r="U215" s="2">
        <f t="shared" ca="1" si="23"/>
        <v>-2.9136359710987589E-2</v>
      </c>
      <c r="V215" s="2">
        <f t="shared" ca="1" si="24"/>
        <v>-6.5328713061892488E-2</v>
      </c>
      <c r="W215" s="2">
        <f t="shared" ca="1" si="25"/>
        <v>-3.0594664441273879E-2</v>
      </c>
      <c r="X215" s="2">
        <v>-3.4499999999591968E-2</v>
      </c>
      <c r="Y215" s="2">
        <f t="shared" ca="1" si="28"/>
        <v>-3.032536141053219E-2</v>
      </c>
      <c r="Z215" s="2">
        <f t="shared" ca="1" si="26"/>
        <v>-3.2535638091909333E-2</v>
      </c>
    </row>
    <row r="216" spans="1:26">
      <c r="A216" s="22">
        <v>38686</v>
      </c>
      <c r="B216" s="25" t="s">
        <v>45</v>
      </c>
      <c r="C216" s="25" t="s">
        <v>47</v>
      </c>
      <c r="D216" s="25" t="s">
        <v>32</v>
      </c>
      <c r="E216" s="25" t="s">
        <v>33</v>
      </c>
      <c r="F216" s="25" t="s">
        <v>39</v>
      </c>
      <c r="H216" s="23">
        <f ca="1">'Index Data'!E325</f>
        <v>4.4226044226044975E-3</v>
      </c>
      <c r="I216" s="23">
        <f ca="1">'Index Data'!D325</f>
        <v>3.6927335312695868E-2</v>
      </c>
      <c r="J216" s="23">
        <f ca="1">'Index Data'!B325</f>
        <v>2.4727137135204417E-2</v>
      </c>
      <c r="K216" s="23">
        <f ca="1">'Index Data'!C325</f>
        <v>8.2788379349762742E-2</v>
      </c>
      <c r="L216" s="23">
        <f ca="1">'Index Data'!AH325</f>
        <v>5.9299999999999999E-2</v>
      </c>
      <c r="M216" s="23">
        <f ca="1">'Index Data'!V325</f>
        <v>4.3144619796241838E-2</v>
      </c>
      <c r="N216" s="23">
        <f ca="1">'Index Data'!W325</f>
        <v>3.2700060561681343E-2</v>
      </c>
      <c r="O216" s="23">
        <f ca="1">'Index Data'!R325</f>
        <v>3.1463045500617827E-2</v>
      </c>
      <c r="P216" s="23">
        <f ca="1">'Index Data'!S325</f>
        <v>3.008843645352282E-2</v>
      </c>
      <c r="Q216" s="23">
        <f ca="1">'Index Data'!U325</f>
        <v>3.7981642713129385E-2</v>
      </c>
      <c r="R216" s="24"/>
      <c r="S216" s="23">
        <f t="shared" ca="1" si="27"/>
        <v>3.0426389134677597E-2</v>
      </c>
      <c r="T216" s="2">
        <f t="shared" ca="1" si="22"/>
        <v>3.2700060561681343E-2</v>
      </c>
      <c r="U216" s="2">
        <f t="shared" ca="1" si="23"/>
        <v>2.4727137135204417E-2</v>
      </c>
      <c r="V216" s="2">
        <f t="shared" ca="1" si="24"/>
        <v>8.2788379349762742E-2</v>
      </c>
      <c r="W216" s="2">
        <f t="shared" ca="1" si="25"/>
        <v>3.1463045500617827E-2</v>
      </c>
      <c r="X216" s="2">
        <v>3.1099999994213645E-2</v>
      </c>
      <c r="Y216" s="2">
        <f t="shared" ca="1" si="28"/>
        <v>3.5715661583870253E-2</v>
      </c>
      <c r="Z216" s="2">
        <f t="shared" ca="1" si="26"/>
        <v>3.5302873340796945E-2</v>
      </c>
    </row>
    <row r="217" spans="1:26">
      <c r="A217" s="22">
        <v>38717</v>
      </c>
      <c r="B217" s="25" t="s">
        <v>45</v>
      </c>
      <c r="C217" s="25" t="s">
        <v>47</v>
      </c>
      <c r="D217" s="25" t="s">
        <v>32</v>
      </c>
      <c r="E217" s="25" t="s">
        <v>33</v>
      </c>
      <c r="F217" s="25" t="s">
        <v>39</v>
      </c>
      <c r="H217" s="23">
        <f ca="1">'Index Data'!E326</f>
        <v>9.5075016307891828E-3</v>
      </c>
      <c r="I217" s="23">
        <f ca="1">'Index Data'!D326</f>
        <v>2.48412061035264E-2</v>
      </c>
      <c r="J217" s="23">
        <f ca="1">'Index Data'!B326</f>
        <v>4.6597763940649468E-2</v>
      </c>
      <c r="K217" s="23">
        <f ca="1">'Index Data'!C326</f>
        <v>5.9243689486599041E-2</v>
      </c>
      <c r="L217" s="23">
        <f ca="1">'Index Data'!AH326</f>
        <v>4.9100000000000005E-2</v>
      </c>
      <c r="M217" s="23">
        <f ca="1">'Index Data'!V326</f>
        <v>-3.1361313303391483E-3</v>
      </c>
      <c r="N217" s="23">
        <f ca="1">'Index Data'!W326</f>
        <v>6.1411135445670149E-3</v>
      </c>
      <c r="O217" s="23">
        <f ca="1">'Index Data'!R326</f>
        <v>1.7486235815149364E-2</v>
      </c>
      <c r="P217" s="23">
        <f ca="1">'Index Data'!S326</f>
        <v>5.796513984596751E-3</v>
      </c>
      <c r="Q217" s="23">
        <f ca="1">'Index Data'!U326</f>
        <v>1.4184836847421817E-3</v>
      </c>
      <c r="R217" s="24"/>
      <c r="S217" s="23">
        <f t="shared" ca="1" si="27"/>
        <v>2.1774465208978959E-2</v>
      </c>
      <c r="T217" s="2">
        <f t="shared" ca="1" si="22"/>
        <v>6.1411135445670149E-3</v>
      </c>
      <c r="U217" s="2">
        <f t="shared" ca="1" si="23"/>
        <v>4.6597763940649468E-2</v>
      </c>
      <c r="V217" s="2">
        <f t="shared" ca="1" si="24"/>
        <v>5.9243689486599041E-2</v>
      </c>
      <c r="W217" s="2">
        <f t="shared" ca="1" si="25"/>
        <v>1.7486235815149364E-2</v>
      </c>
      <c r="X217" s="2">
        <v>-3.0000000000175442E-3</v>
      </c>
      <c r="Y217" s="2">
        <f t="shared" ca="1" si="28"/>
        <v>2.1565533737790833E-2</v>
      </c>
      <c r="Z217" s="2">
        <f t="shared" ca="1" si="26"/>
        <v>2.0588195199167596E-2</v>
      </c>
    </row>
    <row r="218" spans="1:26">
      <c r="A218" s="22">
        <v>38748</v>
      </c>
      <c r="B218" s="25" t="s">
        <v>45</v>
      </c>
      <c r="C218" s="25" t="s">
        <v>47</v>
      </c>
      <c r="D218" s="25" t="s">
        <v>32</v>
      </c>
      <c r="E218" s="25" t="s">
        <v>33</v>
      </c>
      <c r="F218" s="25" t="s">
        <v>39</v>
      </c>
      <c r="H218" s="23">
        <f ca="1">'Index Data'!E327</f>
        <v>5.6540070755992209E-5</v>
      </c>
      <c r="I218" s="23">
        <f ca="1">'Index Data'!D327</f>
        <v>4.9448788046091624E-2</v>
      </c>
      <c r="J218" s="23">
        <f ca="1">'Index Data'!B327</f>
        <v>6.1468918856453197E-2</v>
      </c>
      <c r="K218" s="23">
        <f ca="1">'Index Data'!C327</f>
        <v>0.11230032952923108</v>
      </c>
      <c r="L218" s="23">
        <f ca="1">'Index Data'!AH327</f>
        <v>0.1</v>
      </c>
      <c r="M218" s="23">
        <f ca="1">'Index Data'!V327</f>
        <v>1.7557870819901358E-2</v>
      </c>
      <c r="N218" s="23">
        <f ca="1">'Index Data'!W327</f>
        <v>3.8839153867429678E-2</v>
      </c>
      <c r="O218" s="23">
        <f ca="1">'Index Data'!R327</f>
        <v>6.5633847537903856E-2</v>
      </c>
      <c r="P218" s="23">
        <f ca="1">'Index Data'!S327</f>
        <v>2.2399548623705284E-2</v>
      </c>
      <c r="Q218" s="23">
        <f ca="1">'Index Data'!U327</f>
        <v>2.8037109611569626E-2</v>
      </c>
      <c r="R218" s="24"/>
      <c r="S218" s="23">
        <f t="shared" ca="1" si="27"/>
        <v>3.9570338451024499E-2</v>
      </c>
      <c r="T218" s="2">
        <f t="shared" ca="1" si="22"/>
        <v>3.8839153867429678E-2</v>
      </c>
      <c r="U218" s="2">
        <f t="shared" ca="1" si="23"/>
        <v>6.1468918856453197E-2</v>
      </c>
      <c r="V218" s="2">
        <f t="shared" ca="1" si="24"/>
        <v>0.11230032952923108</v>
      </c>
      <c r="W218" s="2">
        <f t="shared" ca="1" si="25"/>
        <v>6.5633847537903856E-2</v>
      </c>
      <c r="X218" s="2">
        <v>2.7499999999059721E-2</v>
      </c>
      <c r="Y218" s="2">
        <f t="shared" ca="1" si="28"/>
        <v>5.1842712680865696E-2</v>
      </c>
      <c r="Z218" s="2">
        <f t="shared" ca="1" si="26"/>
        <v>5.1584483932477276E-2</v>
      </c>
    </row>
    <row r="219" spans="1:26">
      <c r="A219" s="22">
        <v>38776</v>
      </c>
      <c r="B219" s="25" t="s">
        <v>45</v>
      </c>
      <c r="C219" s="25" t="s">
        <v>47</v>
      </c>
      <c r="D219" s="25" t="s">
        <v>32</v>
      </c>
      <c r="E219" s="25" t="s">
        <v>33</v>
      </c>
      <c r="F219" s="25" t="s">
        <v>39</v>
      </c>
      <c r="H219" s="23">
        <f ca="1">'Index Data'!E328</f>
        <v>3.3195221826463291E-3</v>
      </c>
      <c r="I219" s="23">
        <f ca="1">'Index Data'!D328</f>
        <v>-1.0627826662480088E-3</v>
      </c>
      <c r="J219" s="23">
        <f ca="1">'Index Data'!B328</f>
        <v>-2.0482012813030329E-3</v>
      </c>
      <c r="K219" s="23">
        <f ca="1">'Index Data'!C328</f>
        <v>-9.5255008960433961E-4</v>
      </c>
      <c r="L219" s="23">
        <f ca="1">'Index Data'!AH328</f>
        <v>-1.21E-2</v>
      </c>
      <c r="M219" s="23">
        <f ca="1">'Index Data'!V328</f>
        <v>-1.5887973090640095E-3</v>
      </c>
      <c r="N219" s="23">
        <f ca="1">'Index Data'!W328</f>
        <v>6.1040730924395419E-3</v>
      </c>
      <c r="O219" s="23">
        <f ca="1">'Index Data'!R328</f>
        <v>-3.7630203483680409E-2</v>
      </c>
      <c r="P219" s="23">
        <f ca="1">'Index Data'!S328</f>
        <v>4.0837564252150958E-3</v>
      </c>
      <c r="Q219" s="23">
        <f ca="1">'Index Data'!U328</f>
        <v>2.2366232160443474E-3</v>
      </c>
      <c r="R219" s="24"/>
      <c r="S219" s="23">
        <f t="shared" ca="1" si="27"/>
        <v>-1.8632169646914118E-4</v>
      </c>
      <c r="T219" s="2">
        <f t="shared" ca="1" si="22"/>
        <v>6.1040730924395419E-3</v>
      </c>
      <c r="U219" s="2">
        <f t="shared" ca="1" si="23"/>
        <v>-2.0482012813030329E-3</v>
      </c>
      <c r="V219" s="2">
        <f t="shared" ca="1" si="24"/>
        <v>-9.5255008960433961E-4</v>
      </c>
      <c r="W219" s="2">
        <f t="shared" ca="1" si="25"/>
        <v>-3.7630203483680409E-2</v>
      </c>
      <c r="X219" s="2">
        <v>-1.0199999998304121E-2</v>
      </c>
      <c r="Y219" s="2">
        <f t="shared" ca="1" si="28"/>
        <v>3.36034218079951E-3</v>
      </c>
      <c r="Z219" s="2">
        <f t="shared" ca="1" si="26"/>
        <v>-3.1805431805582186E-3</v>
      </c>
    </row>
    <row r="220" spans="1:26">
      <c r="A220" s="22">
        <v>38807</v>
      </c>
      <c r="B220" s="25" t="s">
        <v>45</v>
      </c>
      <c r="C220" s="25" t="s">
        <v>47</v>
      </c>
      <c r="D220" s="25" t="s">
        <v>32</v>
      </c>
      <c r="E220" s="25" t="s">
        <v>33</v>
      </c>
      <c r="F220" s="25" t="s">
        <v>39</v>
      </c>
      <c r="H220" s="23">
        <f ca="1">'Index Data'!E329</f>
        <v>-9.8129185986605277E-3</v>
      </c>
      <c r="I220" s="23">
        <f ca="1">'Index Data'!D329</f>
        <v>2.146514250280844E-2</v>
      </c>
      <c r="J220" s="23">
        <f ca="1">'Index Data'!B329</f>
        <v>3.3448773286080091E-2</v>
      </c>
      <c r="K220" s="23">
        <f ca="1">'Index Data'!C329</f>
        <v>8.9608920491274623E-3</v>
      </c>
      <c r="L220" s="23">
        <f ca="1">'Index Data'!AH329</f>
        <v>3.1699999999999999E-2</v>
      </c>
      <c r="M220" s="23">
        <f ca="1">'Index Data'!V329</f>
        <v>1.4763965315792051E-2</v>
      </c>
      <c r="N220" s="23">
        <f ca="1">'Index Data'!W329</f>
        <v>1.3546930598331544E-2</v>
      </c>
      <c r="O220" s="23">
        <f ca="1">'Index Data'!R329</f>
        <v>1.811238970019103E-2</v>
      </c>
      <c r="P220" s="23">
        <f ca="1">'Index Data'!S329</f>
        <v>6.6581869003313537E-3</v>
      </c>
      <c r="Q220" s="23">
        <f ca="1">'Index Data'!U329</f>
        <v>1.4156853614548146E-2</v>
      </c>
      <c r="R220" s="24"/>
      <c r="S220" s="23">
        <f t="shared" ca="1" si="27"/>
        <v>1.5209530282514648E-2</v>
      </c>
      <c r="T220" s="2">
        <f t="shared" ca="1" si="22"/>
        <v>1.3546930598331544E-2</v>
      </c>
      <c r="U220" s="2">
        <f t="shared" ca="1" si="23"/>
        <v>3.3448773286080091E-2</v>
      </c>
      <c r="V220" s="2">
        <f t="shared" ca="1" si="24"/>
        <v>8.9608920491274623E-3</v>
      </c>
      <c r="W220" s="2">
        <f t="shared" ca="1" si="25"/>
        <v>1.811238970019103E-2</v>
      </c>
      <c r="X220" s="2">
        <v>2.4199999998646193E-2</v>
      </c>
      <c r="Y220" s="2">
        <f t="shared" ca="1" si="28"/>
        <v>1.8063787415348274E-2</v>
      </c>
      <c r="Z220" s="2">
        <f t="shared" ca="1" si="26"/>
        <v>2.0536810728050664E-2</v>
      </c>
    </row>
    <row r="221" spans="1:26">
      <c r="A221" s="22">
        <v>38837</v>
      </c>
      <c r="B221" s="25" t="s">
        <v>45</v>
      </c>
      <c r="C221" s="25" t="s">
        <v>47</v>
      </c>
      <c r="D221" s="25" t="s">
        <v>32</v>
      </c>
      <c r="E221" s="25" t="s">
        <v>33</v>
      </c>
      <c r="F221" s="25" t="s">
        <v>39</v>
      </c>
      <c r="H221" s="23">
        <f ca="1">'Index Data'!E330</f>
        <v>-1.8129344335596266E-3</v>
      </c>
      <c r="I221" s="23">
        <f ca="1">'Index Data'!D330</f>
        <v>3.3791327017469376E-2</v>
      </c>
      <c r="J221" s="23">
        <f ca="1">'Index Data'!B330</f>
        <v>4.8499042165332566E-2</v>
      </c>
      <c r="K221" s="23">
        <f ca="1">'Index Data'!C330</f>
        <v>7.1362788202035649E-2</v>
      </c>
      <c r="L221" s="23">
        <f ca="1">'Index Data'!AH330</f>
        <v>0.125</v>
      </c>
      <c r="M221" s="23">
        <f ca="1">'Index Data'!V330</f>
        <v>-1.3586124728630655E-3</v>
      </c>
      <c r="N221" s="23">
        <f ca="1">'Index Data'!W330</f>
        <v>2.5411515501068675E-2</v>
      </c>
      <c r="O221" s="23">
        <f ca="1">'Index Data'!R330</f>
        <v>1.1809427268119533E-2</v>
      </c>
      <c r="P221" s="23">
        <f ca="1">'Index Data'!S330</f>
        <v>6.0525700023399045E-3</v>
      </c>
      <c r="Q221" s="23">
        <f ca="1">'Index Data'!U330</f>
        <v>1.1999925298307693E-2</v>
      </c>
      <c r="R221" s="24"/>
      <c r="S221" s="23">
        <f t="shared" ca="1" si="27"/>
        <v>2.6670474727263579E-2</v>
      </c>
      <c r="T221" s="2">
        <f t="shared" ca="1" si="22"/>
        <v>2.5411515501068675E-2</v>
      </c>
      <c r="U221" s="2">
        <f t="shared" ca="1" si="23"/>
        <v>4.8499042165332566E-2</v>
      </c>
      <c r="V221" s="2">
        <f t="shared" ca="1" si="24"/>
        <v>7.1362788202035649E-2</v>
      </c>
      <c r="W221" s="2">
        <f t="shared" ca="1" si="25"/>
        <v>1.1809427268119533E-2</v>
      </c>
      <c r="X221" s="2">
        <v>1.1100000006941446E-2</v>
      </c>
      <c r="Y221" s="2">
        <f t="shared" ca="1" si="28"/>
        <v>3.5778524437231347E-2</v>
      </c>
      <c r="Z221" s="2">
        <f t="shared" ca="1" si="26"/>
        <v>3.1896064720934716E-2</v>
      </c>
    </row>
    <row r="222" spans="1:26">
      <c r="A222" s="22">
        <v>38868</v>
      </c>
      <c r="B222" s="25" t="s">
        <v>45</v>
      </c>
      <c r="C222" s="25" t="s">
        <v>47</v>
      </c>
      <c r="D222" s="25" t="s">
        <v>32</v>
      </c>
      <c r="E222" s="25" t="s">
        <v>33</v>
      </c>
      <c r="F222" s="25" t="s">
        <v>39</v>
      </c>
      <c r="H222" s="23">
        <f ca="1">'Index Data'!E331</f>
        <v>-1.0669316349301572E-3</v>
      </c>
      <c r="I222" s="23">
        <f ca="1">'Index Data'!D331</f>
        <v>-3.8579027279217255E-2</v>
      </c>
      <c r="J222" s="23">
        <f ca="1">'Index Data'!B331</f>
        <v>-3.7631783499898319E-2</v>
      </c>
      <c r="K222" s="23">
        <f ca="1">'Index Data'!C331</f>
        <v>-0.10456719988040057</v>
      </c>
      <c r="L222" s="23">
        <f ca="1">'Index Data'!AH331</f>
        <v>-1.83E-2</v>
      </c>
      <c r="M222" s="23">
        <f ca="1">'Index Data'!V331</f>
        <v>-3.3895987230059293E-2</v>
      </c>
      <c r="N222" s="23">
        <f ca="1">'Index Data'!W331</f>
        <v>-2.5259369227847838E-2</v>
      </c>
      <c r="O222" s="23">
        <f ca="1">'Index Data'!R331</f>
        <v>-4.1489255121975648E-2</v>
      </c>
      <c r="P222" s="23">
        <f ca="1">'Index Data'!S331</f>
        <v>-1.897880390119842E-2</v>
      </c>
      <c r="Q222" s="23">
        <f ca="1">'Index Data'!U331</f>
        <v>-2.9528589982545161E-2</v>
      </c>
      <c r="R222" s="24"/>
      <c r="S222" s="23">
        <f t="shared" ca="1" si="27"/>
        <v>-3.1076608150359838E-2</v>
      </c>
      <c r="T222" s="2">
        <f t="shared" ca="1" si="22"/>
        <v>-2.5259369227847838E-2</v>
      </c>
      <c r="U222" s="2">
        <f t="shared" ca="1" si="23"/>
        <v>-3.7631783499898319E-2</v>
      </c>
      <c r="V222" s="2">
        <f t="shared" ca="1" si="24"/>
        <v>-0.10456719988040057</v>
      </c>
      <c r="W222" s="2">
        <f t="shared" ca="1" si="25"/>
        <v>-4.1489255121975648E-2</v>
      </c>
      <c r="X222" s="2">
        <v>-3.2700000004917573E-2</v>
      </c>
      <c r="Y222" s="2">
        <f t="shared" ca="1" si="28"/>
        <v>-3.6283255861115735E-2</v>
      </c>
      <c r="Z222" s="2">
        <f t="shared" ca="1" si="26"/>
        <v>-3.8988623458589264E-2</v>
      </c>
    </row>
    <row r="223" spans="1:26">
      <c r="A223" s="22">
        <v>38898</v>
      </c>
      <c r="B223" s="25" t="s">
        <v>45</v>
      </c>
      <c r="C223" s="25" t="s">
        <v>47</v>
      </c>
      <c r="D223" s="25" t="s">
        <v>32</v>
      </c>
      <c r="E223" s="25" t="s">
        <v>33</v>
      </c>
      <c r="F223" s="25" t="s">
        <v>39</v>
      </c>
      <c r="H223" s="23">
        <f ca="1">'Index Data'!E332</f>
        <v>2.1198359573096908E-3</v>
      </c>
      <c r="I223" s="23">
        <f ca="1">'Index Data'!D332</f>
        <v>-2.5100349104023071E-5</v>
      </c>
      <c r="J223" s="23">
        <f ca="1">'Index Data'!B332</f>
        <v>3.6680627462966483E-4</v>
      </c>
      <c r="K223" s="23">
        <f ca="1">'Index Data'!C332</f>
        <v>-2.1203596263493843E-3</v>
      </c>
      <c r="L223" s="23">
        <f ca="1">'Index Data'!AH332</f>
        <v>-4.1200000000000001E-2</v>
      </c>
      <c r="M223" s="23">
        <f ca="1">'Index Data'!V332</f>
        <v>-3.9463568804988924E-3</v>
      </c>
      <c r="N223" s="23">
        <f ca="1">'Index Data'!W332</f>
        <v>6.3962077306448989E-3</v>
      </c>
      <c r="O223" s="23">
        <f ca="1">'Index Data'!R332</f>
        <v>9.2109904754439798E-3</v>
      </c>
      <c r="P223" s="23">
        <f ca="1">'Index Data'!S332</f>
        <v>8.6851380612936666E-3</v>
      </c>
      <c r="Q223" s="23">
        <f ca="1">'Index Data'!U332</f>
        <v>1.3061665552512468E-3</v>
      </c>
      <c r="R223" s="24"/>
      <c r="S223" s="23">
        <f t="shared" ca="1" si="27"/>
        <v>4.0388691217871971E-4</v>
      </c>
      <c r="T223" s="2">
        <f t="shared" ca="1" si="22"/>
        <v>6.3962077306448989E-3</v>
      </c>
      <c r="U223" s="2">
        <f t="shared" ca="1" si="23"/>
        <v>3.6680627462966483E-4</v>
      </c>
      <c r="V223" s="2">
        <f t="shared" ca="1" si="24"/>
        <v>-2.1203596263493843E-3</v>
      </c>
      <c r="W223" s="2">
        <f t="shared" ca="1" si="25"/>
        <v>9.2109904754439798E-3</v>
      </c>
      <c r="X223" s="2">
        <v>6.6000000023527239E-3</v>
      </c>
      <c r="Y223" s="2">
        <f t="shared" ca="1" si="28"/>
        <v>4.0372006309416621E-3</v>
      </c>
      <c r="Z223" s="2">
        <f t="shared" ca="1" si="26"/>
        <v>4.2890677911431585E-3</v>
      </c>
    </row>
    <row r="224" spans="1:26">
      <c r="A224" s="22">
        <v>38929</v>
      </c>
      <c r="B224" s="25" t="s">
        <v>45</v>
      </c>
      <c r="C224" s="25" t="s">
        <v>47</v>
      </c>
      <c r="D224" s="25" t="s">
        <v>32</v>
      </c>
      <c r="E224" s="25" t="s">
        <v>33</v>
      </c>
      <c r="F224" s="25" t="s">
        <v>39</v>
      </c>
      <c r="H224" s="23">
        <f ca="1">'Index Data'!E333</f>
        <v>1.3521979318368673E-2</v>
      </c>
      <c r="I224" s="23">
        <f ca="1">'Index Data'!D333</f>
        <v>7.0722008747690643E-3</v>
      </c>
      <c r="J224" s="23">
        <f ca="1">'Index Data'!B333</f>
        <v>1.0013622096698063E-2</v>
      </c>
      <c r="K224" s="23">
        <f ca="1">'Index Data'!C333</f>
        <v>1.4706743518743282E-2</v>
      </c>
      <c r="L224" s="23">
        <f ca="1">'Index Data'!AH333</f>
        <v>2.9500000000000002E-2</v>
      </c>
      <c r="M224" s="23">
        <f ca="1">'Index Data'!V333</f>
        <v>-1.9045495530813784E-2</v>
      </c>
      <c r="N224" s="23">
        <f ca="1">'Index Data'!W333</f>
        <v>2.4303330434667814E-2</v>
      </c>
      <c r="O224" s="23">
        <f ca="1">'Index Data'!R333</f>
        <v>-3.2623893117912126E-2</v>
      </c>
      <c r="P224" s="23">
        <f ca="1">'Index Data'!S333</f>
        <v>1.9531953900514792E-2</v>
      </c>
      <c r="Q224" s="23">
        <f ca="1">'Index Data'!U333</f>
        <v>2.1950597403975723E-3</v>
      </c>
      <c r="R224" s="24"/>
      <c r="S224" s="23">
        <f t="shared" ca="1" si="27"/>
        <v>8.3621565634889872E-3</v>
      </c>
      <c r="T224" s="2">
        <f t="shared" ca="1" si="22"/>
        <v>2.4303330434667814E-2</v>
      </c>
      <c r="U224" s="2">
        <f t="shared" ca="1" si="23"/>
        <v>1.0013622096698063E-2</v>
      </c>
      <c r="V224" s="2">
        <f t="shared" ca="1" si="24"/>
        <v>1.4706743518743282E-2</v>
      </c>
      <c r="W224" s="2">
        <f t="shared" ca="1" si="25"/>
        <v>-3.2623893117912126E-2</v>
      </c>
      <c r="X224" s="2">
        <v>1.8400000000266203E-2</v>
      </c>
      <c r="Y224" s="2">
        <f t="shared" ca="1" si="28"/>
        <v>1.9771244658582921E-2</v>
      </c>
      <c r="Z224" s="2">
        <f t="shared" ca="1" si="26"/>
        <v>1.4321036805259105E-2</v>
      </c>
    </row>
    <row r="225" spans="1:26">
      <c r="A225" s="22">
        <v>38960</v>
      </c>
      <c r="B225" s="25" t="s">
        <v>45</v>
      </c>
      <c r="C225" s="25" t="s">
        <v>47</v>
      </c>
      <c r="D225" s="25" t="s">
        <v>32</v>
      </c>
      <c r="E225" s="25" t="s">
        <v>33</v>
      </c>
      <c r="F225" s="25" t="s">
        <v>39</v>
      </c>
      <c r="H225" s="23">
        <f ca="1">'Index Data'!E334</f>
        <v>1.5308293129329738E-2</v>
      </c>
      <c r="I225" s="23">
        <f ca="1">'Index Data'!D334</f>
        <v>2.6430574306781644E-2</v>
      </c>
      <c r="J225" s="23">
        <f ca="1">'Index Data'!B334</f>
        <v>2.7768524619401231E-2</v>
      </c>
      <c r="K225" s="23">
        <f ca="1">'Index Data'!C334</f>
        <v>2.5977987551011987E-2</v>
      </c>
      <c r="L225" s="23">
        <f ca="1">'Index Data'!AH334</f>
        <v>-9.4999999999999998E-3</v>
      </c>
      <c r="M225" s="23">
        <f ca="1">'Index Data'!V334</f>
        <v>3.119981016847544E-2</v>
      </c>
      <c r="N225" s="23">
        <f ca="1">'Index Data'!W334</f>
        <v>1.6738821696903071E-2</v>
      </c>
      <c r="O225" s="23">
        <f ca="1">'Index Data'!R334</f>
        <v>-7.7217493710186585E-3</v>
      </c>
      <c r="P225" s="23">
        <f ca="1">'Index Data'!S334</f>
        <v>1.8942595865672859E-2</v>
      </c>
      <c r="Q225" s="23">
        <f ca="1">'Index Data'!U334</f>
        <v>2.3971236607004249E-2</v>
      </c>
      <c r="R225" s="24"/>
      <c r="S225" s="23">
        <f t="shared" ca="1" si="27"/>
        <v>2.4206118071291263E-2</v>
      </c>
      <c r="T225" s="2">
        <f t="shared" ca="1" si="22"/>
        <v>1.6738821696903071E-2</v>
      </c>
      <c r="U225" s="2">
        <f t="shared" ca="1" si="23"/>
        <v>2.7768524619401231E-2</v>
      </c>
      <c r="V225" s="2">
        <f t="shared" ca="1" si="24"/>
        <v>2.5977987551011987E-2</v>
      </c>
      <c r="W225" s="2">
        <f t="shared" ca="1" si="25"/>
        <v>-7.7217493710186585E-3</v>
      </c>
      <c r="X225" s="2">
        <v>2.5800000001515944E-2</v>
      </c>
      <c r="Y225" s="2">
        <f t="shared" ca="1" si="28"/>
        <v>2.0420164012938502E-2</v>
      </c>
      <c r="Z225" s="2">
        <f t="shared" ca="1" si="26"/>
        <v>2.0397856843766948E-2</v>
      </c>
    </row>
    <row r="226" spans="1:26">
      <c r="A226" s="22">
        <v>38990</v>
      </c>
      <c r="B226" s="25" t="s">
        <v>45</v>
      </c>
      <c r="C226" s="25" t="s">
        <v>47</v>
      </c>
      <c r="D226" s="25" t="s">
        <v>32</v>
      </c>
      <c r="E226" s="25" t="s">
        <v>33</v>
      </c>
      <c r="F226" s="25" t="s">
        <v>39</v>
      </c>
      <c r="H226" s="23">
        <f ca="1">'Index Data'!E335</f>
        <v>8.783997469955826E-3</v>
      </c>
      <c r="I226" s="23">
        <f ca="1">'Index Data'!D335</f>
        <v>1.19269489553296E-2</v>
      </c>
      <c r="J226" s="23">
        <f ca="1">'Index Data'!B335</f>
        <v>1.7401099093909916E-3</v>
      </c>
      <c r="K226" s="23">
        <f ca="1">'Index Data'!C335</f>
        <v>8.4132876910467409E-3</v>
      </c>
      <c r="L226" s="23">
        <f ca="1">'Index Data'!AH335</f>
        <v>-4.7100000000000003E-2</v>
      </c>
      <c r="M226" s="23">
        <f ca="1">'Index Data'!V335</f>
        <v>2.7477558217834243E-2</v>
      </c>
      <c r="N226" s="23">
        <f ca="1">'Index Data'!W335</f>
        <v>1.9932750201355223E-2</v>
      </c>
      <c r="O226" s="23">
        <f ca="1">'Index Data'!R335</f>
        <v>1.9811995090832993E-2</v>
      </c>
      <c r="P226" s="23">
        <f ca="1">'Index Data'!S335</f>
        <v>1.3839134205663794E-2</v>
      </c>
      <c r="Q226" s="23">
        <f ca="1">'Index Data'!U335</f>
        <v>2.3732957012730819E-2</v>
      </c>
      <c r="R226" s="24"/>
      <c r="S226" s="23">
        <f t="shared" ca="1" si="27"/>
        <v>1.1298358658254846E-2</v>
      </c>
      <c r="T226" s="2">
        <f t="shared" ca="1" si="22"/>
        <v>1.9932750201355223E-2</v>
      </c>
      <c r="U226" s="2">
        <f t="shared" ca="1" si="23"/>
        <v>1.7401099093909916E-3</v>
      </c>
      <c r="V226" s="2">
        <f t="shared" ca="1" si="24"/>
        <v>8.4132876910467409E-3</v>
      </c>
      <c r="W226" s="2">
        <f t="shared" ca="1" si="25"/>
        <v>1.9811995090832993E-2</v>
      </c>
      <c r="X226" s="2">
        <v>1.7199999995875181E-2</v>
      </c>
      <c r="Y226" s="2">
        <f t="shared" ca="1" si="28"/>
        <v>1.4232643877333317E-2</v>
      </c>
      <c r="Z226" s="2">
        <f t="shared" ca="1" si="26"/>
        <v>1.3677037202948144E-2</v>
      </c>
    </row>
    <row r="227" spans="1:26">
      <c r="A227" s="22">
        <v>39021</v>
      </c>
      <c r="B227" s="25" t="s">
        <v>45</v>
      </c>
      <c r="C227" s="25" t="s">
        <v>47</v>
      </c>
      <c r="D227" s="25" t="s">
        <v>32</v>
      </c>
      <c r="E227" s="25" t="s">
        <v>33</v>
      </c>
      <c r="F227" s="25" t="s">
        <v>39</v>
      </c>
      <c r="H227" s="23">
        <f ca="1">'Index Data'!E336</f>
        <v>6.614886629934578E-3</v>
      </c>
      <c r="I227" s="23">
        <f ca="1">'Index Data'!D336</f>
        <v>3.7702797014012038E-2</v>
      </c>
      <c r="J227" s="23">
        <f ca="1">'Index Data'!B336</f>
        <v>3.8983123596496118E-2</v>
      </c>
      <c r="K227" s="23">
        <f ca="1">'Index Data'!C336</f>
        <v>4.7548468838899252E-2</v>
      </c>
      <c r="L227" s="23">
        <f ca="1">'Index Data'!AH336</f>
        <v>1.37E-2</v>
      </c>
      <c r="M227" s="23">
        <f ca="1">'Index Data'!V336</f>
        <v>3.5154058322921282E-2</v>
      </c>
      <c r="N227" s="23">
        <f ca="1">'Index Data'!W336</f>
        <v>3.2733066057011477E-2</v>
      </c>
      <c r="O227" s="23">
        <f ca="1">'Index Data'!R336</f>
        <v>4.8376005078290367E-2</v>
      </c>
      <c r="P227" s="23">
        <f ca="1">'Index Data'!S336</f>
        <v>2.9308934017704451E-2</v>
      </c>
      <c r="Q227" s="23">
        <f ca="1">'Index Data'!U336</f>
        <v>3.3956337844243852E-2</v>
      </c>
      <c r="R227" s="24"/>
      <c r="S227" s="23">
        <f t="shared" ca="1" si="27"/>
        <v>3.1485214937196547E-2</v>
      </c>
      <c r="T227" s="2">
        <f t="shared" ca="1" si="22"/>
        <v>3.2733066057011477E-2</v>
      </c>
      <c r="U227" s="2">
        <f t="shared" ca="1" si="23"/>
        <v>3.8983123596496118E-2</v>
      </c>
      <c r="V227" s="2">
        <f t="shared" ca="1" si="24"/>
        <v>4.7548468838899252E-2</v>
      </c>
      <c r="W227" s="2">
        <f t="shared" ca="1" si="25"/>
        <v>4.8376005078290367E-2</v>
      </c>
      <c r="X227" s="2">
        <v>3.4499999998547137E-2</v>
      </c>
      <c r="Y227" s="2">
        <f t="shared" ca="1" si="28"/>
        <v>3.5777120720071415E-2</v>
      </c>
      <c r="Z227" s="2">
        <f t="shared" ca="1" si="26"/>
        <v>3.7303727934974468E-2</v>
      </c>
    </row>
    <row r="228" spans="1:26">
      <c r="A228" s="22">
        <v>39051</v>
      </c>
      <c r="B228" s="25" t="s">
        <v>45</v>
      </c>
      <c r="C228" s="25" t="s">
        <v>47</v>
      </c>
      <c r="D228" s="25" t="s">
        <v>32</v>
      </c>
      <c r="E228" s="25" t="s">
        <v>33</v>
      </c>
      <c r="F228" s="25" t="s">
        <v>39</v>
      </c>
      <c r="H228" s="23">
        <f ca="1">'Index Data'!E337</f>
        <v>1.1601199050103237E-2</v>
      </c>
      <c r="I228" s="23">
        <f ca="1">'Index Data'!D337</f>
        <v>2.876341962102286E-2</v>
      </c>
      <c r="J228" s="23">
        <f ca="1">'Index Data'!B337</f>
        <v>3.0162569018426091E-2</v>
      </c>
      <c r="K228" s="23">
        <f ca="1">'Index Data'!C337</f>
        <v>7.4471322075156013E-2</v>
      </c>
      <c r="L228" s="23">
        <f ca="1">'Index Data'!AH337</f>
        <v>6.6100000000000006E-2</v>
      </c>
      <c r="M228" s="23">
        <f ca="1">'Index Data'!V337</f>
        <v>1.984277001698927E-2</v>
      </c>
      <c r="N228" s="23">
        <f ca="1">'Index Data'!W337</f>
        <v>2.2828565852197835E-2</v>
      </c>
      <c r="O228" s="23">
        <f ca="1">'Index Data'!R337</f>
        <v>4.1249337739990469E-2</v>
      </c>
      <c r="P228" s="23">
        <f ca="1">'Index Data'!S337</f>
        <v>1.8876924188769163E-2</v>
      </c>
      <c r="Q228" s="23">
        <f ca="1">'Index Data'!U337</f>
        <v>2.1322104943327057E-2</v>
      </c>
      <c r="R228" s="24"/>
      <c r="S228" s="23">
        <f t="shared" ca="1" si="27"/>
        <v>2.5330975506838934E-2</v>
      </c>
      <c r="T228" s="2">
        <f t="shared" ca="1" si="22"/>
        <v>2.2828565852197835E-2</v>
      </c>
      <c r="U228" s="2">
        <f t="shared" ca="1" si="23"/>
        <v>3.0162569018426091E-2</v>
      </c>
      <c r="V228" s="2">
        <f t="shared" ca="1" si="24"/>
        <v>7.4471322075156013E-2</v>
      </c>
      <c r="W228" s="2">
        <f t="shared" ca="1" si="25"/>
        <v>4.1249337739990469E-2</v>
      </c>
      <c r="X228" s="2">
        <v>3.1600000000419071E-2</v>
      </c>
      <c r="Y228" s="2">
        <f t="shared" ca="1" si="28"/>
        <v>2.9826342266050715E-2</v>
      </c>
      <c r="Z228" s="2">
        <f t="shared" ca="1" si="26"/>
        <v>3.2962186987279415E-2</v>
      </c>
    </row>
    <row r="229" spans="1:26">
      <c r="A229" s="22">
        <v>39082</v>
      </c>
      <c r="B229" s="25" t="s">
        <v>45</v>
      </c>
      <c r="C229" s="25" t="s">
        <v>47</v>
      </c>
      <c r="D229" s="25" t="s">
        <v>32</v>
      </c>
      <c r="E229" s="25" t="s">
        <v>33</v>
      </c>
      <c r="F229" s="25" t="s">
        <v>39</v>
      </c>
      <c r="H229" s="23">
        <f ca="1">'Index Data'!E338</f>
        <v>-5.803348085433876E-3</v>
      </c>
      <c r="I229" s="23">
        <f ca="1">'Index Data'!D338</f>
        <v>2.2568179391550799E-2</v>
      </c>
      <c r="J229" s="23">
        <f ca="1">'Index Data'!B338</f>
        <v>3.1453920662605904E-2</v>
      </c>
      <c r="K229" s="23">
        <f ca="1">'Index Data'!C338</f>
        <v>4.5125663716814167E-2</v>
      </c>
      <c r="L229" s="23">
        <f ca="1">'Index Data'!AH338</f>
        <v>-1.38E-2</v>
      </c>
      <c r="M229" s="23">
        <f ca="1">'Index Data'!V338</f>
        <v>3.387559594922001E-3</v>
      </c>
      <c r="N229" s="23">
        <f ca="1">'Index Data'!W338</f>
        <v>2.2448443469157628E-2</v>
      </c>
      <c r="O229" s="23">
        <f ca="1">'Index Data'!R338</f>
        <v>1.412579957356073E-2</v>
      </c>
      <c r="P229" s="23">
        <f ca="1">'Index Data'!S338</f>
        <v>1.163269069810337E-2</v>
      </c>
      <c r="Q229" s="23">
        <f ca="1">'Index Data'!U338</f>
        <v>1.2812105256944409E-2</v>
      </c>
      <c r="R229" s="24"/>
      <c r="S229" s="23">
        <f t="shared" ca="1" si="27"/>
        <v>1.6893873896153867E-2</v>
      </c>
      <c r="T229" s="2">
        <f t="shared" ca="1" si="22"/>
        <v>2.2448443469157628E-2</v>
      </c>
      <c r="U229" s="2">
        <f t="shared" ca="1" si="23"/>
        <v>3.1453920662605904E-2</v>
      </c>
      <c r="V229" s="2">
        <f t="shared" ca="1" si="24"/>
        <v>4.5125663716814167E-2</v>
      </c>
      <c r="W229" s="2">
        <f t="shared" ca="1" si="25"/>
        <v>1.412579957356073E-2</v>
      </c>
      <c r="X229" s="2">
        <v>4.6615000018677133E-3</v>
      </c>
      <c r="Y229" s="2">
        <f t="shared" ca="1" si="28"/>
        <v>2.696753479228535E-2</v>
      </c>
      <c r="Z229" s="2">
        <f t="shared" ca="1" si="26"/>
        <v>2.2785947806657603E-2</v>
      </c>
    </row>
    <row r="230" spans="1:26">
      <c r="A230" s="22">
        <v>39113</v>
      </c>
      <c r="B230" s="25" t="s">
        <v>45</v>
      </c>
      <c r="C230" s="25" t="s">
        <v>47</v>
      </c>
      <c r="D230" s="25" t="s">
        <v>32</v>
      </c>
      <c r="E230" s="25" t="s">
        <v>33</v>
      </c>
      <c r="F230" s="25" t="s">
        <v>39</v>
      </c>
      <c r="H230" s="23">
        <f ca="1">'Index Data'!E339</f>
        <v>-4.103088154461704E-4</v>
      </c>
      <c r="I230" s="23">
        <f ca="1">'Index Data'!D339</f>
        <v>1.0164921221402532E-2</v>
      </c>
      <c r="J230" s="23">
        <f ca="1">'Index Data'!B339</f>
        <v>6.8434028512085526E-3</v>
      </c>
      <c r="K230" s="23">
        <f ca="1">'Index Data'!C339</f>
        <v>-1.0099983742480953E-2</v>
      </c>
      <c r="L230" s="23">
        <f ca="1">'Index Data'!AH339</f>
        <v>2.1899999999999999E-2</v>
      </c>
      <c r="M230" s="23">
        <f ca="1">'Index Data'!V339</f>
        <v>2.5704824049923022E-2</v>
      </c>
      <c r="N230" s="23">
        <f ca="1">'Index Data'!W339</f>
        <v>1.2787818592956498E-2</v>
      </c>
      <c r="O230" s="23">
        <f ca="1">'Index Data'!R339</f>
        <v>3.8167482976944132E-2</v>
      </c>
      <c r="P230" s="23">
        <f ca="1">'Index Data'!S339</f>
        <v>1.7528852491200515E-2</v>
      </c>
      <c r="Q230" s="23">
        <f ca="1">'Index Data'!U339</f>
        <v>1.9259601170385186E-2</v>
      </c>
      <c r="R230" s="24"/>
      <c r="S230" s="23">
        <f t="shared" ca="1" si="27"/>
        <v>8.049875214032793E-3</v>
      </c>
      <c r="T230" s="2">
        <f t="shared" ca="1" si="22"/>
        <v>1.2787818592956498E-2</v>
      </c>
      <c r="U230" s="2">
        <f t="shared" ca="1" si="23"/>
        <v>6.8434028512085526E-3</v>
      </c>
      <c r="V230" s="2">
        <f t="shared" ca="1" si="24"/>
        <v>-1.0099983742480953E-2</v>
      </c>
      <c r="W230" s="2">
        <f t="shared" ca="1" si="25"/>
        <v>3.8167482976944132E-2</v>
      </c>
      <c r="X230" s="2">
        <v>3.460704709932716E-2</v>
      </c>
      <c r="Y230" s="2">
        <f t="shared" ca="1" si="28"/>
        <v>9.0129344239757662E-3</v>
      </c>
      <c r="Z230" s="2">
        <f t="shared" ca="1" si="26"/>
        <v>1.5280254954048972E-2</v>
      </c>
    </row>
    <row r="231" spans="1:26">
      <c r="A231" s="22">
        <v>39141</v>
      </c>
      <c r="B231" s="25" t="s">
        <v>45</v>
      </c>
      <c r="C231" s="25" t="s">
        <v>47</v>
      </c>
      <c r="D231" s="25" t="s">
        <v>32</v>
      </c>
      <c r="E231" s="25" t="s">
        <v>33</v>
      </c>
      <c r="F231" s="25" t="s">
        <v>39</v>
      </c>
      <c r="H231" s="23">
        <f ca="1">'Index Data'!E340</f>
        <v>1.5420003407735446E-2</v>
      </c>
      <c r="I231" s="23">
        <f ca="1">'Index Data'!D340</f>
        <v>-4.8744573358043908E-3</v>
      </c>
      <c r="J231" s="23">
        <f ca="1">'Index Data'!B340</f>
        <v>8.2145525667122327E-3</v>
      </c>
      <c r="K231" s="23">
        <f ca="1">'Index Data'!C340</f>
        <v>-5.7960898633436855E-3</v>
      </c>
      <c r="L231" s="23">
        <f ca="1">'Index Data'!AH340</f>
        <v>3.1400000000000004E-2</v>
      </c>
      <c r="M231" s="23">
        <f ca="1">'Index Data'!V340</f>
        <v>-1.8796568319005755E-2</v>
      </c>
      <c r="N231" s="23">
        <f ca="1">'Index Data'!W340</f>
        <v>-1.5589837828832479E-2</v>
      </c>
      <c r="O231" s="23">
        <f ca="1">'Index Data'!R340</f>
        <v>-2.9169783096484565E-2</v>
      </c>
      <c r="P231" s="23">
        <f ca="1">'Index Data'!S340</f>
        <v>-1.2293105111561252E-2</v>
      </c>
      <c r="Q231" s="23">
        <f ca="1">'Index Data'!U340</f>
        <v>-1.7205179050507488E-2</v>
      </c>
      <c r="R231" s="24"/>
      <c r="S231" s="23">
        <f t="shared" ca="1" si="27"/>
        <v>-8.1556518709642329E-4</v>
      </c>
      <c r="T231" s="2">
        <f t="shared" ca="1" si="22"/>
        <v>-1.5589837828832479E-2</v>
      </c>
      <c r="U231" s="2">
        <f t="shared" ca="1" si="23"/>
        <v>8.2145525667122327E-3</v>
      </c>
      <c r="V231" s="2">
        <f t="shared" ca="1" si="24"/>
        <v>-5.7960898633436855E-3</v>
      </c>
      <c r="W231" s="2">
        <f t="shared" ca="1" si="25"/>
        <v>-2.9169783096484565E-2</v>
      </c>
      <c r="X231" s="2">
        <v>-1.6586708916443427E-2</v>
      </c>
      <c r="Y231" s="2">
        <f t="shared" ca="1" si="28"/>
        <v>-8.6593654333974226E-3</v>
      </c>
      <c r="Z231" s="2">
        <f t="shared" ca="1" si="26"/>
        <v>-9.8772355459935176E-3</v>
      </c>
    </row>
    <row r="232" spans="1:26">
      <c r="A232" s="22">
        <v>39172</v>
      </c>
      <c r="B232" s="25" t="s">
        <v>45</v>
      </c>
      <c r="C232" s="25" t="s">
        <v>47</v>
      </c>
      <c r="D232" s="25" t="s">
        <v>32</v>
      </c>
      <c r="E232" s="25" t="s">
        <v>33</v>
      </c>
      <c r="F232" s="25" t="s">
        <v>39</v>
      </c>
      <c r="H232" s="23">
        <f ca="1">'Index Data'!E341</f>
        <v>3.0508965822476716E-5</v>
      </c>
      <c r="I232" s="23">
        <f ca="1">'Index Data'!D341</f>
        <v>2.0477150219222254E-2</v>
      </c>
      <c r="J232" s="23">
        <f ca="1">'Index Data'!B341</f>
        <v>2.5963540333819046E-2</v>
      </c>
      <c r="K232" s="23">
        <f ca="1">'Index Data'!C341</f>
        <v>4.0058918271547193E-2</v>
      </c>
      <c r="L232" s="23">
        <f ca="1">'Index Data'!AH341</f>
        <v>-1.41E-2</v>
      </c>
      <c r="M232" s="23">
        <f ca="1">'Index Data'!V341</f>
        <v>5.4243629745765465E-3</v>
      </c>
      <c r="N232" s="23">
        <f ca="1">'Index Data'!W341</f>
        <v>1.5461069107478834E-2</v>
      </c>
      <c r="O232" s="23">
        <f ca="1">'Index Data'!R341</f>
        <v>2.2993955197345001E-2</v>
      </c>
      <c r="P232" s="23">
        <f ca="1">'Index Data'!S341</f>
        <v>5.6440022882975329E-3</v>
      </c>
      <c r="Q232" s="23">
        <f ca="1">'Index Data'!U341</f>
        <v>1.0381358643985856E-2</v>
      </c>
      <c r="R232" s="24"/>
      <c r="S232" s="23">
        <f t="shared" ca="1" si="27"/>
        <v>1.6387821968542299E-2</v>
      </c>
      <c r="T232" s="2">
        <f t="shared" ca="1" si="22"/>
        <v>1.5461069107478834E-2</v>
      </c>
      <c r="U232" s="2">
        <f t="shared" ca="1" si="23"/>
        <v>2.5963540333819046E-2</v>
      </c>
      <c r="V232" s="2">
        <f t="shared" ca="1" si="24"/>
        <v>4.0058918271547193E-2</v>
      </c>
      <c r="W232" s="2">
        <f t="shared" ca="1" si="25"/>
        <v>2.2993955197345001E-2</v>
      </c>
      <c r="X232" s="2">
        <v>7.7683252130893443E-3</v>
      </c>
      <c r="Y232" s="2">
        <f t="shared" ca="1" si="28"/>
        <v>2.0546471830470724E-2</v>
      </c>
      <c r="Z232" s="2">
        <f t="shared" ca="1" si="26"/>
        <v>1.9572889508332789E-2</v>
      </c>
    </row>
    <row r="233" spans="1:26">
      <c r="A233" s="22">
        <v>39202</v>
      </c>
      <c r="B233" s="25" t="s">
        <v>45</v>
      </c>
      <c r="C233" s="25" t="s">
        <v>47</v>
      </c>
      <c r="D233" s="25" t="s">
        <v>32</v>
      </c>
      <c r="E233" s="25" t="s">
        <v>33</v>
      </c>
      <c r="F233" s="25" t="s">
        <v>39</v>
      </c>
      <c r="H233" s="23">
        <f ca="1">'Index Data'!E342</f>
        <v>5.3922951957471313E-3</v>
      </c>
      <c r="I233" s="23">
        <f ca="1">'Index Data'!D342</f>
        <v>4.4946829882409597E-2</v>
      </c>
      <c r="J233" s="23">
        <f ca="1">'Index Data'!B342</f>
        <v>4.5350002218091129E-2</v>
      </c>
      <c r="K233" s="23">
        <f ca="1">'Index Data'!C342</f>
        <v>4.7589109631649362E-2</v>
      </c>
      <c r="L233" s="23">
        <f ca="1">'Index Data'!AH342</f>
        <v>3.0899999999999997E-2</v>
      </c>
      <c r="M233" s="23">
        <f ca="1">'Index Data'!V342</f>
        <v>4.7080092902135932E-2</v>
      </c>
      <c r="N233" s="23">
        <f ca="1">'Index Data'!W342</f>
        <v>3.6952443000032746E-2</v>
      </c>
      <c r="O233" s="23">
        <f ca="1">'Index Data'!R342</f>
        <v>3.8164754953076051E-2</v>
      </c>
      <c r="P233" s="23">
        <f ca="1">'Index Data'!S342</f>
        <v>3.7232824824658214E-2</v>
      </c>
      <c r="Q233" s="23">
        <f ca="1">'Index Data'!U342</f>
        <v>4.2041395322188639E-2</v>
      </c>
      <c r="R233" s="24"/>
      <c r="S233" s="23">
        <f t="shared" ca="1" si="27"/>
        <v>3.7035922945077106E-2</v>
      </c>
      <c r="T233" s="2">
        <f t="shared" ca="1" si="22"/>
        <v>3.6952443000032746E-2</v>
      </c>
      <c r="U233" s="2">
        <f t="shared" ca="1" si="23"/>
        <v>4.5350002218091129E-2</v>
      </c>
      <c r="V233" s="2">
        <f t="shared" ca="1" si="24"/>
        <v>4.7589109631649362E-2</v>
      </c>
      <c r="W233" s="2">
        <f t="shared" ca="1" si="25"/>
        <v>3.8164754953076051E-2</v>
      </c>
      <c r="X233" s="2">
        <v>4.2240859212043125E-2</v>
      </c>
      <c r="Y233" s="2">
        <f t="shared" ca="1" si="28"/>
        <v>4.0115499467709002E-2</v>
      </c>
      <c r="Z233" s="2">
        <f t="shared" ca="1" si="26"/>
        <v>4.1264106106589329E-2</v>
      </c>
    </row>
    <row r="234" spans="1:26">
      <c r="A234" s="22">
        <v>39233</v>
      </c>
      <c r="B234" s="25" t="s">
        <v>45</v>
      </c>
      <c r="C234" s="25" t="s">
        <v>47</v>
      </c>
      <c r="D234" s="25" t="s">
        <v>32</v>
      </c>
      <c r="E234" s="25" t="s">
        <v>33</v>
      </c>
      <c r="F234" s="25" t="s">
        <v>39</v>
      </c>
      <c r="H234" s="23">
        <f ca="1">'Index Data'!E343</f>
        <v>-7.5785161583978222E-3</v>
      </c>
      <c r="I234" s="23">
        <f ca="1">'Index Data'!D343</f>
        <v>3.0659728452658706E-2</v>
      </c>
      <c r="J234" s="23">
        <f ca="1">'Index Data'!B343</f>
        <v>1.8849523453248862E-2</v>
      </c>
      <c r="K234" s="23">
        <f ca="1">'Index Data'!C343</f>
        <v>4.8838575588924578E-2</v>
      </c>
      <c r="L234" s="23">
        <f ca="1">'Index Data'!AH343</f>
        <v>-3.2899999999999999E-2</v>
      </c>
      <c r="M234" s="23">
        <f ca="1">'Index Data'!V343</f>
        <v>3.5975197341612114E-2</v>
      </c>
      <c r="N234" s="23">
        <f ca="1">'Index Data'!W343</f>
        <v>3.6069086857789985E-2</v>
      </c>
      <c r="O234" s="23">
        <f ca="1">'Index Data'!R343</f>
        <v>3.6002857015311807E-2</v>
      </c>
      <c r="P234" s="23">
        <f ca="1">'Index Data'!S343</f>
        <v>2.5857110370935063E-2</v>
      </c>
      <c r="Q234" s="23">
        <f ca="1">'Index Data'!U343</f>
        <v>3.6020095526416183E-2</v>
      </c>
      <c r="R234" s="24"/>
      <c r="S234" s="23">
        <f t="shared" ca="1" si="27"/>
        <v>2.3012079530447403E-2</v>
      </c>
      <c r="T234" s="2">
        <f t="shared" ca="1" si="22"/>
        <v>3.6069086857789985E-2</v>
      </c>
      <c r="U234" s="2">
        <f t="shared" ca="1" si="23"/>
        <v>1.8849523453248862E-2</v>
      </c>
      <c r="V234" s="2">
        <f t="shared" ca="1" si="24"/>
        <v>4.8838575588924578E-2</v>
      </c>
      <c r="W234" s="2">
        <f t="shared" ca="1" si="25"/>
        <v>3.6002857015311807E-2</v>
      </c>
      <c r="X234" s="2">
        <v>3.3429803117265511E-2</v>
      </c>
      <c r="Y234" s="2">
        <f t="shared" ca="1" si="28"/>
        <v>3.3041144879768169E-2</v>
      </c>
      <c r="Z234" s="2">
        <f t="shared" ca="1" si="26"/>
        <v>3.250832089347741E-2</v>
      </c>
    </row>
    <row r="235" spans="1:26">
      <c r="A235" s="22">
        <v>39263</v>
      </c>
      <c r="B235" s="25" t="s">
        <v>45</v>
      </c>
      <c r="C235" s="25" t="s">
        <v>47</v>
      </c>
      <c r="D235" s="25" t="s">
        <v>32</v>
      </c>
      <c r="E235" s="25" t="s">
        <v>33</v>
      </c>
      <c r="F235" s="25" t="s">
        <v>39</v>
      </c>
      <c r="H235" s="23">
        <f ca="1">'Index Data'!E344</f>
        <v>-2.9582406494371074E-3</v>
      </c>
      <c r="I235" s="23">
        <f ca="1">'Index Data'!D344</f>
        <v>-2.5816357323588503E-3</v>
      </c>
      <c r="J235" s="23">
        <f ca="1">'Index Data'!B344</f>
        <v>1.5427019587836105E-3</v>
      </c>
      <c r="K235" s="23">
        <f ca="1">'Index Data'!C344</f>
        <v>4.7299250728792715E-2</v>
      </c>
      <c r="L235" s="23">
        <f ca="1">'Index Data'!AH344</f>
        <v>-1.5300000000000001E-2</v>
      </c>
      <c r="M235" s="23">
        <f ca="1">'Index Data'!V344</f>
        <v>-1.4926855972668499E-2</v>
      </c>
      <c r="N235" s="23">
        <f ca="1">'Index Data'!W344</f>
        <v>-2.3365628246532013E-2</v>
      </c>
      <c r="O235" s="23">
        <f ca="1">'Index Data'!R344</f>
        <v>-2.7383388990627987E-2</v>
      </c>
      <c r="P235" s="23">
        <f ca="1">'Index Data'!S344</f>
        <v>-3.0688486112922117E-2</v>
      </c>
      <c r="Q235" s="23">
        <f ca="1">'Index Data'!U344</f>
        <v>-1.9101358222206169E-2</v>
      </c>
      <c r="R235" s="24"/>
      <c r="S235" s="23">
        <f t="shared" ca="1" si="27"/>
        <v>-2.6569567157745015E-3</v>
      </c>
      <c r="T235" s="2">
        <f t="shared" ca="1" si="22"/>
        <v>-2.3365628246532013E-2</v>
      </c>
      <c r="U235" s="2">
        <f t="shared" ca="1" si="23"/>
        <v>1.5427019587836105E-3</v>
      </c>
      <c r="V235" s="2">
        <f t="shared" ca="1" si="24"/>
        <v>4.7299250728792715E-2</v>
      </c>
      <c r="W235" s="2">
        <f t="shared" ca="1" si="25"/>
        <v>-2.7383388990627987E-2</v>
      </c>
      <c r="X235" s="2">
        <v>-2.3039376585680116E-2</v>
      </c>
      <c r="Y235" s="2">
        <f t="shared" ca="1" si="28"/>
        <v>-1.0072057797670633E-2</v>
      </c>
      <c r="Z235" s="2">
        <f t="shared" ca="1" si="26"/>
        <v>-1.0308139521307453E-2</v>
      </c>
    </row>
    <row r="236" spans="1:26">
      <c r="A236" s="22">
        <v>39294</v>
      </c>
      <c r="B236" s="25" t="s">
        <v>45</v>
      </c>
      <c r="C236" s="25" t="s">
        <v>47</v>
      </c>
      <c r="D236" s="25" t="s">
        <v>32</v>
      </c>
      <c r="E236" s="25" t="s">
        <v>33</v>
      </c>
      <c r="F236" s="25" t="s">
        <v>39</v>
      </c>
      <c r="H236" s="23">
        <f ca="1">'Index Data'!E345</f>
        <v>8.3413833816337081E-3</v>
      </c>
      <c r="I236" s="23">
        <f ca="1">'Index Data'!D345</f>
        <v>-1.503950634112936E-2</v>
      </c>
      <c r="J236" s="23">
        <f ca="1">'Index Data'!B345</f>
        <v>-1.4620303831008938E-2</v>
      </c>
      <c r="K236" s="23">
        <f ca="1">'Index Data'!C345</f>
        <v>5.3283567497311432E-2</v>
      </c>
      <c r="L236" s="23">
        <f ca="1">'Index Data'!AH345</f>
        <v>2.46E-2</v>
      </c>
      <c r="M236" s="23">
        <f ca="1">'Index Data'!V345</f>
        <v>-1.5502950541635958E-2</v>
      </c>
      <c r="N236" s="23">
        <f ca="1">'Index Data'!W345</f>
        <v>-4.6244040499334498E-2</v>
      </c>
      <c r="O236" s="23">
        <f ca="1">'Index Data'!R345</f>
        <v>-3.2462785752259374E-2</v>
      </c>
      <c r="P236" s="23">
        <f ca="1">'Index Data'!S345</f>
        <v>-3.0879850409960167E-2</v>
      </c>
      <c r="Q236" s="23">
        <f ca="1">'Index Data'!U345</f>
        <v>-3.0888319566553735E-2</v>
      </c>
      <c r="R236" s="24"/>
      <c r="S236" s="23">
        <f t="shared" ca="1" si="27"/>
        <v>-1.0363328396576749E-2</v>
      </c>
      <c r="T236" s="2">
        <f t="shared" ca="1" si="22"/>
        <v>-4.6244040499334498E-2</v>
      </c>
      <c r="U236" s="2">
        <f t="shared" ca="1" si="23"/>
        <v>-1.4620303831008938E-2</v>
      </c>
      <c r="V236" s="2">
        <f t="shared" ca="1" si="24"/>
        <v>5.3283567497311432E-2</v>
      </c>
      <c r="W236" s="2">
        <f t="shared" ca="1" si="25"/>
        <v>-3.2462785752259374E-2</v>
      </c>
      <c r="X236" s="2">
        <v>-4.2283513956338226E-2</v>
      </c>
      <c r="Y236" s="2">
        <f t="shared" ca="1" si="28"/>
        <v>-2.8385345532588514E-2</v>
      </c>
      <c r="Z236" s="2">
        <f t="shared" ca="1" si="26"/>
        <v>-2.6559646117958625E-2</v>
      </c>
    </row>
    <row r="237" spans="1:26">
      <c r="A237" s="22">
        <v>39325</v>
      </c>
      <c r="B237" s="25" t="s">
        <v>45</v>
      </c>
      <c r="C237" s="25" t="s">
        <v>46</v>
      </c>
      <c r="D237" s="25" t="s">
        <v>32</v>
      </c>
      <c r="E237" s="25" t="s">
        <v>33</v>
      </c>
      <c r="F237" s="25" t="s">
        <v>39</v>
      </c>
      <c r="H237" s="23">
        <f ca="1">'Index Data'!E346</f>
        <v>1.2256504615197375E-2</v>
      </c>
      <c r="I237" s="23">
        <f ca="1">'Index Data'!D346</f>
        <v>-2.3426081262171608E-3</v>
      </c>
      <c r="J237" s="23">
        <f ca="1">'Index Data'!B346</f>
        <v>-1.538812410135088E-2</v>
      </c>
      <c r="K237" s="23">
        <f ca="1">'Index Data'!C346</f>
        <v>-2.0928658010548926E-2</v>
      </c>
      <c r="L237" s="23">
        <f ca="1">'Index Data'!AH346</f>
        <v>1.3300000000000001E-2</v>
      </c>
      <c r="M237" s="23">
        <f ca="1">'Index Data'!V346</f>
        <v>1.5933148098203967E-2</v>
      </c>
      <c r="N237" s="23">
        <f ca="1">'Index Data'!W346</f>
        <v>1.1204951829179018E-2</v>
      </c>
      <c r="O237" s="23">
        <f ca="1">'Index Data'!R346</f>
        <v>1.2866742218711603E-2</v>
      </c>
      <c r="P237" s="23">
        <f ca="1">'Index Data'!S346</f>
        <v>2.0675726322510767E-2</v>
      </c>
      <c r="Q237" s="23">
        <f ca="1">'Index Data'!U346</f>
        <v>1.360883929292846E-2</v>
      </c>
      <c r="R237" s="24"/>
      <c r="S237" s="23">
        <f t="shared" ca="1" si="27"/>
        <v>5.7721442206574644E-4</v>
      </c>
      <c r="T237" s="2">
        <f t="shared" ca="1" si="22"/>
        <v>1.5933148098203967E-2</v>
      </c>
      <c r="U237" s="2">
        <f t="shared" ca="1" si="23"/>
        <v>-1.538812410135088E-2</v>
      </c>
      <c r="V237" s="2">
        <f t="shared" ca="1" si="24"/>
        <v>-2.0928658010548926E-2</v>
      </c>
      <c r="W237" s="2">
        <f t="shared" ca="1" si="25"/>
        <v>1.2866742218711603E-2</v>
      </c>
      <c r="X237" s="2">
        <v>2.1114786968825516E-3</v>
      </c>
      <c r="Y237" s="2">
        <f t="shared" ca="1" si="28"/>
        <v>4.4166494374399661E-3</v>
      </c>
      <c r="Z237" s="2">
        <f t="shared" ca="1" si="26"/>
        <v>1.4223351162137559E-3</v>
      </c>
    </row>
    <row r="238" spans="1:26">
      <c r="A238" s="22">
        <v>39355</v>
      </c>
      <c r="B238" s="25" t="s">
        <v>45</v>
      </c>
      <c r="C238" s="25" t="s">
        <v>46</v>
      </c>
      <c r="D238" s="25" t="s">
        <v>32</v>
      </c>
      <c r="E238" s="25" t="s">
        <v>33</v>
      </c>
      <c r="F238" s="25" t="s">
        <v>39</v>
      </c>
      <c r="H238" s="23">
        <f ca="1">'Index Data'!E347</f>
        <v>7.5863415806631945E-3</v>
      </c>
      <c r="I238" s="23">
        <f ca="1">'Index Data'!D347</f>
        <v>5.3998044370459811E-2</v>
      </c>
      <c r="J238" s="23">
        <f ca="1">'Index Data'!B347</f>
        <v>5.369082573199916E-2</v>
      </c>
      <c r="K238" s="23">
        <f ca="1">'Index Data'!C347</f>
        <v>0.11052182496528407</v>
      </c>
      <c r="L238" s="23">
        <f ca="1">'Index Data'!AH347</f>
        <v>9.9100000000000008E-2</v>
      </c>
      <c r="M238" s="23">
        <f ca="1">'Index Data'!V347</f>
        <v>4.1890634903649054E-2</v>
      </c>
      <c r="N238" s="23">
        <f ca="1">'Index Data'!W347</f>
        <v>3.4347835309060645E-2</v>
      </c>
      <c r="O238" s="23">
        <f ca="1">'Index Data'!R347</f>
        <v>7.0614030130762562E-2</v>
      </c>
      <c r="P238" s="23">
        <f ca="1">'Index Data'!S347</f>
        <v>3.6331862288438176E-2</v>
      </c>
      <c r="Q238" s="23">
        <f ca="1">'Index Data'!U347</f>
        <v>3.8188674315435808E-2</v>
      </c>
      <c r="R238" s="24"/>
      <c r="S238" s="23">
        <f t="shared" ca="1" si="27"/>
        <v>4.4715703812500486E-2</v>
      </c>
      <c r="T238" s="2">
        <f t="shared" ca="1" si="22"/>
        <v>4.1890634903649054E-2</v>
      </c>
      <c r="U238" s="2">
        <f t="shared" ca="1" si="23"/>
        <v>5.369082573199916E-2</v>
      </c>
      <c r="V238" s="2">
        <f t="shared" ca="1" si="24"/>
        <v>0.11052182496528407</v>
      </c>
      <c r="W238" s="2">
        <f t="shared" ca="1" si="25"/>
        <v>7.0614030130762562E-2</v>
      </c>
      <c r="X238" s="2">
        <v>3.7779580571475568E-2</v>
      </c>
      <c r="Y238" s="2">
        <f t="shared" ca="1" si="28"/>
        <v>5.170380161690008E-2</v>
      </c>
      <c r="Z238" s="2">
        <f t="shared" ca="1" si="26"/>
        <v>5.3035845392498893E-2</v>
      </c>
    </row>
    <row r="239" spans="1:26">
      <c r="A239" s="22">
        <v>39386</v>
      </c>
      <c r="B239" s="25" t="s">
        <v>45</v>
      </c>
      <c r="C239" s="25" t="s">
        <v>46</v>
      </c>
      <c r="D239" s="25" t="s">
        <v>32</v>
      </c>
      <c r="E239" s="25" t="s">
        <v>33</v>
      </c>
      <c r="F239" s="25" t="s">
        <v>39</v>
      </c>
      <c r="H239" s="23">
        <f ca="1">'Index Data'!E348</f>
        <v>8.9828840648854616E-3</v>
      </c>
      <c r="I239" s="23">
        <f ca="1">'Index Data'!D348</f>
        <v>3.921461624023128E-2</v>
      </c>
      <c r="J239" s="23">
        <f ca="1">'Index Data'!B348</f>
        <v>3.9402669070449162E-2</v>
      </c>
      <c r="K239" s="23">
        <f ca="1">'Index Data'!C348</f>
        <v>0.11159990157233179</v>
      </c>
      <c r="L239" s="23">
        <f ca="1">'Index Data'!AH348</f>
        <v>7.0699999999999999E-2</v>
      </c>
      <c r="M239" s="23">
        <f ca="1">'Index Data'!V348</f>
        <v>3.4033988559871053E-2</v>
      </c>
      <c r="N239" s="23">
        <f ca="1">'Index Data'!W348</f>
        <v>1.1097627761437738E-4</v>
      </c>
      <c r="O239" s="23">
        <f ca="1">'Index Data'!R348</f>
        <v>4.3851407699859693E-2</v>
      </c>
      <c r="P239" s="23">
        <f ca="1">'Index Data'!S348</f>
        <v>1.2119104485446595E-2</v>
      </c>
      <c r="Q239" s="23">
        <f ca="1">'Index Data'!U348</f>
        <v>1.7433276547416263E-2</v>
      </c>
      <c r="R239" s="24"/>
      <c r="S239" s="23">
        <f t="shared" ca="1" si="27"/>
        <v>3.3168269805162118E-2</v>
      </c>
      <c r="T239" s="2">
        <f t="shared" ca="1" si="22"/>
        <v>3.4033988559871053E-2</v>
      </c>
      <c r="U239" s="2">
        <f t="shared" ca="1" si="23"/>
        <v>3.9402669070449162E-2</v>
      </c>
      <c r="V239" s="2">
        <f t="shared" ca="1" si="24"/>
        <v>0.11159990157233179</v>
      </c>
      <c r="W239" s="2">
        <f t="shared" ca="1" si="25"/>
        <v>4.3851407699859693E-2</v>
      </c>
      <c r="X239" s="2">
        <v>1.6381887865544398E-2</v>
      </c>
      <c r="Y239" s="2">
        <f t="shared" ca="1" si="28"/>
        <v>4.3132749988761654E-2</v>
      </c>
      <c r="Z239" s="2">
        <f t="shared" ca="1" si="26"/>
        <v>4.0338636285395468E-2</v>
      </c>
    </row>
    <row r="240" spans="1:26">
      <c r="A240" s="22">
        <v>39416</v>
      </c>
      <c r="B240" s="25" t="s">
        <v>45</v>
      </c>
      <c r="C240" s="25" t="s">
        <v>46</v>
      </c>
      <c r="D240" s="25" t="s">
        <v>32</v>
      </c>
      <c r="E240" s="25" t="s">
        <v>33</v>
      </c>
      <c r="F240" s="25" t="s">
        <v>39</v>
      </c>
      <c r="H240" s="23">
        <f ca="1">'Index Data'!E349</f>
        <v>1.7983139882821388E-2</v>
      </c>
      <c r="I240" s="23">
        <f ca="1">'Index Data'!D349</f>
        <v>-4.380468442309636E-2</v>
      </c>
      <c r="J240" s="23">
        <f ca="1">'Index Data'!B349</f>
        <v>-3.2624688111721201E-2</v>
      </c>
      <c r="K240" s="23">
        <f ca="1">'Index Data'!C349</f>
        <v>-7.0845794519186531E-2</v>
      </c>
      <c r="L240" s="23">
        <f ca="1">'Index Data'!AH349</f>
        <v>-1.6500000000000001E-2</v>
      </c>
      <c r="M240" s="23">
        <f ca="1">'Index Data'!V349</f>
        <v>-3.6837249459905033E-2</v>
      </c>
      <c r="N240" s="23">
        <f ca="1">'Index Data'!W349</f>
        <v>-4.8873595160041347E-2</v>
      </c>
      <c r="O240" s="23">
        <f ca="1">'Index Data'!R349</f>
        <v>-3.3049159107227798E-2</v>
      </c>
      <c r="P240" s="23">
        <f ca="1">'Index Data'!S349</f>
        <v>-2.399336146929355E-2</v>
      </c>
      <c r="Q240" s="23">
        <f ca="1">'Index Data'!U349</f>
        <v>-4.2630847876790175E-2</v>
      </c>
      <c r="R240" s="24"/>
      <c r="S240" s="23">
        <f t="shared" ca="1" si="27"/>
        <v>-3.144711956191281E-2</v>
      </c>
      <c r="T240" s="2">
        <f t="shared" ca="1" si="22"/>
        <v>-3.6837249459905033E-2</v>
      </c>
      <c r="U240" s="2">
        <f t="shared" ca="1" si="23"/>
        <v>-3.2624688111721201E-2</v>
      </c>
      <c r="V240" s="2">
        <f t="shared" ca="1" si="24"/>
        <v>-7.0845794519186531E-2</v>
      </c>
      <c r="W240" s="2">
        <f t="shared" ca="1" si="25"/>
        <v>-3.3049159107227798E-2</v>
      </c>
      <c r="X240" s="2">
        <v>-4.6685087280430526E-2</v>
      </c>
      <c r="Y240" s="2">
        <f t="shared" ca="1" si="28"/>
        <v>-3.918496362878722E-2</v>
      </c>
      <c r="Z240" s="2">
        <f t="shared" ca="1" si="26"/>
        <v>-4.087042441644153E-2</v>
      </c>
    </row>
    <row r="241" spans="1:26">
      <c r="A241" s="22">
        <v>39447</v>
      </c>
      <c r="B241" s="25" t="s">
        <v>48</v>
      </c>
      <c r="C241" s="25" t="s">
        <v>46</v>
      </c>
      <c r="D241" s="25" t="s">
        <v>32</v>
      </c>
      <c r="E241" s="25" t="s">
        <v>33</v>
      </c>
      <c r="F241" s="25" t="s">
        <v>43</v>
      </c>
      <c r="H241" s="23">
        <f ca="1">'Index Data'!E350</f>
        <v>2.8087645065066943E-3</v>
      </c>
      <c r="I241" s="23">
        <f ca="1">'Index Data'!D350</f>
        <v>-1.0805956359442518E-2</v>
      </c>
      <c r="J241" s="23">
        <f ca="1">'Index Data'!B350</f>
        <v>-2.2450071046268009E-2</v>
      </c>
      <c r="K241" s="23">
        <f ca="1">'Index Data'!C350</f>
        <v>3.5930996927147729E-3</v>
      </c>
      <c r="L241" s="23">
        <f ca="1">'Index Data'!AH350</f>
        <v>7.1300000000000002E-2</v>
      </c>
      <c r="M241" s="23">
        <f ca="1">'Index Data'!V350</f>
        <v>-3.6153849204932217E-3</v>
      </c>
      <c r="N241" s="23">
        <f ca="1">'Index Data'!W350</f>
        <v>-9.6705838491358189E-3</v>
      </c>
      <c r="O241" s="23">
        <f ca="1">'Index Data'!R350</f>
        <v>3.1365371542122066E-2</v>
      </c>
      <c r="P241" s="23">
        <f ca="1">'Index Data'!S350</f>
        <v>-1.1823314513450651E-2</v>
      </c>
      <c r="Q241" s="23">
        <f ca="1">'Index Data'!U350</f>
        <v>-6.5107887283543942E-3</v>
      </c>
      <c r="R241" s="24"/>
      <c r="S241" s="23">
        <f t="shared" ca="1" si="27"/>
        <v>-2.6371238398729909E-3</v>
      </c>
      <c r="T241" s="2">
        <f t="shared" ca="1" si="22"/>
        <v>-3.6153849204932217E-3</v>
      </c>
      <c r="U241" s="2">
        <f t="shared" ca="1" si="23"/>
        <v>-2.2450071046268009E-2</v>
      </c>
      <c r="V241" s="2">
        <f t="shared" ca="1" si="24"/>
        <v>3.5930996927147729E-3</v>
      </c>
      <c r="W241" s="2">
        <f t="shared" ca="1" si="25"/>
        <v>-7.6032079906161185E-3</v>
      </c>
      <c r="X241" s="2">
        <v>3.6586451977136392E-3</v>
      </c>
      <c r="Y241" s="2">
        <f t="shared" ca="1" si="28"/>
        <v>-7.6032079906161185E-3</v>
      </c>
      <c r="Z241" s="2">
        <f t="shared" ca="1" si="26"/>
        <v>-6.4474886972339645E-3</v>
      </c>
    </row>
    <row r="242" spans="1:26">
      <c r="A242" s="22">
        <v>39478</v>
      </c>
      <c r="B242" s="25" t="s">
        <v>48</v>
      </c>
      <c r="C242" s="25" t="s">
        <v>46</v>
      </c>
      <c r="D242" s="25" t="s">
        <v>32</v>
      </c>
      <c r="E242" s="25" t="s">
        <v>33</v>
      </c>
      <c r="F242" s="25" t="s">
        <v>40</v>
      </c>
      <c r="H242" s="23">
        <f ca="1">'Index Data'!E351</f>
        <v>1.6798147209958772E-2</v>
      </c>
      <c r="I242" s="23">
        <f ca="1">'Index Data'!D351</f>
        <v>-8.1673641807081213E-2</v>
      </c>
      <c r="J242" s="23">
        <f ca="1">'Index Data'!B351</f>
        <v>-9.2280385012439708E-2</v>
      </c>
      <c r="K242" s="23">
        <f ca="1">'Index Data'!C351</f>
        <v>-0.12449917882283405</v>
      </c>
      <c r="L242" s="23">
        <f ca="1">'Index Data'!AH351</f>
        <v>0.1011</v>
      </c>
      <c r="M242" s="23">
        <f ca="1">'Index Data'!V351</f>
        <v>-7.7975999729305259E-2</v>
      </c>
      <c r="N242" s="23">
        <f ca="1">'Index Data'!W351</f>
        <v>-4.0052448873232768E-2</v>
      </c>
      <c r="O242" s="23">
        <f ca="1">'Index Data'!R351</f>
        <v>-0.11586590139331129</v>
      </c>
      <c r="P242" s="23">
        <f ca="1">'Index Data'!S351</f>
        <v>-4.6205552194662908E-2</v>
      </c>
      <c r="Q242" s="23">
        <f ca="1">'Index Data'!U351</f>
        <v>-5.9950300839706476E-2</v>
      </c>
      <c r="R242" s="24"/>
      <c r="S242" s="23">
        <f t="shared" ca="1" si="27"/>
        <v>-2.2590568396857226E-2</v>
      </c>
      <c r="T242" s="2">
        <f t="shared" ca="1" si="22"/>
        <v>-7.7975999729305259E-2</v>
      </c>
      <c r="U242" s="2">
        <f t="shared" ca="1" si="23"/>
        <v>-9.2280385012439708E-2</v>
      </c>
      <c r="V242" s="2">
        <f t="shared" ca="1" si="24"/>
        <v>-0.12449917882283405</v>
      </c>
      <c r="W242" s="2">
        <f t="shared" ca="1" si="25"/>
        <v>-4.6205552194662908E-2</v>
      </c>
      <c r="X242" s="2">
        <v>-7.3079360551268069E-2</v>
      </c>
      <c r="Y242" s="2">
        <f t="shared" ca="1" si="28"/>
        <v>-8.6204413959441756E-2</v>
      </c>
      <c r="Z242" s="2">
        <f t="shared" ca="1" si="26"/>
        <v>-8.2842302558736147E-2</v>
      </c>
    </row>
    <row r="243" spans="1:26">
      <c r="A243" s="22">
        <v>39507</v>
      </c>
      <c r="B243" s="25" t="s">
        <v>48</v>
      </c>
      <c r="C243" s="25" t="s">
        <v>46</v>
      </c>
      <c r="D243" s="25" t="s">
        <v>32</v>
      </c>
      <c r="E243" s="25" t="s">
        <v>33</v>
      </c>
      <c r="F243" s="25" t="s">
        <v>40</v>
      </c>
      <c r="H243" s="23">
        <f ca="1">'Index Data'!E352</f>
        <v>1.3879892662162117E-3</v>
      </c>
      <c r="I243" s="23">
        <f ca="1">'Index Data'!D352</f>
        <v>3.2966153682021395E-3</v>
      </c>
      <c r="J243" s="23">
        <f ca="1">'Index Data'!B352</f>
        <v>1.463683965391206E-2</v>
      </c>
      <c r="K243" s="23">
        <f ca="1">'Index Data'!C352</f>
        <v>7.4172859727855742E-2</v>
      </c>
      <c r="L243" s="23">
        <f ca="1">'Index Data'!AH352</f>
        <v>5.67E-2</v>
      </c>
      <c r="M243" s="23">
        <f ca="1">'Index Data'!V352</f>
        <v>-1.9862488801580237E-2</v>
      </c>
      <c r="N243" s="23">
        <f ca="1">'Index Data'!W352</f>
        <v>-4.1898323533492085E-2</v>
      </c>
      <c r="O243" s="23">
        <f ca="1">'Index Data'!R352</f>
        <v>-4.0143138964077625E-3</v>
      </c>
      <c r="P243" s="23">
        <f ca="1">'Index Data'!S352</f>
        <v>-3.0029035349833772E-2</v>
      </c>
      <c r="Q243" s="23">
        <f ca="1">'Index Data'!U352</f>
        <v>-3.0550988649651358E-2</v>
      </c>
      <c r="R243" s="24"/>
      <c r="S243" s="23">
        <f t="shared" ca="1" si="27"/>
        <v>2.1514397070105827E-3</v>
      </c>
      <c r="T243" s="2">
        <f t="shared" ca="1" si="22"/>
        <v>-1.9862488801580237E-2</v>
      </c>
      <c r="U243" s="2">
        <f t="shared" ca="1" si="23"/>
        <v>1.463683965391206E-2</v>
      </c>
      <c r="V243" s="2">
        <f t="shared" ca="1" si="24"/>
        <v>7.4172859727855742E-2</v>
      </c>
      <c r="W243" s="2">
        <f t="shared" ca="1" si="25"/>
        <v>-3.0029035349833772E-2</v>
      </c>
      <c r="X243" s="2">
        <v>-1.5028812646543765E-2</v>
      </c>
      <c r="Y243" s="2">
        <f t="shared" ca="1" si="28"/>
        <v>-1.8341218347635649E-3</v>
      </c>
      <c r="Z243" s="2">
        <f t="shared" ca="1" si="26"/>
        <v>-1.6298775948752854E-3</v>
      </c>
    </row>
    <row r="244" spans="1:26">
      <c r="A244" s="22">
        <v>39538</v>
      </c>
      <c r="B244" s="25" t="s">
        <v>48</v>
      </c>
      <c r="C244" s="25" t="s">
        <v>46</v>
      </c>
      <c r="D244" s="25" t="s">
        <v>32</v>
      </c>
      <c r="E244" s="25" t="s">
        <v>33</v>
      </c>
      <c r="F244" s="25" t="s">
        <v>40</v>
      </c>
      <c r="H244" s="23">
        <f ca="1">'Index Data'!E353</f>
        <v>3.4118533471704238E-3</v>
      </c>
      <c r="I244" s="23">
        <f ca="1">'Index Data'!D353</f>
        <v>-1.4225988880795612E-2</v>
      </c>
      <c r="J244" s="23">
        <f ca="1">'Index Data'!B353</f>
        <v>-1.0041177748381105E-2</v>
      </c>
      <c r="K244" s="23">
        <f ca="1">'Index Data'!C353</f>
        <v>-5.2828963975334563E-2</v>
      </c>
      <c r="L244" s="23">
        <f ca="1">'Index Data'!AH353</f>
        <v>-6.0299999999999999E-2</v>
      </c>
      <c r="M244" s="23">
        <f ca="1">'Index Data'!V353</f>
        <v>-6.087649823581516E-3</v>
      </c>
      <c r="N244" s="23">
        <f ca="1">'Index Data'!W353</f>
        <v>-7.5195402234838459E-3</v>
      </c>
      <c r="O244" s="23">
        <f ca="1">'Index Data'!R353</f>
        <v>-4.0189778668325033E-3</v>
      </c>
      <c r="P244" s="23">
        <f ca="1">'Index Data'!S353</f>
        <v>-2.9062375122580467E-5</v>
      </c>
      <c r="Q244" s="23">
        <f ca="1">'Index Data'!U353</f>
        <v>-6.7760324040359223E-3</v>
      </c>
      <c r="R244" s="24"/>
      <c r="S244" s="23">
        <f t="shared" ca="1" si="27"/>
        <v>-3.6432835440159909E-3</v>
      </c>
      <c r="T244" s="2">
        <f t="shared" ca="1" si="22"/>
        <v>-6.087649823581516E-3</v>
      </c>
      <c r="U244" s="2">
        <f t="shared" ca="1" si="23"/>
        <v>-1.0041177748381105E-2</v>
      </c>
      <c r="V244" s="2">
        <f t="shared" ca="1" si="24"/>
        <v>-5.2828963975334563E-2</v>
      </c>
      <c r="W244" s="2">
        <f t="shared" ca="1" si="25"/>
        <v>-2.9062375122580467E-5</v>
      </c>
      <c r="X244" s="2">
        <v>-1.1173801365351954E-2</v>
      </c>
      <c r="Y244" s="2">
        <f t="shared" ca="1" si="28"/>
        <v>-1.1750163219956717E-2</v>
      </c>
      <c r="Z244" s="2">
        <f t="shared" ca="1" si="26"/>
        <v>-1.2312999469676386E-2</v>
      </c>
    </row>
    <row r="245" spans="1:26">
      <c r="A245" s="22">
        <v>39568</v>
      </c>
      <c r="B245" s="25" t="s">
        <v>48</v>
      </c>
      <c r="C245" s="25" t="s">
        <v>46</v>
      </c>
      <c r="D245" s="25" t="s">
        <v>32</v>
      </c>
      <c r="E245" s="25" t="s">
        <v>33</v>
      </c>
      <c r="F245" s="25" t="s">
        <v>40</v>
      </c>
      <c r="H245" s="23">
        <f ca="1">'Index Data'!E354</f>
        <v>-2.0897383222589329E-3</v>
      </c>
      <c r="I245" s="23">
        <f ca="1">'Index Data'!D354</f>
        <v>5.6518800047463097E-2</v>
      </c>
      <c r="J245" s="23">
        <f ca="1">'Index Data'!B354</f>
        <v>5.5562759436050907E-2</v>
      </c>
      <c r="K245" s="23">
        <f ca="1">'Index Data'!C354</f>
        <v>8.1316422099183203E-2</v>
      </c>
      <c r="L245" s="23">
        <f ca="1">'Index Data'!AH354</f>
        <v>-5.5800000000000002E-2</v>
      </c>
      <c r="M245" s="23">
        <f ca="1">'Index Data'!V354</f>
        <v>5.2500720189686899E-2</v>
      </c>
      <c r="N245" s="23">
        <f ca="1">'Index Data'!W354</f>
        <v>4.8745828429385282E-2</v>
      </c>
      <c r="O245" s="23">
        <f ca="1">'Index Data'!R354</f>
        <v>8.3929748291690309E-2</v>
      </c>
      <c r="P245" s="23">
        <f ca="1">'Index Data'!S354</f>
        <v>4.2286984763607073E-2</v>
      </c>
      <c r="Q245" s="23">
        <f ca="1">'Index Data'!U354</f>
        <v>5.0704779204082701E-2</v>
      </c>
      <c r="R245" s="24"/>
      <c r="S245" s="23">
        <f t="shared" ca="1" si="27"/>
        <v>2.1353677025629878E-2</v>
      </c>
      <c r="T245" s="2">
        <f t="shared" ca="1" si="22"/>
        <v>5.2500720189686899E-2</v>
      </c>
      <c r="U245" s="2">
        <f t="shared" ca="1" si="23"/>
        <v>5.5562759436050907E-2</v>
      </c>
      <c r="V245" s="2">
        <f t="shared" ca="1" si="24"/>
        <v>8.1316422099183203E-2</v>
      </c>
      <c r="W245" s="2">
        <f t="shared" ca="1" si="25"/>
        <v>4.2286984763607073E-2</v>
      </c>
      <c r="X245" s="2">
        <v>6.0264476456062477E-2</v>
      </c>
      <c r="Y245" s="2">
        <f t="shared" ca="1" si="28"/>
        <v>5.614780019222753E-2</v>
      </c>
      <c r="Z245" s="2">
        <f t="shared" ca="1" si="26"/>
        <v>5.6934521288546661E-2</v>
      </c>
    </row>
    <row r="246" spans="1:26">
      <c r="A246" s="22">
        <v>39599</v>
      </c>
      <c r="B246" s="25" t="s">
        <v>48</v>
      </c>
      <c r="C246" s="25" t="s">
        <v>46</v>
      </c>
      <c r="D246" s="25" t="s">
        <v>32</v>
      </c>
      <c r="E246" s="25" t="s">
        <v>33</v>
      </c>
      <c r="F246" s="25" t="s">
        <v>40</v>
      </c>
      <c r="H246" s="23">
        <f ca="1">'Index Data'!E355</f>
        <v>-7.3329500039042298E-3</v>
      </c>
      <c r="I246" s="23">
        <f ca="1">'Index Data'!D355</f>
        <v>1.67648244985612E-2</v>
      </c>
      <c r="J246" s="23">
        <f ca="1">'Index Data'!B355</f>
        <v>1.1638562588836984E-2</v>
      </c>
      <c r="K246" s="23">
        <f ca="1">'Index Data'!C355</f>
        <v>1.8841826238726746E-2</v>
      </c>
      <c r="L246" s="23">
        <f ca="1">'Index Data'!AH355</f>
        <v>2.5699999999999997E-2</v>
      </c>
      <c r="M246" s="23">
        <f ca="1">'Index Data'!V355</f>
        <v>3.6653458592476852E-2</v>
      </c>
      <c r="N246" s="23">
        <f ca="1">'Index Data'!W355</f>
        <v>-1.5863886250853194E-3</v>
      </c>
      <c r="O246" s="23">
        <f ca="1">'Index Data'!R355</f>
        <v>4.0299526389896291E-2</v>
      </c>
      <c r="P246" s="23">
        <f ca="1">'Index Data'!S355</f>
        <v>1.0770228161532541E-2</v>
      </c>
      <c r="Q246" s="23">
        <f ca="1">'Index Data'!U355</f>
        <v>1.833749401099951E-2</v>
      </c>
      <c r="R246" s="24"/>
      <c r="S246" s="23">
        <f t="shared" ca="1" si="27"/>
        <v>2.3061597970819433E-3</v>
      </c>
      <c r="T246" s="2">
        <f t="shared" ca="1" si="22"/>
        <v>3.6653458592476852E-2</v>
      </c>
      <c r="U246" s="2">
        <f t="shared" ca="1" si="23"/>
        <v>1.1638562588836984E-2</v>
      </c>
      <c r="V246" s="2">
        <f t="shared" ca="1" si="24"/>
        <v>1.8841826238726746E-2</v>
      </c>
      <c r="W246" s="2">
        <f t="shared" ca="1" si="25"/>
        <v>1.0770228161532541E-2</v>
      </c>
      <c r="X246" s="2">
        <v>2.4651218841731826E-2</v>
      </c>
      <c r="Y246" s="2">
        <f t="shared" ca="1" si="28"/>
        <v>2.8618571356191874E-2</v>
      </c>
      <c r="Z246" s="2">
        <f t="shared" ca="1" si="26"/>
        <v>2.4276881123722047E-2</v>
      </c>
    </row>
    <row r="247" spans="1:26">
      <c r="A247" s="22">
        <v>39629</v>
      </c>
      <c r="B247" s="25" t="s">
        <v>48</v>
      </c>
      <c r="C247" s="25" t="s">
        <v>46</v>
      </c>
      <c r="D247" s="25" t="s">
        <v>32</v>
      </c>
      <c r="E247" s="25" t="s">
        <v>33</v>
      </c>
      <c r="F247" s="25" t="s">
        <v>40</v>
      </c>
      <c r="H247" s="23">
        <f ca="1">'Index Data'!E356</f>
        <v>-8.0092678671042075E-4</v>
      </c>
      <c r="I247" s="23">
        <f ca="1">'Index Data'!D356</f>
        <v>-8.1780921188061823E-2</v>
      </c>
      <c r="J247" s="23">
        <f ca="1">'Index Data'!B356</f>
        <v>-8.1583986379195492E-2</v>
      </c>
      <c r="K247" s="23">
        <f ca="1">'Index Data'!C356</f>
        <v>-9.9625294358680658E-2</v>
      </c>
      <c r="L247" s="23">
        <f ca="1">'Index Data'!AH356</f>
        <v>4.6199999999999998E-2</v>
      </c>
      <c r="M247" s="23">
        <f ca="1">'Index Data'!V356</f>
        <v>-7.2022925801885143E-2</v>
      </c>
      <c r="N247" s="23">
        <f ca="1">'Index Data'!W356</f>
        <v>-9.572173456373316E-2</v>
      </c>
      <c r="O247" s="23">
        <f ca="1">'Index Data'!R356</f>
        <v>-1.3401554457272867E-2</v>
      </c>
      <c r="P247" s="23">
        <f ca="1">'Index Data'!S356</f>
        <v>-6.7091505972578527E-2</v>
      </c>
      <c r="Q247" s="23">
        <f ca="1">'Index Data'!U356</f>
        <v>-8.3065801233748224E-2</v>
      </c>
      <c r="R247" s="24"/>
      <c r="S247" s="23">
        <f t="shared" ca="1" si="27"/>
        <v>-3.3192924547250986E-2</v>
      </c>
      <c r="T247" s="2">
        <f t="shared" ca="1" si="22"/>
        <v>-7.2022925801885143E-2</v>
      </c>
      <c r="U247" s="2">
        <f t="shared" ca="1" si="23"/>
        <v>-8.1583986379195492E-2</v>
      </c>
      <c r="V247" s="2">
        <f t="shared" ca="1" si="24"/>
        <v>-9.9625294358680658E-2</v>
      </c>
      <c r="W247" s="2">
        <f t="shared" ca="1" si="25"/>
        <v>-6.7091505972578527E-2</v>
      </c>
      <c r="X247" s="2">
        <v>-5.9545743456882905E-2</v>
      </c>
      <c r="Y247" s="2">
        <f t="shared" ca="1" si="28"/>
        <v>-7.7173427801892291E-2</v>
      </c>
      <c r="Z247" s="2">
        <f t="shared" ca="1" si="26"/>
        <v>-7.4308134845693846E-2</v>
      </c>
    </row>
    <row r="248" spans="1:26">
      <c r="A248" s="22">
        <v>39660</v>
      </c>
      <c r="B248" s="25" t="s">
        <v>48</v>
      </c>
      <c r="C248" s="25" t="s">
        <v>46</v>
      </c>
      <c r="D248" s="25" t="s">
        <v>32</v>
      </c>
      <c r="E248" s="25" t="s">
        <v>33</v>
      </c>
      <c r="F248" s="25" t="s">
        <v>40</v>
      </c>
      <c r="H248" s="23">
        <f ca="1">'Index Data'!E357</f>
        <v>-8.2303937706660962E-4</v>
      </c>
      <c r="I248" s="23">
        <f ca="1">'Index Data'!D357</f>
        <v>-2.5654064733908445E-2</v>
      </c>
      <c r="J248" s="23">
        <f ca="1">'Index Data'!B357</f>
        <v>-3.2012790724279663E-2</v>
      </c>
      <c r="K248" s="23">
        <f ca="1">'Index Data'!C357</f>
        <v>-3.6928593752570148E-2</v>
      </c>
      <c r="L248" s="23">
        <f ca="1">'Index Data'!AH357</f>
        <v>-1.55E-2</v>
      </c>
      <c r="M248" s="23">
        <f ca="1">'Index Data'!V357</f>
        <v>-1.9012538601778498E-2</v>
      </c>
      <c r="N248" s="23">
        <f ca="1">'Index Data'!W357</f>
        <v>-3.610504092744193E-3</v>
      </c>
      <c r="O248" s="23">
        <f ca="1">'Index Data'!R357</f>
        <v>-9.1582743532982056E-2</v>
      </c>
      <c r="P248" s="23">
        <f ca="1">'Index Data'!S357</f>
        <v>1.9317207321761155E-2</v>
      </c>
      <c r="Q248" s="23">
        <f ca="1">'Index Data'!U357</f>
        <v>-1.1628531037077941E-2</v>
      </c>
      <c r="R248" s="24"/>
      <c r="S248" s="23">
        <f t="shared" ca="1" si="27"/>
        <v>-1.0755449519803345E-2</v>
      </c>
      <c r="T248" s="2">
        <f t="shared" ca="1" si="22"/>
        <v>-1.9012538601778498E-2</v>
      </c>
      <c r="U248" s="2">
        <f t="shared" ca="1" si="23"/>
        <v>-3.2012790724279663E-2</v>
      </c>
      <c r="V248" s="2">
        <f t="shared" ca="1" si="24"/>
        <v>-3.6928593752570148E-2</v>
      </c>
      <c r="W248" s="2">
        <f t="shared" ca="1" si="25"/>
        <v>1.9317207321761155E-2</v>
      </c>
      <c r="X248" s="2">
        <v>-1.4655045785670007E-2</v>
      </c>
      <c r="Y248" s="2">
        <f t="shared" ca="1" si="28"/>
        <v>-2.4054207147482954E-2</v>
      </c>
      <c r="Z248" s="2">
        <f t="shared" ca="1" si="26"/>
        <v>-2.0307977639995783E-2</v>
      </c>
    </row>
    <row r="249" spans="1:26">
      <c r="A249" s="22">
        <v>39691</v>
      </c>
      <c r="B249" s="25" t="s">
        <v>48</v>
      </c>
      <c r="C249" s="25" t="s">
        <v>46</v>
      </c>
      <c r="D249" s="25" t="s">
        <v>32</v>
      </c>
      <c r="E249" s="25" t="s">
        <v>33</v>
      </c>
      <c r="F249" s="25" t="s">
        <v>40</v>
      </c>
      <c r="H249" s="23">
        <f ca="1">'Index Data'!E358</f>
        <v>9.4906561803869329E-3</v>
      </c>
      <c r="I249" s="23">
        <f ca="1">'Index Data'!D358</f>
        <v>-2.1115997687865616E-2</v>
      </c>
      <c r="J249" s="23">
        <f ca="1">'Index Data'!B358</f>
        <v>-4.026135879943276E-2</v>
      </c>
      <c r="K249" s="23">
        <f ca="1">'Index Data'!C358</f>
        <v>-7.9547266060895919E-2</v>
      </c>
      <c r="L249" s="23">
        <f ca="1">'Index Data'!AH358</f>
        <v>-9.0500000000000011E-2</v>
      </c>
      <c r="M249" s="23">
        <f ca="1">'Index Data'!V358</f>
        <v>1.0766986002472039E-2</v>
      </c>
      <c r="N249" s="23">
        <f ca="1">'Index Data'!W358</f>
        <v>1.6987887673261516E-2</v>
      </c>
      <c r="O249" s="23">
        <f ca="1">'Index Data'!R358</f>
        <v>-7.5623233837107022E-3</v>
      </c>
      <c r="P249" s="23">
        <f ca="1">'Index Data'!S358</f>
        <v>1.877706137901531E-2</v>
      </c>
      <c r="Q249" s="23">
        <f ca="1">'Index Data'!U358</f>
        <v>1.3769131946438848E-2</v>
      </c>
      <c r="R249" s="24"/>
      <c r="S249" s="23">
        <f t="shared" ca="1" si="27"/>
        <v>-2.7520053669140877E-3</v>
      </c>
      <c r="T249" s="2">
        <f t="shared" ca="1" si="22"/>
        <v>1.0766986002472039E-2</v>
      </c>
      <c r="U249" s="2">
        <f t="shared" ca="1" si="23"/>
        <v>-4.026135879943276E-2</v>
      </c>
      <c r="V249" s="2">
        <f t="shared" ca="1" si="24"/>
        <v>-7.9547266060895919E-2</v>
      </c>
      <c r="W249" s="2">
        <f t="shared" ca="1" si="25"/>
        <v>1.877706137901531E-2</v>
      </c>
      <c r="X249" s="2">
        <v>1.756943518992804E-2</v>
      </c>
      <c r="Y249" s="2">
        <f t="shared" ca="1" si="28"/>
        <v>-1.1021525404340957E-2</v>
      </c>
      <c r="Z249" s="2">
        <f t="shared" ca="1" si="26"/>
        <v>-9.0602799136090123E-3</v>
      </c>
    </row>
    <row r="250" spans="1:26">
      <c r="A250" s="22">
        <v>39721</v>
      </c>
      <c r="B250" s="25" t="s">
        <v>48</v>
      </c>
      <c r="C250" s="25" t="s">
        <v>46</v>
      </c>
      <c r="D250" s="25" t="s">
        <v>41</v>
      </c>
      <c r="E250" s="25" t="s">
        <v>33</v>
      </c>
      <c r="F250" s="25" t="s">
        <v>40</v>
      </c>
      <c r="H250" s="23">
        <f ca="1">'Index Data'!E359</f>
        <v>-1.3431628540614065E-2</v>
      </c>
      <c r="I250" s="23">
        <f ca="1">'Index Data'!D359</f>
        <v>-0.12458268279305845</v>
      </c>
      <c r="J250" s="23">
        <f ca="1">'Index Data'!B359</f>
        <v>-0.14424382118376072</v>
      </c>
      <c r="K250" s="23">
        <f ca="1">'Index Data'!C359</f>
        <v>-0.17489732297491217</v>
      </c>
      <c r="L250" s="23">
        <f ca="1">'Index Data'!AH359</f>
        <v>5.1699999999999996E-2</v>
      </c>
      <c r="M250" s="23">
        <f ca="1">'Index Data'!V359</f>
        <v>-0.11580450636577135</v>
      </c>
      <c r="N250" s="23">
        <f ca="1">'Index Data'!W359</f>
        <v>-7.347034854224567E-2</v>
      </c>
      <c r="O250" s="23">
        <f ca="1">'Index Data'!R359</f>
        <v>-0.15507343278076219</v>
      </c>
      <c r="P250" s="23">
        <f ca="1">'Index Data'!S359</f>
        <v>-2.8895849647611695E-2</v>
      </c>
      <c r="Q250" s="23">
        <f ca="1">'Index Data'!U359</f>
        <v>-9.5269882207605086E-2</v>
      </c>
      <c r="R250" s="24"/>
      <c r="S250" s="23">
        <f t="shared" ca="1" si="27"/>
        <v>-5.7892050241591823E-2</v>
      </c>
      <c r="T250" s="2">
        <f t="shared" ca="1" si="22"/>
        <v>-0.11580450636577135</v>
      </c>
      <c r="U250" s="2">
        <f t="shared" ca="1" si="23"/>
        <v>-0.14424382118376072</v>
      </c>
      <c r="V250" s="2">
        <f t="shared" ca="1" si="24"/>
        <v>-0.11580450636577135</v>
      </c>
      <c r="W250" s="2">
        <f t="shared" ca="1" si="25"/>
        <v>-2.8895849647611695E-2</v>
      </c>
      <c r="X250" s="2">
        <v>-6.5661911607742374E-2</v>
      </c>
      <c r="Y250" s="2">
        <f t="shared" ca="1" si="28"/>
        <v>-0.12291433507026869</v>
      </c>
      <c r="Z250" s="2">
        <f t="shared" ca="1" si="26"/>
        <v>-0.10636766686480092</v>
      </c>
    </row>
    <row r="251" spans="1:26">
      <c r="A251" s="22">
        <v>39752</v>
      </c>
      <c r="B251" s="25" t="s">
        <v>48</v>
      </c>
      <c r="C251" s="25" t="s">
        <v>46</v>
      </c>
      <c r="D251" s="25" t="s">
        <v>41</v>
      </c>
      <c r="E251" s="25" t="s">
        <v>41</v>
      </c>
      <c r="F251" s="25" t="s">
        <v>40</v>
      </c>
      <c r="H251" s="23">
        <f ca="1">'Index Data'!E360</f>
        <v>-2.3604208769948981E-2</v>
      </c>
      <c r="I251" s="23">
        <f ca="1">'Index Data'!D360</f>
        <v>-0.19790609289420658</v>
      </c>
      <c r="J251" s="23">
        <f ca="1">'Index Data'!B360</f>
        <v>-0.20173537650354254</v>
      </c>
      <c r="K251" s="23">
        <f ca="1">'Index Data'!C360</f>
        <v>-0.27353144022309511</v>
      </c>
      <c r="L251" s="23">
        <f ca="1">'Index Data'!AH360</f>
        <v>-0.1784</v>
      </c>
      <c r="M251" s="23">
        <f ca="1">'Index Data'!V360</f>
        <v>-0.17605839488944863</v>
      </c>
      <c r="N251" s="23">
        <f ca="1">'Index Data'!W360</f>
        <v>-0.17311333855126612</v>
      </c>
      <c r="O251" s="23">
        <f ca="1">'Index Data'!R360</f>
        <v>-0.14436379512647698</v>
      </c>
      <c r="P251" s="23">
        <f ca="1">'Index Data'!S360</f>
        <v>-0.1452668773046161</v>
      </c>
      <c r="Q251" s="23">
        <f ca="1">'Index Data'!U360</f>
        <v>-0.17460625454933706</v>
      </c>
      <c r="R251" s="24"/>
      <c r="S251" s="23">
        <f t="shared" ca="1" si="27"/>
        <v>-9.3324962419652019E-2</v>
      </c>
      <c r="T251" s="2">
        <f t="shared" ca="1" si="22"/>
        <v>-0.17605839488944863</v>
      </c>
      <c r="U251" s="2">
        <f t="shared" ca="1" si="23"/>
        <v>-0.17605839488944863</v>
      </c>
      <c r="V251" s="2">
        <f t="shared" ca="1" si="24"/>
        <v>-0.17605839488944863</v>
      </c>
      <c r="W251" s="2">
        <f t="shared" ca="1" si="25"/>
        <v>-0.1452668773046161</v>
      </c>
      <c r="X251" s="2">
        <v>-0.14184216704249708</v>
      </c>
      <c r="Y251" s="2">
        <f t="shared" ca="1" si="28"/>
        <v>-0.17605839488944863</v>
      </c>
      <c r="Z251" s="2">
        <f t="shared" ca="1" si="26"/>
        <v>-0.16690578550119589</v>
      </c>
    </row>
    <row r="252" spans="1:26">
      <c r="A252" s="22">
        <v>39782</v>
      </c>
      <c r="B252" s="25" t="s">
        <v>48</v>
      </c>
      <c r="C252" s="25" t="s">
        <v>46</v>
      </c>
      <c r="D252" s="25" t="s">
        <v>41</v>
      </c>
      <c r="E252" s="25" t="s">
        <v>41</v>
      </c>
      <c r="F252" s="25" t="s">
        <v>40</v>
      </c>
      <c r="H252" s="23">
        <f ca="1">'Index Data'!E361</f>
        <v>3.2549848631050197E-2</v>
      </c>
      <c r="I252" s="23">
        <f ca="1">'Index Data'!D361</f>
        <v>-6.5062378889155018E-2</v>
      </c>
      <c r="J252" s="23">
        <f ca="1">'Index Data'!B361</f>
        <v>-5.3582206252317049E-2</v>
      </c>
      <c r="K252" s="23">
        <f ca="1">'Index Data'!C361</f>
        <v>-7.5205349403558011E-2</v>
      </c>
      <c r="L252" s="23">
        <f ca="1">'Index Data'!AH361</f>
        <v>0.13650000000000001</v>
      </c>
      <c r="M252" s="23">
        <f ca="1">'Index Data'!V361</f>
        <v>-7.9528687469134191E-2</v>
      </c>
      <c r="N252" s="23">
        <f ca="1">'Index Data'!W361</f>
        <v>-7.1708828872841676E-2</v>
      </c>
      <c r="O252" s="23">
        <f ca="1">'Index Data'!R361</f>
        <v>-8.4065504759778739E-2</v>
      </c>
      <c r="P252" s="23">
        <f ca="1">'Index Data'!S361</f>
        <v>-5.1220035164458187E-2</v>
      </c>
      <c r="Q252" s="23">
        <f ca="1">'Index Data'!U361</f>
        <v>-7.5620245722575585E-2</v>
      </c>
      <c r="R252" s="24"/>
      <c r="S252" s="23">
        <f t="shared" ca="1" si="27"/>
        <v>-6.4950423770318878E-3</v>
      </c>
      <c r="T252" s="2">
        <f t="shared" ca="1" si="22"/>
        <v>-7.9528687469134191E-2</v>
      </c>
      <c r="U252" s="2">
        <f t="shared" ca="1" si="23"/>
        <v>-7.9528687469134191E-2</v>
      </c>
      <c r="V252" s="2">
        <f t="shared" ca="1" si="24"/>
        <v>-7.9528687469134191E-2</v>
      </c>
      <c r="W252" s="2">
        <f t="shared" ca="1" si="25"/>
        <v>-5.1220035164458187E-2</v>
      </c>
      <c r="X252" s="2">
        <v>-3.0523270624492116E-2</v>
      </c>
      <c r="Y252" s="2">
        <f t="shared" ca="1" si="28"/>
        <v>-7.9528687469134191E-2</v>
      </c>
      <c r="Z252" s="2">
        <f t="shared" ca="1" si="26"/>
        <v>-6.7604455177355069E-2</v>
      </c>
    </row>
    <row r="253" spans="1:26">
      <c r="A253" s="22">
        <v>39813</v>
      </c>
      <c r="B253" s="25" t="s">
        <v>48</v>
      </c>
      <c r="C253" s="25" t="s">
        <v>46</v>
      </c>
      <c r="D253" s="25" t="s">
        <v>41</v>
      </c>
      <c r="E253" s="25" t="s">
        <v>41</v>
      </c>
      <c r="F253" s="25" t="s">
        <v>43</v>
      </c>
      <c r="H253" s="23">
        <f ca="1">'Index Data'!E362</f>
        <v>3.7309173919246652E-2</v>
      </c>
      <c r="I253" s="23">
        <f ca="1">'Index Data'!D362</f>
        <v>3.6736666220315212E-2</v>
      </c>
      <c r="J253" s="23">
        <f ca="1">'Index Data'!B362</f>
        <v>6.0231882540762706E-2</v>
      </c>
      <c r="K253" s="23">
        <f ca="1">'Index Data'!C362</f>
        <v>7.826378040615932E-2</v>
      </c>
      <c r="L253" s="23">
        <f ca="1">'Index Data'!AH362</f>
        <v>8.3400000000000002E-2</v>
      </c>
      <c r="M253" s="23">
        <f ca="1">'Index Data'!V362</f>
        <v>1.8073915104276337E-2</v>
      </c>
      <c r="N253" s="23">
        <f ca="1">'Index Data'!W362</f>
        <v>1.3880665745674646E-2</v>
      </c>
      <c r="O253" s="23">
        <f ca="1">'Index Data'!R362</f>
        <v>1.4867429188210646E-2</v>
      </c>
      <c r="P253" s="23">
        <f ca="1">'Index Data'!S362</f>
        <v>-1.5367509469104324E-4</v>
      </c>
      <c r="Q253" s="23">
        <f ca="1">'Index Data'!U362</f>
        <v>1.5979238561877388E-2</v>
      </c>
      <c r="R253" s="24"/>
      <c r="S253" s="23">
        <f t="shared" ca="1" si="27"/>
        <v>3.7080170839674076E-2</v>
      </c>
      <c r="T253" s="2">
        <f t="shared" ca="1" si="22"/>
        <v>1.8073915104276337E-2</v>
      </c>
      <c r="U253" s="2">
        <f t="shared" ca="1" si="23"/>
        <v>1.8073915104276337E-2</v>
      </c>
      <c r="V253" s="2">
        <f t="shared" ca="1" si="24"/>
        <v>1.8073915104276337E-2</v>
      </c>
      <c r="W253" s="2">
        <f t="shared" ca="1" si="25"/>
        <v>1.8073915104276337E-2</v>
      </c>
      <c r="X253" s="2">
        <v>5.0041195320771337E-4</v>
      </c>
      <c r="Y253" s="2">
        <f t="shared" ca="1" si="28"/>
        <v>1.8073915104276337E-2</v>
      </c>
      <c r="Z253" s="2">
        <f t="shared" ca="1" si="26"/>
        <v>1.4559214474062613E-2</v>
      </c>
    </row>
    <row r="254" spans="1:26">
      <c r="A254" s="22">
        <v>39844</v>
      </c>
      <c r="B254" s="25" t="s">
        <v>48</v>
      </c>
      <c r="C254" s="25" t="s">
        <v>46</v>
      </c>
      <c r="D254" s="25" t="s">
        <v>41</v>
      </c>
      <c r="E254" s="25" t="s">
        <v>41</v>
      </c>
      <c r="F254" s="25" t="s">
        <v>43</v>
      </c>
      <c r="H254" s="23">
        <f ca="1">'Index Data'!E363</f>
        <v>-8.8233271439377807E-3</v>
      </c>
      <c r="I254" s="23">
        <f ca="1">'Index Data'!D363</f>
        <v>-8.5130817136792256E-2</v>
      </c>
      <c r="J254" s="23">
        <f ca="1">'Index Data'!B363</f>
        <v>-9.7976760974410979E-2</v>
      </c>
      <c r="K254" s="23">
        <f ca="1">'Index Data'!C363</f>
        <v>-6.4169960883332974E-2</v>
      </c>
      <c r="L254" s="23">
        <f ca="1">'Index Data'!AH363</f>
        <v>4.8600000000000004E-2</v>
      </c>
      <c r="M254" s="23">
        <f ca="1">'Index Data'!V363</f>
        <v>-4.8105554819123125E-2</v>
      </c>
      <c r="N254" s="23">
        <f ca="1">'Index Data'!W363</f>
        <v>-0.11498953737347524</v>
      </c>
      <c r="O254" s="23">
        <f ca="1">'Index Data'!R363</f>
        <v>-9.0968350630414432E-2</v>
      </c>
      <c r="P254" s="23">
        <f ca="1">'Index Data'!S363</f>
        <v>-8.9217583132922218E-2</v>
      </c>
      <c r="Q254" s="23">
        <f ca="1">'Index Data'!U363</f>
        <v>-8.161997647831655E-2</v>
      </c>
      <c r="R254" s="24"/>
      <c r="S254" s="23">
        <f t="shared" ca="1" si="27"/>
        <v>-3.9346323141079567E-2</v>
      </c>
      <c r="T254" s="2">
        <f t="shared" ca="1" si="22"/>
        <v>-4.8105554819123125E-2</v>
      </c>
      <c r="U254" s="2">
        <f t="shared" ca="1" si="23"/>
        <v>-4.8105554819123125E-2</v>
      </c>
      <c r="V254" s="2">
        <f t="shared" ca="1" si="24"/>
        <v>-4.8105554819123125E-2</v>
      </c>
      <c r="W254" s="2">
        <f t="shared" ca="1" si="25"/>
        <v>-4.8105554819123125E-2</v>
      </c>
      <c r="X254" s="2">
        <v>-6.3415531310899387E-2</v>
      </c>
      <c r="Y254" s="2">
        <f t="shared" ca="1" si="28"/>
        <v>-4.8105554819123125E-2</v>
      </c>
      <c r="Z254" s="2">
        <f t="shared" ca="1" si="26"/>
        <v>-5.116755011747838E-2</v>
      </c>
    </row>
    <row r="255" spans="1:26">
      <c r="A255" s="22">
        <v>39872</v>
      </c>
      <c r="B255" s="25" t="s">
        <v>49</v>
      </c>
      <c r="C255" s="25" t="s">
        <v>46</v>
      </c>
      <c r="D255" s="25" t="s">
        <v>41</v>
      </c>
      <c r="E255" s="25" t="s">
        <v>41</v>
      </c>
      <c r="F255" s="25" t="s">
        <v>43</v>
      </c>
      <c r="H255" s="23">
        <f ca="1">'Index Data'!E364</f>
        <v>-3.7744489235188796E-3</v>
      </c>
      <c r="I255" s="23">
        <f ca="1">'Index Data'!D364</f>
        <v>-9.7293962747102058E-2</v>
      </c>
      <c r="J255" s="23">
        <f ca="1">'Index Data'!B364</f>
        <v>-0.1022717355906661</v>
      </c>
      <c r="K255" s="23">
        <f ca="1">'Index Data'!C364</f>
        <v>-5.6240531664326091E-2</v>
      </c>
      <c r="L255" s="23">
        <f ca="1">'Index Data'!AH364</f>
        <v>1.6399999999999998E-2</v>
      </c>
      <c r="M255" s="23">
        <f ca="1">'Index Data'!V364</f>
        <v>-7.5229264316282865E-2</v>
      </c>
      <c r="N255" s="23">
        <f ca="1">'Index Data'!W364</f>
        <v>-0.13360963908420453</v>
      </c>
      <c r="O255" s="23">
        <f ca="1">'Index Data'!R364</f>
        <v>-9.9109299516908181E-2</v>
      </c>
      <c r="P255" s="23">
        <f ca="1">'Index Data'!S364</f>
        <v>-9.6219897158966769E-2</v>
      </c>
      <c r="Q255" s="23">
        <f ca="1">'Index Data'!U364</f>
        <v>-0.10338692751829932</v>
      </c>
      <c r="R255" s="24"/>
      <c r="S255" s="23">
        <f t="shared" ca="1" si="27"/>
        <v>-5.9886157217668781E-2</v>
      </c>
      <c r="T255" s="2">
        <f t="shared" ca="1" si="22"/>
        <v>-7.5229264316282865E-2</v>
      </c>
      <c r="U255" s="2">
        <f t="shared" ca="1" si="23"/>
        <v>-7.5229264316282865E-2</v>
      </c>
      <c r="V255" s="2">
        <f t="shared" ca="1" si="24"/>
        <v>-7.5229264316282865E-2</v>
      </c>
      <c r="W255" s="2">
        <f t="shared" ca="1" si="25"/>
        <v>-7.5229264316282865E-2</v>
      </c>
      <c r="X255" s="2">
        <v>-0.10864120803216848</v>
      </c>
      <c r="Y255" s="2">
        <f t="shared" ca="1" si="28"/>
        <v>-7.5229264316282865E-2</v>
      </c>
      <c r="Z255" s="2">
        <f t="shared" ca="1" si="26"/>
        <v>-8.1911653059459993E-2</v>
      </c>
    </row>
    <row r="256" spans="1:26">
      <c r="A256" s="22">
        <v>39903</v>
      </c>
      <c r="B256" s="25" t="s">
        <v>49</v>
      </c>
      <c r="C256" s="25" t="s">
        <v>46</v>
      </c>
      <c r="D256" s="25" t="s">
        <v>41</v>
      </c>
      <c r="E256" s="25" t="s">
        <v>41</v>
      </c>
      <c r="F256" s="25" t="s">
        <v>43</v>
      </c>
      <c r="H256" s="23">
        <f ca="1">'Index Data'!E365</f>
        <v>1.3901367153493127E-2</v>
      </c>
      <c r="I256" s="23">
        <f ca="1">'Index Data'!D365</f>
        <v>8.2920245065040213E-2</v>
      </c>
      <c r="J256" s="23">
        <f ca="1">'Index Data'!B365</f>
        <v>6.3874655531680202E-2</v>
      </c>
      <c r="K256" s="23">
        <f ca="1">'Index Data'!C365</f>
        <v>0.1438480555848477</v>
      </c>
      <c r="L256" s="23">
        <f ca="1">'Index Data'!AH365</f>
        <v>-2.1099999999999997E-2</v>
      </c>
      <c r="M256" s="23">
        <f ca="1">'Index Data'!V365</f>
        <v>8.9197894744574346E-2</v>
      </c>
      <c r="N256" s="23">
        <f ca="1">'Index Data'!W365</f>
        <v>8.5501750600281284E-2</v>
      </c>
      <c r="O256" s="23">
        <f ca="1">'Index Data'!R365</f>
        <v>6.3322161709258529E-2</v>
      </c>
      <c r="P256" s="23">
        <f ca="1">'Index Data'!S365</f>
        <v>6.6209017518809352E-2</v>
      </c>
      <c r="Q256" s="23">
        <f ca="1">'Index Data'!U365</f>
        <v>8.7461820263983706E-2</v>
      </c>
      <c r="R256" s="24"/>
      <c r="S256" s="23">
        <f t="shared" ca="1" si="27"/>
        <v>5.5312693900421379E-2</v>
      </c>
      <c r="T256" s="2">
        <f t="shared" ca="1" si="22"/>
        <v>8.9197894744574346E-2</v>
      </c>
      <c r="U256" s="2">
        <f t="shared" ca="1" si="23"/>
        <v>8.9197894744574346E-2</v>
      </c>
      <c r="V256" s="2">
        <f t="shared" ca="1" si="24"/>
        <v>8.9197894744574346E-2</v>
      </c>
      <c r="W256" s="2">
        <f t="shared" ca="1" si="25"/>
        <v>8.9197894744574346E-2</v>
      </c>
      <c r="X256" s="2">
        <v>2.5853419473792494E-2</v>
      </c>
      <c r="Y256" s="2">
        <f t="shared" ca="1" si="28"/>
        <v>8.9197894744574346E-2</v>
      </c>
      <c r="Z256" s="2">
        <f t="shared" ca="1" si="26"/>
        <v>7.6528999690417973E-2</v>
      </c>
    </row>
    <row r="257" spans="1:26">
      <c r="A257" s="22">
        <v>39933</v>
      </c>
      <c r="B257" s="25" t="s">
        <v>49</v>
      </c>
      <c r="C257" s="25" t="s">
        <v>46</v>
      </c>
      <c r="D257" s="25" t="s">
        <v>41</v>
      </c>
      <c r="E257" s="25" t="s">
        <v>41</v>
      </c>
      <c r="F257" s="25" t="s">
        <v>43</v>
      </c>
      <c r="H257" s="23">
        <f ca="1">'Index Data'!E366</f>
        <v>4.7809093344507361E-3</v>
      </c>
      <c r="I257" s="23">
        <f ca="1">'Index Data'!D366</f>
        <v>0.1189614303878939</v>
      </c>
      <c r="J257" s="23">
        <f ca="1">'Index Data'!B366</f>
        <v>0.12961586878907644</v>
      </c>
      <c r="K257" s="23">
        <f ca="1">'Index Data'!C366</f>
        <v>0.16655740391706947</v>
      </c>
      <c r="L257" s="23">
        <f ca="1">'Index Data'!AH366</f>
        <v>-3.4000000000000002E-2</v>
      </c>
      <c r="M257" s="23">
        <f ca="1">'Index Data'!V366</f>
        <v>9.6005152466473564E-2</v>
      </c>
      <c r="N257" s="23">
        <f ca="1">'Index Data'!W366</f>
        <v>0.10719166652455982</v>
      </c>
      <c r="O257" s="23">
        <f ca="1">'Index Data'!R366</f>
        <v>5.7778303094773831E-2</v>
      </c>
      <c r="P257" s="23">
        <f ca="1">'Index Data'!S366</f>
        <v>7.271846960534846E-2</v>
      </c>
      <c r="Q257" s="23">
        <f ca="1">'Index Data'!U366</f>
        <v>0.10122199411928279</v>
      </c>
      <c r="R257" s="24"/>
      <c r="S257" s="23">
        <f t="shared" ca="1" si="27"/>
        <v>7.3289221966516646E-2</v>
      </c>
      <c r="T257" s="2">
        <f t="shared" ca="1" si="22"/>
        <v>9.6005152466473564E-2</v>
      </c>
      <c r="U257" s="2">
        <f t="shared" ca="1" si="23"/>
        <v>9.6005152466473564E-2</v>
      </c>
      <c r="V257" s="2">
        <f t="shared" ca="1" si="24"/>
        <v>9.6005152466473564E-2</v>
      </c>
      <c r="W257" s="2">
        <f t="shared" ca="1" si="25"/>
        <v>9.6005152466473564E-2</v>
      </c>
      <c r="X257" s="2">
        <v>0.12410506096619156</v>
      </c>
      <c r="Y257" s="2">
        <f t="shared" ca="1" si="28"/>
        <v>9.6005152466473564E-2</v>
      </c>
      <c r="Z257" s="2">
        <f t="shared" ca="1" si="26"/>
        <v>0.10162513416641716</v>
      </c>
    </row>
    <row r="258" spans="1:26">
      <c r="A258" s="22">
        <v>39964</v>
      </c>
      <c r="B258" s="25" t="s">
        <v>49</v>
      </c>
      <c r="C258" s="25" t="s">
        <v>46</v>
      </c>
      <c r="D258" s="25" t="s">
        <v>41</v>
      </c>
      <c r="E258" s="25" t="s">
        <v>41</v>
      </c>
      <c r="F258" s="25" t="s">
        <v>43</v>
      </c>
      <c r="H258" s="23">
        <f ca="1">'Index Data'!E367</f>
        <v>7.2534609468466243E-3</v>
      </c>
      <c r="I258" s="23">
        <f ca="1">'Index Data'!D367</f>
        <v>0.10082602425323929</v>
      </c>
      <c r="J258" s="23">
        <f ca="1">'Index Data'!B367</f>
        <v>0.12012905022327591</v>
      </c>
      <c r="K258" s="23">
        <f ca="1">'Index Data'!C367</f>
        <v>0.1714551649046398</v>
      </c>
      <c r="L258" s="23">
        <f ca="1">'Index Data'!AH367</f>
        <v>9.8299999999999998E-2</v>
      </c>
      <c r="M258" s="23">
        <f ca="1">'Index Data'!V367</f>
        <v>4.9571113873266202E-2</v>
      </c>
      <c r="N258" s="23">
        <f ca="1">'Index Data'!W367</f>
        <v>6.1836344033972111E-2</v>
      </c>
      <c r="O258" s="23">
        <f ca="1">'Index Data'!R367</f>
        <v>4.4230482717520857E-2</v>
      </c>
      <c r="P258" s="23">
        <f ca="1">'Index Data'!S367</f>
        <v>4.4328352475703998E-2</v>
      </c>
      <c r="Q258" s="23">
        <f ca="1">'Index Data'!U367</f>
        <v>5.534252462913581E-2</v>
      </c>
      <c r="R258" s="24"/>
      <c r="S258" s="23">
        <f t="shared" ca="1" si="27"/>
        <v>6.3396998930682222E-2</v>
      </c>
      <c r="T258" s="2">
        <f t="shared" ref="T258:T321" ca="1" si="29">IF(C258="R1G",M258,N258)</f>
        <v>4.9571113873266202E-2</v>
      </c>
      <c r="U258" s="2">
        <f t="shared" ref="U258:U321" ca="1" si="30">IF(E258="EAFE",J258,T258)</f>
        <v>4.9571113873266202E-2</v>
      </c>
      <c r="V258" s="2">
        <f t="shared" ref="V258:V321" ca="1" si="31">IF(D258="EM",K258,T258)</f>
        <v>4.9571113873266202E-2</v>
      </c>
      <c r="W258" s="2">
        <f t="shared" ref="W258:W321" ca="1" si="32">IF(F258="MTM",O258,IF(F258="MVL",P258,Y258))</f>
        <v>4.9571113873266209E-2</v>
      </c>
      <c r="X258" s="2">
        <v>2.6627306723730149E-2</v>
      </c>
      <c r="Y258" s="2">
        <f t="shared" ca="1" si="28"/>
        <v>4.9571113873266209E-2</v>
      </c>
      <c r="Z258" s="2">
        <f t="shared" ref="Z258:Z321" ca="1" si="33">0.2*X258+0.075*W258+0.1*V258+0.25*U258+0.375*T258</f>
        <v>4.4982352443358992E-2</v>
      </c>
    </row>
    <row r="259" spans="1:26">
      <c r="A259" s="22">
        <v>39994</v>
      </c>
      <c r="B259" s="25" t="s">
        <v>45</v>
      </c>
      <c r="C259" s="25" t="s">
        <v>46</v>
      </c>
      <c r="D259" s="25" t="s">
        <v>41</v>
      </c>
      <c r="E259" s="25" t="s">
        <v>41</v>
      </c>
      <c r="F259" s="25" t="s">
        <v>39</v>
      </c>
      <c r="H259" s="23">
        <f ca="1">'Index Data'!E368</f>
        <v>5.6876798609980647E-3</v>
      </c>
      <c r="I259" s="23">
        <f ca="1">'Index Data'!D368</f>
        <v>-5.204656153703106E-3</v>
      </c>
      <c r="J259" s="23">
        <f ca="1">'Index Data'!B368</f>
        <v>-5.3951598557030016E-3</v>
      </c>
      <c r="K259" s="23">
        <f ca="1">'Index Data'!C368</f>
        <v>-1.3274866951502744E-2</v>
      </c>
      <c r="L259" s="23">
        <f ca="1">'Index Data'!AH368</f>
        <v>-5.2499999999999998E-2</v>
      </c>
      <c r="M259" s="23">
        <f ca="1">'Index Data'!V368</f>
        <v>1.118602333352885E-2</v>
      </c>
      <c r="N259" s="23">
        <f ca="1">'Index Data'!W368</f>
        <v>-7.3850897441742362E-3</v>
      </c>
      <c r="O259" s="23">
        <f ca="1">'Index Data'!R368</f>
        <v>2.3702091990511966E-2</v>
      </c>
      <c r="P259" s="23">
        <f ca="1">'Index Data'!S368</f>
        <v>1.0768014124397724E-2</v>
      </c>
      <c r="Q259" s="23">
        <f ca="1">'Index Data'!U368</f>
        <v>2.445646410011612E-3</v>
      </c>
      <c r="R259" s="24"/>
      <c r="S259" s="23">
        <f t="shared" ref="S259:S322" ca="1" si="34">IF(B259="OW",0.8*I259+0.2*H259,IF(B259="NW",0.6*I259+0.4*H259,0.4*I259+0.6*H259))</f>
        <v>-3.026188950762872E-3</v>
      </c>
      <c r="T259" s="2">
        <f t="shared" ca="1" si="29"/>
        <v>1.118602333352885E-2</v>
      </c>
      <c r="U259" s="2">
        <f t="shared" ca="1" si="30"/>
        <v>1.118602333352885E-2</v>
      </c>
      <c r="V259" s="2">
        <f t="shared" ca="1" si="31"/>
        <v>1.118602333352885E-2</v>
      </c>
      <c r="W259" s="2">
        <f t="shared" ca="1" si="32"/>
        <v>2.3702091990511966E-2</v>
      </c>
      <c r="X259" s="2">
        <v>-6.3991895428061607E-3</v>
      </c>
      <c r="Y259" s="2">
        <f t="shared" ref="Y259:Y322" ca="1" si="35">0.25*U259+0.1*V259+0.65*T259</f>
        <v>1.118602333352885E-2</v>
      </c>
      <c r="Z259" s="2">
        <f t="shared" ca="1" si="33"/>
        <v>8.6076859075355817E-3</v>
      </c>
    </row>
    <row r="260" spans="1:26">
      <c r="A260" s="22">
        <v>40025</v>
      </c>
      <c r="B260" s="25" t="s">
        <v>45</v>
      </c>
      <c r="C260" s="25" t="s">
        <v>46</v>
      </c>
      <c r="D260" s="25" t="s">
        <v>32</v>
      </c>
      <c r="E260" s="25" t="s">
        <v>41</v>
      </c>
      <c r="F260" s="25" t="s">
        <v>39</v>
      </c>
      <c r="H260" s="23">
        <f ca="1">'Index Data'!E369</f>
        <v>1.6129685369903012E-2</v>
      </c>
      <c r="I260" s="23">
        <f ca="1">'Index Data'!D369</f>
        <v>8.8378397075063037E-2</v>
      </c>
      <c r="J260" s="23">
        <f ca="1">'Index Data'!B369</f>
        <v>9.1425931749181219E-2</v>
      </c>
      <c r="K260" s="23">
        <f ca="1">'Index Data'!C369</f>
        <v>0.1131655512424128</v>
      </c>
      <c r="L260" s="23">
        <f ca="1">'Index Data'!AH369</f>
        <v>2.8399999999999998E-2</v>
      </c>
      <c r="M260" s="23">
        <f ca="1">'Index Data'!V369</f>
        <v>7.1026449750112991E-2</v>
      </c>
      <c r="N260" s="23">
        <f ca="1">'Index Data'!W369</f>
        <v>8.1850823539235673E-2</v>
      </c>
      <c r="O260" s="23">
        <f ca="1">'Index Data'!R369</f>
        <v>6.5592334494773474E-2</v>
      </c>
      <c r="P260" s="23">
        <f ca="1">'Index Data'!S369</f>
        <v>6.2909960971260531E-2</v>
      </c>
      <c r="Q260" s="23">
        <f ca="1">'Index Data'!U369</f>
        <v>7.6313100001481241E-2</v>
      </c>
      <c r="R260" s="24"/>
      <c r="S260" s="23">
        <f t="shared" ca="1" si="34"/>
        <v>7.3928654734031027E-2</v>
      </c>
      <c r="T260" s="2">
        <f t="shared" ca="1" si="29"/>
        <v>7.1026449750112991E-2</v>
      </c>
      <c r="U260" s="2">
        <f t="shared" ca="1" si="30"/>
        <v>7.1026449750112991E-2</v>
      </c>
      <c r="V260" s="2">
        <f t="shared" ca="1" si="31"/>
        <v>0.1131655512424128</v>
      </c>
      <c r="W260" s="2">
        <f t="shared" ca="1" si="32"/>
        <v>6.5592334494773474E-2</v>
      </c>
      <c r="X260" s="2">
        <v>0.1273452738707328</v>
      </c>
      <c r="Y260" s="2">
        <f t="shared" ca="1" si="35"/>
        <v>7.5240359899342968E-2</v>
      </c>
      <c r="Z260" s="2">
        <f t="shared" ca="1" si="33"/>
        <v>8.6096566079316469E-2</v>
      </c>
    </row>
    <row r="261" spans="1:26">
      <c r="A261" s="22">
        <v>40056</v>
      </c>
      <c r="B261" s="25" t="s">
        <v>45</v>
      </c>
      <c r="C261" s="25" t="s">
        <v>46</v>
      </c>
      <c r="D261" s="25" t="s">
        <v>32</v>
      </c>
      <c r="E261" s="25" t="s">
        <v>41</v>
      </c>
      <c r="F261" s="25" t="s">
        <v>39</v>
      </c>
      <c r="H261" s="23">
        <f ca="1">'Index Data'!E370</f>
        <v>1.0354400786376502E-2</v>
      </c>
      <c r="I261" s="23">
        <f ca="1">'Index Data'!D370</f>
        <v>3.6182328804853198E-2</v>
      </c>
      <c r="J261" s="23">
        <f ca="1">'Index Data'!B370</f>
        <v>5.4514626511413811E-2</v>
      </c>
      <c r="K261" s="23">
        <f ca="1">'Index Data'!C370</f>
        <v>-3.3165911448380611E-3</v>
      </c>
      <c r="L261" s="23">
        <f ca="1">'Index Data'!AH370</f>
        <v>-1.6000000000000001E-3</v>
      </c>
      <c r="M261" s="23">
        <f ca="1">'Index Data'!V370</f>
        <v>2.0741249996616685E-2</v>
      </c>
      <c r="N261" s="23">
        <f ca="1">'Index Data'!W370</f>
        <v>5.230598237492734E-2</v>
      </c>
      <c r="O261" s="23">
        <f ca="1">'Index Data'!R370</f>
        <v>1.2474454344805031E-2</v>
      </c>
      <c r="P261" s="23">
        <f ca="1">'Index Data'!S370</f>
        <v>3.0179571015286639E-2</v>
      </c>
      <c r="Q261" s="23">
        <f ca="1">'Index Data'!U370</f>
        <v>3.6323438748356418E-2</v>
      </c>
      <c r="R261" s="24"/>
      <c r="S261" s="23">
        <f t="shared" ca="1" si="34"/>
        <v>3.1016743201157861E-2</v>
      </c>
      <c r="T261" s="2">
        <f t="shared" ca="1" si="29"/>
        <v>2.0741249996616685E-2</v>
      </c>
      <c r="U261" s="2">
        <f t="shared" ca="1" si="30"/>
        <v>2.0741249996616685E-2</v>
      </c>
      <c r="V261" s="2">
        <f t="shared" ca="1" si="31"/>
        <v>-3.3165911448380611E-3</v>
      </c>
      <c r="W261" s="2">
        <f t="shared" ca="1" si="32"/>
        <v>1.2474454344805031E-2</v>
      </c>
      <c r="X261" s="2">
        <v>9.0970203617470657E-2</v>
      </c>
      <c r="Y261" s="2">
        <f t="shared" ca="1" si="35"/>
        <v>1.8335465882471209E-2</v>
      </c>
      <c r="Z261" s="2">
        <f t="shared" ca="1" si="33"/>
        <v>3.1761246932756129E-2</v>
      </c>
    </row>
    <row r="262" spans="1:26">
      <c r="A262" s="22">
        <v>40086</v>
      </c>
      <c r="B262" s="25" t="s">
        <v>45</v>
      </c>
      <c r="C262" s="25" t="s">
        <v>46</v>
      </c>
      <c r="D262" s="25" t="s">
        <v>32</v>
      </c>
      <c r="E262" s="25" t="s">
        <v>41</v>
      </c>
      <c r="F262" s="25" t="s">
        <v>39</v>
      </c>
      <c r="H262" s="23">
        <f ca="1">'Index Data'!E371</f>
        <v>1.0504657415380987E-2</v>
      </c>
      <c r="I262" s="23">
        <f ca="1">'Index Data'!D371</f>
        <v>4.6198794537478112E-2</v>
      </c>
      <c r="J262" s="23">
        <f ca="1">'Index Data'!B371</f>
        <v>3.8477660461880649E-2</v>
      </c>
      <c r="K262" s="23">
        <f ca="1">'Index Data'!C371</f>
        <v>9.0934611434440232E-2</v>
      </c>
      <c r="L262" s="23">
        <f ca="1">'Index Data'!AH371</f>
        <v>5.8600000000000006E-2</v>
      </c>
      <c r="M262" s="23">
        <f ca="1">'Index Data'!V371</f>
        <v>4.2535532456512509E-2</v>
      </c>
      <c r="N262" s="23">
        <f ca="1">'Index Data'!W371</f>
        <v>3.863602190169186E-2</v>
      </c>
      <c r="O262" s="23">
        <f ca="1">'Index Data'!R371</f>
        <v>3.8270249321793126E-2</v>
      </c>
      <c r="P262" s="23">
        <f ca="1">'Index Data'!S371</f>
        <v>3.4920239282153709E-2</v>
      </c>
      <c r="Q262" s="23">
        <f ca="1">'Index Data'!U371</f>
        <v>4.0576281230947038E-2</v>
      </c>
      <c r="R262" s="24"/>
      <c r="S262" s="23">
        <f t="shared" ca="1" si="34"/>
        <v>3.9059967113058688E-2</v>
      </c>
      <c r="T262" s="2">
        <f t="shared" ca="1" si="29"/>
        <v>4.2535532456512509E-2</v>
      </c>
      <c r="U262" s="2">
        <f t="shared" ca="1" si="30"/>
        <v>4.2535532456512509E-2</v>
      </c>
      <c r="V262" s="2">
        <f t="shared" ca="1" si="31"/>
        <v>9.0934611434440232E-2</v>
      </c>
      <c r="W262" s="2">
        <f t="shared" ca="1" si="32"/>
        <v>3.8270249321793126E-2</v>
      </c>
      <c r="X262" s="2">
        <v>7.1855834322635648E-2</v>
      </c>
      <c r="Y262" s="2">
        <f t="shared" ca="1" si="35"/>
        <v>4.7375440354305284E-2</v>
      </c>
      <c r="Z262" s="2">
        <f t="shared" ca="1" si="33"/>
        <v>5.2919604492425956E-2</v>
      </c>
    </row>
    <row r="263" spans="1:26">
      <c r="A263" s="22">
        <v>40117</v>
      </c>
      <c r="B263" s="25" t="s">
        <v>45</v>
      </c>
      <c r="C263" s="25" t="s">
        <v>46</v>
      </c>
      <c r="D263" s="25" t="s">
        <v>32</v>
      </c>
      <c r="E263" s="25" t="s">
        <v>41</v>
      </c>
      <c r="F263" s="25" t="s">
        <v>39</v>
      </c>
      <c r="H263" s="23">
        <f ca="1">'Index Data'!E372</f>
        <v>4.9375166698108382E-3</v>
      </c>
      <c r="I263" s="23">
        <f ca="1">'Index Data'!D372</f>
        <v>-1.5250880568428023E-2</v>
      </c>
      <c r="J263" s="23">
        <f ca="1">'Index Data'!B372</f>
        <v>-1.2449579288546529E-2</v>
      </c>
      <c r="K263" s="23">
        <f ca="1">'Index Data'!C372</f>
        <v>1.3305634182928109E-3</v>
      </c>
      <c r="L263" s="23">
        <f ca="1">'Index Data'!AH372</f>
        <v>3.2099999999999997E-2</v>
      </c>
      <c r="M263" s="23">
        <f ca="1">'Index Data'!V372</f>
        <v>-1.3546613219520812E-2</v>
      </c>
      <c r="N263" s="23">
        <f ca="1">'Index Data'!W372</f>
        <v>-3.0604714556086047E-2</v>
      </c>
      <c r="O263" s="23">
        <f ca="1">'Index Data'!R372</f>
        <v>-2.9596565989610833E-2</v>
      </c>
      <c r="P263" s="23">
        <f ca="1">'Index Data'!S372</f>
        <v>-2.5135875019066795E-2</v>
      </c>
      <c r="Q263" s="23">
        <f ca="1">'Index Data'!U372</f>
        <v>-2.2103603234068944E-2</v>
      </c>
      <c r="R263" s="24"/>
      <c r="S263" s="23">
        <f t="shared" ca="1" si="34"/>
        <v>-1.1213201120780251E-2</v>
      </c>
      <c r="T263" s="2">
        <f t="shared" ca="1" si="29"/>
        <v>-1.3546613219520812E-2</v>
      </c>
      <c r="U263" s="2">
        <f t="shared" ca="1" si="30"/>
        <v>-1.3546613219520812E-2</v>
      </c>
      <c r="V263" s="2">
        <f t="shared" ca="1" si="31"/>
        <v>1.3305634182928109E-3</v>
      </c>
      <c r="W263" s="2">
        <f t="shared" ca="1" si="32"/>
        <v>-2.9596565989610833E-2</v>
      </c>
      <c r="X263" s="2">
        <v>-6.3088565879506064E-2</v>
      </c>
      <c r="Y263" s="2">
        <f t="shared" ca="1" si="35"/>
        <v>-1.2058895555739451E-2</v>
      </c>
      <c r="Z263" s="2">
        <f t="shared" ca="1" si="33"/>
        <v>-2.3171032545493252E-2</v>
      </c>
    </row>
    <row r="264" spans="1:26">
      <c r="A264" s="22">
        <v>40147</v>
      </c>
      <c r="B264" s="25" t="s">
        <v>45</v>
      </c>
      <c r="C264" s="25" t="s">
        <v>46</v>
      </c>
      <c r="D264" s="25" t="s">
        <v>32</v>
      </c>
      <c r="E264" s="25" t="s">
        <v>41</v>
      </c>
      <c r="F264" s="25" t="s">
        <v>39</v>
      </c>
      <c r="H264" s="23">
        <f ca="1">'Index Data'!E373</f>
        <v>1.294665976178146E-2</v>
      </c>
      <c r="I264" s="23">
        <f ca="1">'Index Data'!D373</f>
        <v>4.1574507966260436E-2</v>
      </c>
      <c r="J264" s="23">
        <f ca="1">'Index Data'!B373</f>
        <v>2.0268432526112448E-2</v>
      </c>
      <c r="K264" s="23">
        <f ca="1">'Index Data'!C373</f>
        <v>4.3004080404655733E-2</v>
      </c>
      <c r="L264" s="23">
        <f ca="1">'Index Data'!AH373</f>
        <v>0.13519999999999999</v>
      </c>
      <c r="M264" s="23">
        <f ca="1">'Index Data'!V373</f>
        <v>6.1433341498317647E-2</v>
      </c>
      <c r="N264" s="23">
        <f ca="1">'Index Data'!W373</f>
        <v>5.6363268807334395E-2</v>
      </c>
      <c r="O264" s="23">
        <f ca="1">'Index Data'!R373</f>
        <v>6.8130459171407948E-2</v>
      </c>
      <c r="P264" s="23">
        <f ca="1">'Index Data'!S373</f>
        <v>5.7488965017458482E-2</v>
      </c>
      <c r="Q264" s="23">
        <f ca="1">'Index Data'!U373</f>
        <v>5.89063895852876E-2</v>
      </c>
      <c r="R264" s="24"/>
      <c r="S264" s="23">
        <f t="shared" ca="1" si="34"/>
        <v>3.5848938325364642E-2</v>
      </c>
      <c r="T264" s="2">
        <f t="shared" ca="1" si="29"/>
        <v>6.1433341498317647E-2</v>
      </c>
      <c r="U264" s="2">
        <f t="shared" ca="1" si="30"/>
        <v>6.1433341498317647E-2</v>
      </c>
      <c r="V264" s="2">
        <f t="shared" ca="1" si="31"/>
        <v>4.3004080404655733E-2</v>
      </c>
      <c r="W264" s="2">
        <f t="shared" ca="1" si="32"/>
        <v>6.8130459171407948E-2</v>
      </c>
      <c r="X264" s="2">
        <v>4.9462967051840723E-2</v>
      </c>
      <c r="Y264" s="2">
        <f t="shared" ca="1" si="35"/>
        <v>5.9590415388951455E-2</v>
      </c>
      <c r="Z264" s="2">
        <f t="shared" ca="1" si="33"/>
        <v>5.7698624325137851E-2</v>
      </c>
    </row>
    <row r="265" spans="1:26">
      <c r="A265" s="22">
        <v>40178</v>
      </c>
      <c r="B265" s="25" t="s">
        <v>45</v>
      </c>
      <c r="C265" s="25" t="s">
        <v>46</v>
      </c>
      <c r="D265" s="25" t="s">
        <v>32</v>
      </c>
      <c r="E265" s="25" t="s">
        <v>41</v>
      </c>
      <c r="F265" s="25" t="s">
        <v>39</v>
      </c>
      <c r="H265" s="23">
        <f ca="1">'Index Data'!E374</f>
        <v>-1.5631390593047058E-2</v>
      </c>
      <c r="I265" s="23">
        <f ca="1">'Index Data'!D374</f>
        <v>2.1002354296167109E-2</v>
      </c>
      <c r="J265" s="23">
        <f ca="1">'Index Data'!B374</f>
        <v>1.4532445283803645E-2</v>
      </c>
      <c r="K265" s="23">
        <f ca="1">'Index Data'!C374</f>
        <v>3.9614432345376357E-2</v>
      </c>
      <c r="L265" s="23">
        <f ca="1">'Index Data'!AH374</f>
        <v>-7.1900000000000006E-2</v>
      </c>
      <c r="M265" s="23">
        <f ca="1">'Index Data'!V374</f>
        <v>3.0908927491309572E-2</v>
      </c>
      <c r="N265" s="23">
        <f ca="1">'Index Data'!W374</f>
        <v>1.7695666940790909E-2</v>
      </c>
      <c r="O265" s="23">
        <f ca="1">'Index Data'!R374</f>
        <v>2.8988986585841515E-2</v>
      </c>
      <c r="P265" s="23">
        <f ca="1">'Index Data'!S374</f>
        <v>1.9437284387094616E-2</v>
      </c>
      <c r="Q265" s="23">
        <f ca="1">'Index Data'!U374</f>
        <v>2.434541461006573E-2</v>
      </c>
      <c r="R265" s="24"/>
      <c r="S265" s="23">
        <f t="shared" ca="1" si="34"/>
        <v>1.3675605318324275E-2</v>
      </c>
      <c r="T265" s="2">
        <f t="shared" ca="1" si="29"/>
        <v>3.0908927491309572E-2</v>
      </c>
      <c r="U265" s="2">
        <f t="shared" ca="1" si="30"/>
        <v>3.0908927491309572E-2</v>
      </c>
      <c r="V265" s="2">
        <f t="shared" ca="1" si="31"/>
        <v>3.9614432345376357E-2</v>
      </c>
      <c r="W265" s="2">
        <f t="shared" ca="1" si="32"/>
        <v>2.8988986585841515E-2</v>
      </c>
      <c r="X265" s="2">
        <v>6.505344766062926E-2</v>
      </c>
      <c r="Y265" s="2">
        <f t="shared" ca="1" si="35"/>
        <v>3.177947797671625E-2</v>
      </c>
      <c r="Z265" s="2">
        <f t="shared" ca="1" si="33"/>
        <v>3.8464386442670084E-2</v>
      </c>
    </row>
    <row r="266" spans="1:26">
      <c r="A266" s="22">
        <v>40209</v>
      </c>
      <c r="B266" s="25" t="s">
        <v>45</v>
      </c>
      <c r="C266" s="25" t="s">
        <v>46</v>
      </c>
      <c r="D266" s="25" t="s">
        <v>32</v>
      </c>
      <c r="E266" s="25" t="s">
        <v>41</v>
      </c>
      <c r="F266" s="25" t="s">
        <v>39</v>
      </c>
      <c r="H266" s="23">
        <f ca="1">'Index Data'!E375</f>
        <v>1.5275848189360775E-2</v>
      </c>
      <c r="I266" s="23">
        <f ca="1">'Index Data'!D375</f>
        <v>-4.3021432955657704E-2</v>
      </c>
      <c r="J266" s="23">
        <f ca="1">'Index Data'!B375</f>
        <v>-4.3994489610870671E-2</v>
      </c>
      <c r="K266" s="23">
        <f ca="1">'Index Data'!C375</f>
        <v>-5.5608222155425581E-2</v>
      </c>
      <c r="L266" s="23">
        <f ca="1">'Index Data'!AH375</f>
        <v>-1.2E-2</v>
      </c>
      <c r="M266" s="23">
        <f ca="1">'Index Data'!V375</f>
        <v>-4.3637263334000982E-2</v>
      </c>
      <c r="N266" s="23">
        <f ca="1">'Index Data'!W375</f>
        <v>-2.8123321807983492E-2</v>
      </c>
      <c r="O266" s="23">
        <f ca="1">'Index Data'!R375</f>
        <v>-6.421884569395428E-2</v>
      </c>
      <c r="P266" s="23">
        <f ca="1">'Index Data'!S375</f>
        <v>-2.5765990115270931E-2</v>
      </c>
      <c r="Q266" s="23">
        <f ca="1">'Index Data'!U375</f>
        <v>-3.5983286034846969E-2</v>
      </c>
      <c r="R266" s="24"/>
      <c r="S266" s="23">
        <f t="shared" ca="1" si="34"/>
        <v>-3.1361976726654008E-2</v>
      </c>
      <c r="T266" s="2">
        <f t="shared" ca="1" si="29"/>
        <v>-4.3637263334000982E-2</v>
      </c>
      <c r="U266" s="2">
        <f t="shared" ca="1" si="30"/>
        <v>-4.3637263334000982E-2</v>
      </c>
      <c r="V266" s="2">
        <f t="shared" ca="1" si="31"/>
        <v>-5.5608222155425581E-2</v>
      </c>
      <c r="W266" s="2">
        <f t="shared" ca="1" si="32"/>
        <v>-6.421884569395428E-2</v>
      </c>
      <c r="X266" s="2">
        <v>-2.2986010065738638E-2</v>
      </c>
      <c r="Y266" s="2">
        <f t="shared" ca="1" si="35"/>
        <v>-4.4834359216143441E-2</v>
      </c>
      <c r="Z266" s="2">
        <f t="shared" ca="1" si="33"/>
        <v>-4.224772723948747E-2</v>
      </c>
    </row>
    <row r="267" spans="1:26">
      <c r="A267" s="22">
        <v>40237</v>
      </c>
      <c r="B267" s="25" t="s">
        <v>45</v>
      </c>
      <c r="C267" s="25" t="s">
        <v>46</v>
      </c>
      <c r="D267" s="25" t="s">
        <v>32</v>
      </c>
      <c r="E267" s="25" t="s">
        <v>41</v>
      </c>
      <c r="F267" s="25" t="s">
        <v>39</v>
      </c>
      <c r="H267" s="23">
        <f ca="1">'Index Data'!E376</f>
        <v>3.7343257431884658E-3</v>
      </c>
      <c r="I267" s="23">
        <f ca="1">'Index Data'!D376</f>
        <v>1.3109397379420656E-2</v>
      </c>
      <c r="J267" s="23">
        <f ca="1">'Index Data'!B376</f>
        <v>-6.7570509134267324E-3</v>
      </c>
      <c r="K267" s="23">
        <f ca="1">'Index Data'!C376</f>
        <v>3.7275976887669662E-3</v>
      </c>
      <c r="L267" s="23">
        <f ca="1">'Index Data'!AH376</f>
        <v>3.3099999999999997E-2</v>
      </c>
      <c r="M267" s="23">
        <f ca="1">'Index Data'!V376</f>
        <v>3.4366022283216717E-2</v>
      </c>
      <c r="N267" s="23">
        <f ca="1">'Index Data'!W376</f>
        <v>3.156571819024849E-2</v>
      </c>
      <c r="O267" s="23">
        <f ca="1">'Index Data'!R376</f>
        <v>4.811917599027643E-2</v>
      </c>
      <c r="P267" s="23">
        <f ca="1">'Index Data'!S376</f>
        <v>2.1217538577343004E-2</v>
      </c>
      <c r="Q267" s="23">
        <f ca="1">'Index Data'!U376</f>
        <v>3.2958792684048714E-2</v>
      </c>
      <c r="R267" s="24"/>
      <c r="S267" s="23">
        <f t="shared" ca="1" si="34"/>
        <v>1.1234383052174219E-2</v>
      </c>
      <c r="T267" s="2">
        <f t="shared" ca="1" si="29"/>
        <v>3.4366022283216717E-2</v>
      </c>
      <c r="U267" s="2">
        <f t="shared" ca="1" si="30"/>
        <v>3.4366022283216717E-2</v>
      </c>
      <c r="V267" s="2">
        <f t="shared" ca="1" si="31"/>
        <v>3.7275976887669662E-3</v>
      </c>
      <c r="W267" s="2">
        <f t="shared" ca="1" si="32"/>
        <v>4.811917599027643E-2</v>
      </c>
      <c r="X267" s="2">
        <v>5.76400750558268E-2</v>
      </c>
      <c r="Y267" s="2">
        <f t="shared" ca="1" si="35"/>
        <v>3.1302179823771745E-2</v>
      </c>
      <c r="Z267" s="2">
        <f t="shared" ca="1" si="33"/>
        <v>3.6988476906323238E-2</v>
      </c>
    </row>
    <row r="268" spans="1:26">
      <c r="A268" s="22">
        <v>40268</v>
      </c>
      <c r="B268" s="25" t="s">
        <v>45</v>
      </c>
      <c r="C268" s="25" t="s">
        <v>46</v>
      </c>
      <c r="D268" s="25" t="s">
        <v>32</v>
      </c>
      <c r="E268" s="25" t="s">
        <v>41</v>
      </c>
      <c r="F268" s="25" t="s">
        <v>39</v>
      </c>
      <c r="H268" s="23">
        <f ca="1">'Index Data'!E377</f>
        <v>-1.2295264730428318E-3</v>
      </c>
      <c r="I268" s="23">
        <f ca="1">'Index Data'!D377</f>
        <v>6.4825013741816456E-2</v>
      </c>
      <c r="J268" s="23">
        <f ca="1">'Index Data'!B377</f>
        <v>6.305631479027024E-2</v>
      </c>
      <c r="K268" s="23">
        <f ca="1">'Index Data'!C377</f>
        <v>8.0812269414885507E-2</v>
      </c>
      <c r="L268" s="23">
        <f ca="1">'Index Data'!AH377</f>
        <v>-5.0000000000000001E-3</v>
      </c>
      <c r="M268" s="23">
        <f ca="1">'Index Data'!V377</f>
        <v>5.7844664541916162E-2</v>
      </c>
      <c r="N268" s="23">
        <f ca="1">'Index Data'!W377</f>
        <v>6.5099585840510496E-2</v>
      </c>
      <c r="O268" s="23">
        <f ca="1">'Index Data'!R377</f>
        <v>7.3637417858523346E-2</v>
      </c>
      <c r="P268" s="23">
        <f ca="1">'Index Data'!S377</f>
        <v>3.6931251055726956E-2</v>
      </c>
      <c r="Q268" s="23">
        <f ca="1">'Index Data'!U377</f>
        <v>6.1446666908301383E-2</v>
      </c>
      <c r="R268" s="24"/>
      <c r="S268" s="23">
        <f t="shared" ca="1" si="34"/>
        <v>5.1614105698844601E-2</v>
      </c>
      <c r="T268" s="2">
        <f t="shared" ca="1" si="29"/>
        <v>5.7844664541916162E-2</v>
      </c>
      <c r="U268" s="2">
        <f t="shared" ca="1" si="30"/>
        <v>5.7844664541916162E-2</v>
      </c>
      <c r="V268" s="2">
        <f t="shared" ca="1" si="31"/>
        <v>8.0812269414885507E-2</v>
      </c>
      <c r="W268" s="2">
        <f t="shared" ca="1" si="32"/>
        <v>7.3637417858523346E-2</v>
      </c>
      <c r="X268" s="2">
        <v>8.203246083197735E-2</v>
      </c>
      <c r="Y268" s="2">
        <f t="shared" ca="1" si="35"/>
        <v>6.0141425029213103E-2</v>
      </c>
      <c r="Z268" s="2">
        <f t="shared" ca="1" si="33"/>
        <v>6.6163440785970876E-2</v>
      </c>
    </row>
    <row r="269" spans="1:26">
      <c r="A269" s="22">
        <v>40298</v>
      </c>
      <c r="B269" s="25" t="s">
        <v>45</v>
      </c>
      <c r="C269" s="25" t="s">
        <v>46</v>
      </c>
      <c r="D269" s="25" t="s">
        <v>32</v>
      </c>
      <c r="E269" s="25" t="s">
        <v>41</v>
      </c>
      <c r="F269" s="25" t="s">
        <v>39</v>
      </c>
      <c r="H269" s="23">
        <f ca="1">'Index Data'!E378</f>
        <v>1.0409623799257509E-2</v>
      </c>
      <c r="I269" s="23">
        <f ca="1">'Index Data'!D378</f>
        <v>2.2034306833245893E-3</v>
      </c>
      <c r="J269" s="23">
        <f ca="1">'Index Data'!B378</f>
        <v>-1.7267774090195157E-2</v>
      </c>
      <c r="K269" s="23">
        <f ca="1">'Index Data'!C378</f>
        <v>1.2339409942619273E-2</v>
      </c>
      <c r="L269" s="23">
        <f ca="1">'Index Data'!AH378</f>
        <v>6.0499999999999998E-2</v>
      </c>
      <c r="M269" s="23">
        <f ca="1">'Index Data'!V378</f>
        <v>1.1173209516818335E-2</v>
      </c>
      <c r="N269" s="23">
        <f ca="1">'Index Data'!W378</f>
        <v>2.5875458293869606E-2</v>
      </c>
      <c r="O269" s="23">
        <f ca="1">'Index Data'!R378</f>
        <v>5.6774908260057103E-3</v>
      </c>
      <c r="P269" s="23">
        <f ca="1">'Index Data'!S378</f>
        <v>8.6411160145722192E-3</v>
      </c>
      <c r="Q269" s="23">
        <f ca="1">'Index Data'!U378</f>
        <v>1.8508316579629733E-2</v>
      </c>
      <c r="R269" s="24"/>
      <c r="S269" s="23">
        <f t="shared" ca="1" si="34"/>
        <v>3.8446693065111734E-3</v>
      </c>
      <c r="T269" s="2">
        <f t="shared" ca="1" si="29"/>
        <v>1.1173209516818335E-2</v>
      </c>
      <c r="U269" s="2">
        <f t="shared" ca="1" si="30"/>
        <v>1.1173209516818335E-2</v>
      </c>
      <c r="V269" s="2">
        <f t="shared" ca="1" si="31"/>
        <v>1.2339409942619273E-2</v>
      </c>
      <c r="W269" s="2">
        <f t="shared" ca="1" si="32"/>
        <v>5.6774908260057103E-3</v>
      </c>
      <c r="X269" s="2">
        <v>4.3118832689986508E-2</v>
      </c>
      <c r="Y269" s="2">
        <f t="shared" ca="1" si="35"/>
        <v>1.1289829559398428E-2</v>
      </c>
      <c r="Z269" s="2">
        <f t="shared" ca="1" si="33"/>
        <v>1.7266775292221117E-2</v>
      </c>
    </row>
    <row r="270" spans="1:26">
      <c r="A270" s="22">
        <v>40329</v>
      </c>
      <c r="B270" s="25" t="s">
        <v>45</v>
      </c>
      <c r="C270" s="25" t="s">
        <v>46</v>
      </c>
      <c r="D270" s="25" t="s">
        <v>32</v>
      </c>
      <c r="E270" s="25" t="s">
        <v>41</v>
      </c>
      <c r="F270" s="25" t="s">
        <v>39</v>
      </c>
      <c r="H270" s="23">
        <f ca="1">'Index Data'!E379</f>
        <v>8.414872798434541E-3</v>
      </c>
      <c r="I270" s="23">
        <f ca="1">'Index Data'!D379</f>
        <v>-9.3925929488913915E-2</v>
      </c>
      <c r="J270" s="23">
        <f ca="1">'Index Data'!B379</f>
        <v>-0.11367200056776186</v>
      </c>
      <c r="K270" s="23">
        <f ca="1">'Index Data'!C379</f>
        <v>-8.7524522917781331E-2</v>
      </c>
      <c r="L270" s="23">
        <f ca="1">'Index Data'!AH379</f>
        <v>2.6699999999999998E-2</v>
      </c>
      <c r="M270" s="23">
        <f ca="1">'Index Data'!V379</f>
        <v>-7.6341691533425335E-2</v>
      </c>
      <c r="N270" s="23">
        <f ca="1">'Index Data'!W379</f>
        <v>-8.2196038890443884E-2</v>
      </c>
      <c r="O270" s="23">
        <f ca="1">'Index Data'!R379</f>
        <v>-6.8117039586919143E-2</v>
      </c>
      <c r="P270" s="23">
        <f ca="1">'Index Data'!S379</f>
        <v>-5.8442654842569774E-2</v>
      </c>
      <c r="Q270" s="23">
        <f ca="1">'Index Data'!U379</f>
        <v>-7.9283708627541333E-2</v>
      </c>
      <c r="R270" s="24"/>
      <c r="S270" s="23">
        <f t="shared" ca="1" si="34"/>
        <v>-7.3457769031444228E-2</v>
      </c>
      <c r="T270" s="2">
        <f t="shared" ca="1" si="29"/>
        <v>-7.6341691533425335E-2</v>
      </c>
      <c r="U270" s="2">
        <f t="shared" ca="1" si="30"/>
        <v>-7.6341691533425335E-2</v>
      </c>
      <c r="V270" s="2">
        <f t="shared" ca="1" si="31"/>
        <v>-8.7524522917781331E-2</v>
      </c>
      <c r="W270" s="2">
        <f t="shared" ca="1" si="32"/>
        <v>-6.8117039586919143E-2</v>
      </c>
      <c r="X270" s="2">
        <v>-7.609642167841435E-2</v>
      </c>
      <c r="Y270" s="2">
        <f t="shared" ca="1" si="35"/>
        <v>-7.7459974671860943E-2</v>
      </c>
      <c r="Z270" s="2">
        <f t="shared" ca="1" si="33"/>
        <v>-7.6794071804870773E-2</v>
      </c>
    </row>
    <row r="271" spans="1:26">
      <c r="A271" s="22">
        <v>40359</v>
      </c>
      <c r="B271" s="25" t="s">
        <v>45</v>
      </c>
      <c r="C271" s="25" t="s">
        <v>46</v>
      </c>
      <c r="D271" s="25" t="s">
        <v>32</v>
      </c>
      <c r="E271" s="25" t="s">
        <v>41</v>
      </c>
      <c r="F271" s="25" t="s">
        <v>39</v>
      </c>
      <c r="H271" s="23">
        <f ca="1">'Index Data'!E380</f>
        <v>1.5681438310285869E-2</v>
      </c>
      <c r="I271" s="23">
        <f ca="1">'Index Data'!D380</f>
        <v>-3.0456190332941096E-2</v>
      </c>
      <c r="J271" s="23">
        <f ca="1">'Index Data'!B380</f>
        <v>-9.7285387032587725E-3</v>
      </c>
      <c r="K271" s="23">
        <f ca="1">'Index Data'!C380</f>
        <v>-7.1707793794282973E-3</v>
      </c>
      <c r="L271" s="23">
        <f ca="1">'Index Data'!AH380</f>
        <v>2.7799999999999998E-2</v>
      </c>
      <c r="M271" s="23">
        <f ca="1">'Index Data'!V380</f>
        <v>-5.5065601357834865E-2</v>
      </c>
      <c r="N271" s="23">
        <f ca="1">'Index Data'!W380</f>
        <v>-5.6294503998409344E-2</v>
      </c>
      <c r="O271" s="23">
        <f ca="1">'Index Data'!R380</f>
        <v>-5.4655870445344146E-2</v>
      </c>
      <c r="P271" s="23">
        <f ca="1">'Index Data'!S380</f>
        <v>-1.6115953780660736E-2</v>
      </c>
      <c r="Q271" s="23">
        <f ca="1">'Index Data'!U380</f>
        <v>-5.5669593268572806E-2</v>
      </c>
      <c r="R271" s="24"/>
      <c r="S271" s="23">
        <f t="shared" ca="1" si="34"/>
        <v>-2.1228664604295705E-2</v>
      </c>
      <c r="T271" s="2">
        <f t="shared" ca="1" si="29"/>
        <v>-5.5065601357834865E-2</v>
      </c>
      <c r="U271" s="2">
        <f t="shared" ca="1" si="30"/>
        <v>-5.5065601357834865E-2</v>
      </c>
      <c r="V271" s="2">
        <f t="shared" ca="1" si="31"/>
        <v>-7.1707793794282973E-3</v>
      </c>
      <c r="W271" s="2">
        <f t="shared" ca="1" si="32"/>
        <v>-5.4655870445344146E-2</v>
      </c>
      <c r="X271" s="2">
        <v>-4.8350999880191092E-2</v>
      </c>
      <c r="Y271" s="2">
        <f t="shared" ca="1" si="35"/>
        <v>-5.0276119159994213E-2</v>
      </c>
      <c r="Z271" s="2">
        <f t="shared" ca="1" si="33"/>
        <v>-4.890246904602865E-2</v>
      </c>
    </row>
    <row r="272" spans="1:26">
      <c r="A272" s="22">
        <v>40390</v>
      </c>
      <c r="B272" s="25" t="s">
        <v>45</v>
      </c>
      <c r="C272" s="25" t="s">
        <v>46</v>
      </c>
      <c r="D272" s="25" t="s">
        <v>32</v>
      </c>
      <c r="E272" s="25" t="s">
        <v>41</v>
      </c>
      <c r="F272" s="25" t="s">
        <v>39</v>
      </c>
      <c r="H272" s="23">
        <f ca="1">'Index Data'!E381</f>
        <v>1.0675016024850806E-2</v>
      </c>
      <c r="I272" s="23">
        <f ca="1">'Index Data'!D381</f>
        <v>8.168633633188313E-2</v>
      </c>
      <c r="J272" s="23">
        <f ca="1">'Index Data'!B381</f>
        <v>9.492448972117494E-2</v>
      </c>
      <c r="K272" s="23">
        <f ca="1">'Index Data'!C381</f>
        <v>8.398238037232536E-2</v>
      </c>
      <c r="L272" s="23">
        <f ca="1">'Index Data'!AH381</f>
        <v>-5.1500000000000004E-2</v>
      </c>
      <c r="M272" s="23">
        <f ca="1">'Index Data'!V381</f>
        <v>7.133271078588968E-2</v>
      </c>
      <c r="N272" s="23">
        <f ca="1">'Index Data'!W381</f>
        <v>6.7699740749469772E-2</v>
      </c>
      <c r="O272" s="23">
        <f ca="1">'Index Data'!R381</f>
        <v>7.6962753403460524E-2</v>
      </c>
      <c r="P272" s="23">
        <f ca="1">'Index Data'!S381</f>
        <v>4.7856027767431808E-2</v>
      </c>
      <c r="Q272" s="23">
        <f ca="1">'Index Data'!U381</f>
        <v>6.9497025915682575E-2</v>
      </c>
      <c r="R272" s="24"/>
      <c r="S272" s="23">
        <f t="shared" ca="1" si="34"/>
        <v>6.7484072270476675E-2</v>
      </c>
      <c r="T272" s="2">
        <f t="shared" ca="1" si="29"/>
        <v>7.133271078588968E-2</v>
      </c>
      <c r="U272" s="2">
        <f t="shared" ca="1" si="30"/>
        <v>7.133271078588968E-2</v>
      </c>
      <c r="V272" s="2">
        <f t="shared" ca="1" si="31"/>
        <v>8.398238037232536E-2</v>
      </c>
      <c r="W272" s="2">
        <f t="shared" ca="1" si="32"/>
        <v>7.6962753403460524E-2</v>
      </c>
      <c r="X272" s="2">
        <v>6.229149215205676E-2</v>
      </c>
      <c r="Y272" s="2">
        <f t="shared" ca="1" si="35"/>
        <v>7.2597677744533254E-2</v>
      </c>
      <c r="Z272" s="2">
        <f t="shared" ca="1" si="33"/>
        <v>7.1211687214084482E-2</v>
      </c>
    </row>
    <row r="273" spans="1:26">
      <c r="A273" s="22">
        <v>40421</v>
      </c>
      <c r="B273" s="25" t="s">
        <v>45</v>
      </c>
      <c r="C273" s="25" t="s">
        <v>46</v>
      </c>
      <c r="D273" s="25" t="s">
        <v>32</v>
      </c>
      <c r="E273" s="25" t="s">
        <v>41</v>
      </c>
      <c r="F273" s="25" t="s">
        <v>39</v>
      </c>
      <c r="H273" s="23">
        <f ca="1">'Index Data'!E382</f>
        <v>1.2861324551774696E-2</v>
      </c>
      <c r="I273" s="23">
        <f ca="1">'Index Data'!D382</f>
        <v>-3.4560287517294841E-2</v>
      </c>
      <c r="J273" s="23">
        <f ca="1">'Index Data'!B382</f>
        <v>-3.0910933574746561E-2</v>
      </c>
      <c r="K273" s="23">
        <f ca="1">'Index Data'!C382</f>
        <v>-1.908659057759219E-2</v>
      </c>
      <c r="L273" s="23">
        <f ca="1">'Index Data'!AH382</f>
        <v>5.7000000000000002E-2</v>
      </c>
      <c r="M273" s="23">
        <f ca="1">'Index Data'!V382</f>
        <v>-4.6690132794787322E-2</v>
      </c>
      <c r="N273" s="23">
        <f ca="1">'Index Data'!W382</f>
        <v>-4.2789798542792433E-2</v>
      </c>
      <c r="O273" s="23">
        <f ca="1">'Index Data'!R382</f>
        <v>-4.3162126467642933E-2</v>
      </c>
      <c r="P273" s="23">
        <f ca="1">'Index Data'!S382</f>
        <v>-1.3423580125538834E-2</v>
      </c>
      <c r="Q273" s="23">
        <f ca="1">'Index Data'!U382</f>
        <v>-4.4725325476905421E-2</v>
      </c>
      <c r="R273" s="24"/>
      <c r="S273" s="23">
        <f t="shared" ca="1" si="34"/>
        <v>-2.5075965103480934E-2</v>
      </c>
      <c r="T273" s="2">
        <f t="shared" ca="1" si="29"/>
        <v>-4.6690132794787322E-2</v>
      </c>
      <c r="U273" s="2">
        <f t="shared" ca="1" si="30"/>
        <v>-4.6690132794787322E-2</v>
      </c>
      <c r="V273" s="2">
        <f t="shared" ca="1" si="31"/>
        <v>-1.908659057759219E-2</v>
      </c>
      <c r="W273" s="2">
        <f t="shared" ca="1" si="32"/>
        <v>-4.3162126467642933E-2</v>
      </c>
      <c r="X273" s="2">
        <v>-3.4010119359013102E-2</v>
      </c>
      <c r="Y273" s="2">
        <f t="shared" ca="1" si="35"/>
        <v>-4.3929778573067811E-2</v>
      </c>
      <c r="Z273" s="2">
        <f t="shared" ca="1" si="33"/>
        <v>-4.1129175411377138E-2</v>
      </c>
    </row>
    <row r="274" spans="1:26">
      <c r="A274" s="22">
        <v>40451</v>
      </c>
      <c r="B274" s="25" t="s">
        <v>45</v>
      </c>
      <c r="C274" s="25" t="s">
        <v>46</v>
      </c>
      <c r="D274" s="25" t="s">
        <v>32</v>
      </c>
      <c r="E274" s="25" t="s">
        <v>41</v>
      </c>
      <c r="F274" s="25" t="s">
        <v>39</v>
      </c>
      <c r="H274" s="23">
        <f ca="1">'Index Data'!E383</f>
        <v>1.0656936943445874E-3</v>
      </c>
      <c r="I274" s="23">
        <f ca="1">'Index Data'!D383</f>
        <v>9.6019154895115574E-2</v>
      </c>
      <c r="J274" s="23">
        <f ca="1">'Index Data'!B383</f>
        <v>9.8215742562007838E-2</v>
      </c>
      <c r="K274" s="23">
        <f ca="1">'Index Data'!C383</f>
        <v>0.11126861612877108</v>
      </c>
      <c r="L274" s="23">
        <f ca="1">'Index Data'!AH383</f>
        <v>4.7100000000000003E-2</v>
      </c>
      <c r="M274" s="23">
        <f ca="1">'Index Data'!V383</f>
        <v>0.10645005758310827</v>
      </c>
      <c r="N274" s="23">
        <f ca="1">'Index Data'!W383</f>
        <v>7.7583179741616506E-2</v>
      </c>
      <c r="O274" s="23">
        <f ca="1">'Index Data'!R383</f>
        <v>0.10356595731772071</v>
      </c>
      <c r="P274" s="23">
        <f ca="1">'Index Data'!S383</f>
        <v>7.1104978728297116E-2</v>
      </c>
      <c r="Q274" s="23">
        <f ca="1">'Index Data'!U383</f>
        <v>9.1879153691948934E-2</v>
      </c>
      <c r="R274" s="24"/>
      <c r="S274" s="23">
        <f t="shared" ca="1" si="34"/>
        <v>7.7028462654961383E-2</v>
      </c>
      <c r="T274" s="2">
        <f t="shared" ca="1" si="29"/>
        <v>0.10645005758310827</v>
      </c>
      <c r="U274" s="2">
        <f t="shared" ca="1" si="30"/>
        <v>0.10645005758310827</v>
      </c>
      <c r="V274" s="2">
        <f t="shared" ca="1" si="31"/>
        <v>0.11126861612877108</v>
      </c>
      <c r="W274" s="2">
        <f t="shared" ca="1" si="32"/>
        <v>0.10356595731772071</v>
      </c>
      <c r="X274" s="2">
        <v>9.156004923344141E-2</v>
      </c>
      <c r="Y274" s="2">
        <f t="shared" ca="1" si="35"/>
        <v>0.10693191343767455</v>
      </c>
      <c r="Z274" s="2">
        <f t="shared" ca="1" si="33"/>
        <v>0.10373760424783712</v>
      </c>
    </row>
    <row r="275" spans="1:26">
      <c r="A275" s="22">
        <v>40482</v>
      </c>
      <c r="B275" s="25" t="s">
        <v>45</v>
      </c>
      <c r="C275" s="25" t="s">
        <v>46</v>
      </c>
      <c r="D275" s="25" t="s">
        <v>32</v>
      </c>
      <c r="E275" s="25" t="s">
        <v>41</v>
      </c>
      <c r="F275" s="25" t="s">
        <v>39</v>
      </c>
      <c r="H275" s="23">
        <f ca="1">'Index Data'!E384</f>
        <v>3.5605595852428308E-3</v>
      </c>
      <c r="I275" s="23">
        <f ca="1">'Index Data'!D384</f>
        <v>3.6344863602115994E-2</v>
      </c>
      <c r="J275" s="23">
        <f ca="1">'Index Data'!B384</f>
        <v>3.6179135230625374E-2</v>
      </c>
      <c r="K275" s="23">
        <f ca="1">'Index Data'!C384</f>
        <v>2.912034988155043E-2</v>
      </c>
      <c r="L275" s="23">
        <f ca="1">'Index Data'!AH384</f>
        <v>3.8100000000000002E-2</v>
      </c>
      <c r="M275" s="23">
        <f ca="1">'Index Data'!V384</f>
        <v>4.7760001083761237E-2</v>
      </c>
      <c r="N275" s="23">
        <f ca="1">'Index Data'!W384</f>
        <v>3.0005804018715596E-2</v>
      </c>
      <c r="O275" s="23">
        <f ca="1">'Index Data'!R384</f>
        <v>4.9204887502233403E-2</v>
      </c>
      <c r="P275" s="23">
        <f ca="1">'Index Data'!S384</f>
        <v>3.2491000565372102E-2</v>
      </c>
      <c r="Q275" s="23">
        <f ca="1">'Index Data'!U384</f>
        <v>3.8916626229333326E-2</v>
      </c>
      <c r="R275" s="24"/>
      <c r="S275" s="23">
        <f t="shared" ca="1" si="34"/>
        <v>2.9788002798741362E-2</v>
      </c>
      <c r="T275" s="2">
        <f t="shared" ca="1" si="29"/>
        <v>4.7760001083761237E-2</v>
      </c>
      <c r="U275" s="2">
        <f t="shared" ca="1" si="30"/>
        <v>4.7760001083761237E-2</v>
      </c>
      <c r="V275" s="2">
        <f t="shared" ca="1" si="31"/>
        <v>2.912034988155043E-2</v>
      </c>
      <c r="W275" s="2">
        <f t="shared" ca="1" si="32"/>
        <v>4.9204887502233403E-2</v>
      </c>
      <c r="X275" s="2">
        <v>3.5265493925147773E-2</v>
      </c>
      <c r="Y275" s="2">
        <f t="shared" ca="1" si="35"/>
        <v>4.5896035963540159E-2</v>
      </c>
      <c r="Z275" s="2">
        <f t="shared" ca="1" si="33"/>
        <v>4.3505501013202871E-2</v>
      </c>
    </row>
    <row r="276" spans="1:26">
      <c r="A276" s="22">
        <v>40512</v>
      </c>
      <c r="B276" s="25" t="s">
        <v>45</v>
      </c>
      <c r="C276" s="25" t="s">
        <v>46</v>
      </c>
      <c r="D276" s="25" t="s">
        <v>32</v>
      </c>
      <c r="E276" s="25" t="s">
        <v>41</v>
      </c>
      <c r="F276" s="25" t="s">
        <v>39</v>
      </c>
      <c r="H276" s="23">
        <f ca="1">'Index Data'!E385</f>
        <v>-5.7474019825240145E-3</v>
      </c>
      <c r="I276" s="23">
        <f ca="1">'Index Data'!D385</f>
        <v>-2.1837639057715654E-2</v>
      </c>
      <c r="J276" s="23">
        <f ca="1">'Index Data'!B385</f>
        <v>-4.7890261700908168E-2</v>
      </c>
      <c r="K276" s="23">
        <f ca="1">'Index Data'!C385</f>
        <v>-2.6353600663772739E-2</v>
      </c>
      <c r="L276" s="23">
        <f ca="1">'Index Data'!AH385</f>
        <v>2.0199999999999999E-2</v>
      </c>
      <c r="M276" s="23">
        <f ca="1">'Index Data'!V385</f>
        <v>1.1612847615045652E-2</v>
      </c>
      <c r="N276" s="23">
        <f ca="1">'Index Data'!W385</f>
        <v>-5.2918047856047269E-3</v>
      </c>
      <c r="O276" s="23">
        <f ca="1">'Index Data'!R385</f>
        <v>1.9204317696529818E-2</v>
      </c>
      <c r="P276" s="23">
        <f ca="1">'Index Data'!S385</f>
        <v>-8.366199721357678E-3</v>
      </c>
      <c r="Q276" s="23">
        <f ca="1">'Index Data'!U385</f>
        <v>3.2612594570821715E-3</v>
      </c>
      <c r="R276" s="24"/>
      <c r="S276" s="23">
        <f t="shared" ca="1" si="34"/>
        <v>-1.8619591642677326E-2</v>
      </c>
      <c r="T276" s="2">
        <f t="shared" ca="1" si="29"/>
        <v>1.1612847615045652E-2</v>
      </c>
      <c r="U276" s="2">
        <f t="shared" ca="1" si="30"/>
        <v>1.1612847615045652E-2</v>
      </c>
      <c r="V276" s="2">
        <f t="shared" ca="1" si="31"/>
        <v>-2.6353600663772739E-2</v>
      </c>
      <c r="W276" s="2">
        <f t="shared" ca="1" si="32"/>
        <v>1.9204317696529818E-2</v>
      </c>
      <c r="X276" s="2">
        <v>1.8268354569513034E-2</v>
      </c>
      <c r="Y276" s="2">
        <f t="shared" ca="1" si="35"/>
        <v>7.8162027871638128E-3</v>
      </c>
      <c r="Z276" s="2">
        <f t="shared" ca="1" si="33"/>
        <v>9.7166644341686037E-3</v>
      </c>
    </row>
    <row r="277" spans="1:26">
      <c r="A277" s="22">
        <v>40543</v>
      </c>
      <c r="B277" s="25" t="s">
        <v>45</v>
      </c>
      <c r="C277" s="25" t="s">
        <v>46</v>
      </c>
      <c r="D277" s="25" t="s">
        <v>32</v>
      </c>
      <c r="E277" s="25" t="s">
        <v>41</v>
      </c>
      <c r="F277" s="25" t="s">
        <v>39</v>
      </c>
      <c r="H277" s="23">
        <f ca="1">'Index Data'!E386</f>
        <v>-1.0783669582095191E-2</v>
      </c>
      <c r="I277" s="23">
        <f ca="1">'Index Data'!D386</f>
        <v>7.3525190041173888E-2</v>
      </c>
      <c r="J277" s="23">
        <f ca="1">'Index Data'!B386</f>
        <v>8.1063743387236584E-2</v>
      </c>
      <c r="K277" s="23">
        <f ca="1">'Index Data'!C386</f>
        <v>7.147348128595106E-2</v>
      </c>
      <c r="L277" s="23">
        <f ca="1">'Index Data'!AH386</f>
        <v>2.63E-2</v>
      </c>
      <c r="M277" s="23">
        <f ca="1">'Index Data'!V386</f>
        <v>5.5082182326326466E-2</v>
      </c>
      <c r="N277" s="23">
        <f ca="1">'Index Data'!W386</f>
        <v>7.8903728084055824E-2</v>
      </c>
      <c r="O277" s="23">
        <f ca="1">'Index Data'!R386</f>
        <v>4.1939256840995844E-2</v>
      </c>
      <c r="P277" s="23">
        <f ca="1">'Index Data'!S386</f>
        <v>4.9572219426270651E-2</v>
      </c>
      <c r="Q277" s="23">
        <f ca="1">'Index Data'!U386</f>
        <v>6.6753144534901845E-2</v>
      </c>
      <c r="R277" s="24"/>
      <c r="S277" s="23">
        <f t="shared" ca="1" si="34"/>
        <v>5.6663418116520071E-2</v>
      </c>
      <c r="T277" s="2">
        <f t="shared" ca="1" si="29"/>
        <v>5.5082182326326466E-2</v>
      </c>
      <c r="U277" s="2">
        <f t="shared" ca="1" si="30"/>
        <v>5.5082182326326466E-2</v>
      </c>
      <c r="V277" s="2">
        <f t="shared" ca="1" si="31"/>
        <v>7.147348128595106E-2</v>
      </c>
      <c r="W277" s="2">
        <f t="shared" ca="1" si="32"/>
        <v>4.1939256840995844E-2</v>
      </c>
      <c r="X277" s="2">
        <v>7.8467419808749161E-2</v>
      </c>
      <c r="Y277" s="2">
        <f t="shared" ca="1" si="35"/>
        <v>5.6721312222288926E-2</v>
      </c>
      <c r="Z277" s="2">
        <f t="shared" ca="1" si="33"/>
        <v>6.0412640307373672E-2</v>
      </c>
    </row>
    <row r="278" spans="1:26">
      <c r="A278" s="22">
        <v>40574</v>
      </c>
      <c r="B278" s="25" t="s">
        <v>45</v>
      </c>
      <c r="C278" s="25" t="s">
        <v>46</v>
      </c>
      <c r="D278" s="25" t="s">
        <v>32</v>
      </c>
      <c r="E278" s="25" t="s">
        <v>41</v>
      </c>
      <c r="F278" s="25" t="s">
        <v>39</v>
      </c>
      <c r="H278" s="23">
        <f ca="1">'Index Data'!E387</f>
        <v>1.1638535128877473E-3</v>
      </c>
      <c r="I278" s="23">
        <f ca="1">'Index Data'!D387</f>
        <v>1.5920376139949864E-2</v>
      </c>
      <c r="J278" s="23">
        <f ca="1">'Index Data'!B387</f>
        <v>2.3729560168446184E-2</v>
      </c>
      <c r="K278" s="23">
        <f ca="1">'Index Data'!C387</f>
        <v>-2.6939341622858898E-2</v>
      </c>
      <c r="L278" s="23">
        <f ca="1">'Index Data'!AH387</f>
        <v>-6.1600000000000002E-2</v>
      </c>
      <c r="M278" s="23">
        <f ca="1">'Index Data'!V387</f>
        <v>2.544911993087038E-2</v>
      </c>
      <c r="N278" s="23">
        <f ca="1">'Index Data'!W387</f>
        <v>2.2621673628385179E-2</v>
      </c>
      <c r="O278" s="23">
        <f ca="1">'Index Data'!R387</f>
        <v>5.6620531418844298E-3</v>
      </c>
      <c r="P278" s="23">
        <f ca="1">'Index Data'!S387</f>
        <v>-1.5384000639334728E-3</v>
      </c>
      <c r="Q278" s="23">
        <f ca="1">'Index Data'!U387</f>
        <v>2.4047832154001348E-2</v>
      </c>
      <c r="R278" s="24"/>
      <c r="S278" s="23">
        <f t="shared" ca="1" si="34"/>
        <v>1.2969071614537442E-2</v>
      </c>
      <c r="T278" s="2">
        <f t="shared" ca="1" si="29"/>
        <v>2.544911993087038E-2</v>
      </c>
      <c r="U278" s="2">
        <f t="shared" ca="1" si="30"/>
        <v>2.544911993087038E-2</v>
      </c>
      <c r="V278" s="2">
        <f t="shared" ca="1" si="31"/>
        <v>-2.6939341622858898E-2</v>
      </c>
      <c r="W278" s="2">
        <f t="shared" ca="1" si="32"/>
        <v>5.6620531418844298E-3</v>
      </c>
      <c r="X278" s="2">
        <v>2.1188928680113017E-2</v>
      </c>
      <c r="Y278" s="2">
        <f t="shared" ca="1" si="35"/>
        <v>2.0210273775497452E-2</v>
      </c>
      <c r="Z278" s="2">
        <f t="shared" ca="1" si="33"/>
        <v>1.7874205516172033E-2</v>
      </c>
    </row>
    <row r="279" spans="1:26">
      <c r="A279" s="22">
        <v>40602</v>
      </c>
      <c r="B279" s="25" t="s">
        <v>45</v>
      </c>
      <c r="C279" s="25" t="s">
        <v>46</v>
      </c>
      <c r="D279" s="25" t="s">
        <v>32</v>
      </c>
      <c r="E279" s="25" t="s">
        <v>41</v>
      </c>
      <c r="F279" s="25" t="s">
        <v>39</v>
      </c>
      <c r="H279" s="23">
        <f ca="1">'Index Data'!E388</f>
        <v>2.501506381580088E-3</v>
      </c>
      <c r="I279" s="23">
        <f ca="1">'Index Data'!D388</f>
        <v>2.9529855280451628E-2</v>
      </c>
      <c r="J279" s="23">
        <f ca="1">'Index Data'!B388</f>
        <v>3.320270771669339E-2</v>
      </c>
      <c r="K279" s="23">
        <f ca="1">'Index Data'!C388</f>
        <v>-9.1802102178431353E-3</v>
      </c>
      <c r="L279" s="23">
        <f ca="1">'Index Data'!AH388</f>
        <v>5.7099999999999998E-2</v>
      </c>
      <c r="M279" s="23">
        <f ca="1">'Index Data'!V388</f>
        <v>3.2726463703000773E-2</v>
      </c>
      <c r="N279" s="23">
        <f ca="1">'Index Data'!W388</f>
        <v>3.6885010785258555E-2</v>
      </c>
      <c r="O279" s="23">
        <f ca="1">'Index Data'!R388</f>
        <v>4.0318920576510278E-2</v>
      </c>
      <c r="P279" s="23">
        <f ca="1">'Index Data'!S388</f>
        <v>3.1008837752209445E-2</v>
      </c>
      <c r="Q279" s="23">
        <f ca="1">'Index Data'!U388</f>
        <v>3.4783031071229722E-2</v>
      </c>
      <c r="R279" s="24"/>
      <c r="S279" s="23">
        <f t="shared" ca="1" si="34"/>
        <v>2.4124185500677322E-2</v>
      </c>
      <c r="T279" s="2">
        <f t="shared" ca="1" si="29"/>
        <v>3.2726463703000773E-2</v>
      </c>
      <c r="U279" s="2">
        <f t="shared" ca="1" si="30"/>
        <v>3.2726463703000773E-2</v>
      </c>
      <c r="V279" s="2">
        <f t="shared" ca="1" si="31"/>
        <v>-9.1802102178431353E-3</v>
      </c>
      <c r="W279" s="2">
        <f t="shared" ca="1" si="32"/>
        <v>4.0318920576510278E-2</v>
      </c>
      <c r="X279" s="2">
        <v>4.308046532265708E-2</v>
      </c>
      <c r="Y279" s="2">
        <f t="shared" ca="1" si="35"/>
        <v>2.8535796310916382E-2</v>
      </c>
      <c r="Z279" s="2">
        <f t="shared" ca="1" si="33"/>
        <v>3.1176030900360856E-2</v>
      </c>
    </row>
    <row r="280" spans="1:26">
      <c r="A280" s="22">
        <v>40633</v>
      </c>
      <c r="B280" s="25" t="s">
        <v>45</v>
      </c>
      <c r="C280" s="25" t="s">
        <v>46</v>
      </c>
      <c r="D280" s="25" t="s">
        <v>41</v>
      </c>
      <c r="E280" s="25" t="s">
        <v>41</v>
      </c>
      <c r="F280" s="25" t="s">
        <v>39</v>
      </c>
      <c r="H280" s="23">
        <f ca="1">'Index Data'!E389</f>
        <v>5.5247947933367446E-4</v>
      </c>
      <c r="I280" s="23">
        <f ca="1">'Index Data'!D389</f>
        <v>-5.8314858205578261E-4</v>
      </c>
      <c r="J280" s="23">
        <f ca="1">'Index Data'!B389</f>
        <v>-2.1959191146274142E-2</v>
      </c>
      <c r="K280" s="23">
        <f ca="1">'Index Data'!C389</f>
        <v>5.8951646571800825E-2</v>
      </c>
      <c r="L280" s="23">
        <f ca="1">'Index Data'!AH389</f>
        <v>2.06E-2</v>
      </c>
      <c r="M280" s="23">
        <f ca="1">'Index Data'!V389</f>
        <v>1.2220487332444206E-3</v>
      </c>
      <c r="N280" s="23">
        <f ca="1">'Index Data'!W389</f>
        <v>3.9711411048375458E-3</v>
      </c>
      <c r="O280" s="23">
        <f ca="1">'Index Data'!R389</f>
        <v>2.0645663349526E-2</v>
      </c>
      <c r="P280" s="23">
        <f ca="1">'Index Data'!S389</f>
        <v>1.5746503292921137E-2</v>
      </c>
      <c r="Q280" s="23">
        <f ca="1">'Index Data'!U389</f>
        <v>2.5853575941002984E-3</v>
      </c>
      <c r="R280" s="24"/>
      <c r="S280" s="23">
        <f t="shared" ca="1" si="34"/>
        <v>-3.5602296977789118E-4</v>
      </c>
      <c r="T280" s="2">
        <f t="shared" ca="1" si="29"/>
        <v>1.2220487332444206E-3</v>
      </c>
      <c r="U280" s="2">
        <f t="shared" ca="1" si="30"/>
        <v>1.2220487332444206E-3</v>
      </c>
      <c r="V280" s="2">
        <f t="shared" ca="1" si="31"/>
        <v>1.2220487332444206E-3</v>
      </c>
      <c r="W280" s="2">
        <f t="shared" ca="1" si="32"/>
        <v>2.0645663349526E-2</v>
      </c>
      <c r="X280" s="2">
        <v>2.442945589661405E-2</v>
      </c>
      <c r="Y280" s="2">
        <f t="shared" ca="1" si="35"/>
        <v>1.2220487332444206E-3</v>
      </c>
      <c r="Z280" s="2">
        <f t="shared" ca="1" si="33"/>
        <v>7.3203012621394642E-3</v>
      </c>
    </row>
    <row r="281" spans="1:26">
      <c r="A281" s="22">
        <v>40663</v>
      </c>
      <c r="B281" s="25" t="s">
        <v>45</v>
      </c>
      <c r="C281" s="25" t="s">
        <v>46</v>
      </c>
      <c r="D281" s="25" t="s">
        <v>41</v>
      </c>
      <c r="E281" s="25" t="s">
        <v>41</v>
      </c>
      <c r="F281" s="25" t="s">
        <v>39</v>
      </c>
      <c r="H281" s="23">
        <f ca="1">'Index Data'!E390</f>
        <v>1.2693943678209788E-2</v>
      </c>
      <c r="I281" s="23">
        <f ca="1">'Index Data'!D390</f>
        <v>4.1489035491190721E-2</v>
      </c>
      <c r="J281" s="23">
        <f ca="1">'Index Data'!B390</f>
        <v>6.0763434801797828E-2</v>
      </c>
      <c r="K281" s="23">
        <f ca="1">'Index Data'!C390</f>
        <v>3.1240648467892471E-2</v>
      </c>
      <c r="L281" s="23">
        <f ca="1">'Index Data'!AH390</f>
        <v>8.1699999999999995E-2</v>
      </c>
      <c r="M281" s="23">
        <f ca="1">'Index Data'!V390</f>
        <v>3.3488203819715505E-2</v>
      </c>
      <c r="N281" s="23">
        <f ca="1">'Index Data'!W390</f>
        <v>2.6628568122043898E-2</v>
      </c>
      <c r="O281" s="23">
        <f ca="1">'Index Data'!R390</f>
        <v>3.8919630789136302E-2</v>
      </c>
      <c r="P281" s="23">
        <f ca="1">'Index Data'!S390</f>
        <v>4.0233618669112452E-2</v>
      </c>
      <c r="Q281" s="23">
        <f ca="1">'Index Data'!U390</f>
        <v>3.0077293837812453E-2</v>
      </c>
      <c r="R281" s="24"/>
      <c r="S281" s="23">
        <f t="shared" ca="1" si="34"/>
        <v>3.5730017128594534E-2</v>
      </c>
      <c r="T281" s="2">
        <f t="shared" ca="1" si="29"/>
        <v>3.3488203819715505E-2</v>
      </c>
      <c r="U281" s="2">
        <f t="shared" ca="1" si="30"/>
        <v>3.3488203819715505E-2</v>
      </c>
      <c r="V281" s="2">
        <f t="shared" ca="1" si="31"/>
        <v>3.3488203819715505E-2</v>
      </c>
      <c r="W281" s="2">
        <f t="shared" ca="1" si="32"/>
        <v>3.8919630789136302E-2</v>
      </c>
      <c r="X281" s="2">
        <v>4.5590137011960685E-2</v>
      </c>
      <c r="Y281" s="2">
        <f t="shared" ca="1" si="35"/>
        <v>3.3488203819715505E-2</v>
      </c>
      <c r="Z281" s="2">
        <f t="shared" ca="1" si="33"/>
        <v>3.6315947480871101E-2</v>
      </c>
    </row>
    <row r="282" spans="1:26">
      <c r="A282" s="22">
        <v>40694</v>
      </c>
      <c r="B282" s="25" t="s">
        <v>45</v>
      </c>
      <c r="C282" s="25" t="s">
        <v>46</v>
      </c>
      <c r="D282" s="25" t="s">
        <v>41</v>
      </c>
      <c r="E282" s="25" t="s">
        <v>41</v>
      </c>
      <c r="F282" s="25" t="s">
        <v>39</v>
      </c>
      <c r="H282" s="23">
        <f ca="1">'Index Data'!E391</f>
        <v>1.3050121333772714E-2</v>
      </c>
      <c r="I282" s="23">
        <f ca="1">'Index Data'!D391</f>
        <v>-2.0560816847049801E-2</v>
      </c>
      <c r="J282" s="23">
        <f ca="1">'Index Data'!B391</f>
        <v>-2.8062954932496151E-2</v>
      </c>
      <c r="K282" s="23">
        <f ca="1">'Index Data'!C391</f>
        <v>-2.583093816788264E-2</v>
      </c>
      <c r="L282" s="23">
        <f ca="1">'Index Data'!AH391</f>
        <v>-1.32E-2</v>
      </c>
      <c r="M282" s="23">
        <f ca="1">'Index Data'!V391</f>
        <v>-1.0887008366543395E-2</v>
      </c>
      <c r="N282" s="23">
        <f ca="1">'Index Data'!W391</f>
        <v>-1.0565445236960853E-2</v>
      </c>
      <c r="O282" s="23">
        <f ca="1">'Index Data'!R391</f>
        <v>-4.970422096695311E-3</v>
      </c>
      <c r="P282" s="23">
        <f ca="1">'Index Data'!S391</f>
        <v>1.097811112811882E-2</v>
      </c>
      <c r="Q282" s="23">
        <f ca="1">'Index Data'!U391</f>
        <v>-1.0727561969384566E-2</v>
      </c>
      <c r="R282" s="24"/>
      <c r="S282" s="23">
        <f t="shared" ca="1" si="34"/>
        <v>-1.3838629210885299E-2</v>
      </c>
      <c r="T282" s="2">
        <f t="shared" ca="1" si="29"/>
        <v>-1.0887008366543395E-2</v>
      </c>
      <c r="U282" s="2">
        <f t="shared" ca="1" si="30"/>
        <v>-1.0887008366543395E-2</v>
      </c>
      <c r="V282" s="2">
        <f t="shared" ca="1" si="31"/>
        <v>-1.0887008366543395E-2</v>
      </c>
      <c r="W282" s="2">
        <f t="shared" ca="1" si="32"/>
        <v>-4.970422096695311E-3</v>
      </c>
      <c r="X282" s="2">
        <v>8.8972081225762167E-3</v>
      </c>
      <c r="Y282" s="2">
        <f t="shared" ca="1" si="35"/>
        <v>-1.0887008366543396E-2</v>
      </c>
      <c r="Z282" s="2">
        <f t="shared" ca="1" si="33"/>
        <v>-6.4864210984808659E-3</v>
      </c>
    </row>
    <row r="283" spans="1:26">
      <c r="A283" s="22">
        <v>40724</v>
      </c>
      <c r="B283" s="25" t="s">
        <v>45</v>
      </c>
      <c r="C283" s="25" t="s">
        <v>46</v>
      </c>
      <c r="D283" s="25" t="s">
        <v>41</v>
      </c>
      <c r="E283" s="25" t="s">
        <v>41</v>
      </c>
      <c r="F283" s="25" t="s">
        <v>39</v>
      </c>
      <c r="H283" s="23">
        <f ca="1">'Index Data'!E392</f>
        <v>-2.9277294423119275E-3</v>
      </c>
      <c r="I283" s="23">
        <f ca="1">'Index Data'!D392</f>
        <v>-1.5368574383075505E-2</v>
      </c>
      <c r="J283" s="23">
        <f ca="1">'Index Data'!B392</f>
        <v>-1.2275663377595334E-2</v>
      </c>
      <c r="K283" s="23">
        <f ca="1">'Index Data'!C392</f>
        <v>-1.4964822029731102E-2</v>
      </c>
      <c r="L283" s="23">
        <f ca="1">'Index Data'!AH392</f>
        <v>-2.1600000000000001E-2</v>
      </c>
      <c r="M283" s="23">
        <f ca="1">'Index Data'!V392</f>
        <v>-1.4342979763359335E-2</v>
      </c>
      <c r="N283" s="23">
        <f ca="1">'Index Data'!W392</f>
        <v>-2.0503409775231626E-2</v>
      </c>
      <c r="O283" s="23">
        <f ca="1">'Index Data'!R392</f>
        <v>-6.693859306028953E-3</v>
      </c>
      <c r="P283" s="23">
        <f ca="1">'Index Data'!S392</f>
        <v>-1.1391853098995975E-2</v>
      </c>
      <c r="Q283" s="23">
        <f ca="1">'Index Data'!U392</f>
        <v>-1.7479965289486331E-2</v>
      </c>
      <c r="R283" s="24"/>
      <c r="S283" s="23">
        <f t="shared" ca="1" si="34"/>
        <v>-1.288040539492279E-2</v>
      </c>
      <c r="T283" s="2">
        <f t="shared" ca="1" si="29"/>
        <v>-1.4342979763359335E-2</v>
      </c>
      <c r="U283" s="2">
        <f t="shared" ca="1" si="30"/>
        <v>-1.4342979763359335E-2</v>
      </c>
      <c r="V283" s="2">
        <f t="shared" ca="1" si="31"/>
        <v>-1.4342979763359335E-2</v>
      </c>
      <c r="W283" s="2">
        <f t="shared" ca="1" si="32"/>
        <v>-6.693859306028953E-3</v>
      </c>
      <c r="X283" s="2">
        <v>-8.8236215775111537E-3</v>
      </c>
      <c r="Y283" s="2">
        <f t="shared" ca="1" si="35"/>
        <v>-1.4342979763359336E-2</v>
      </c>
      <c r="Z283" s="2">
        <f t="shared" ca="1" si="33"/>
        <v>-1.2665424091889921E-2</v>
      </c>
    </row>
    <row r="284" spans="1:26">
      <c r="A284" s="22">
        <v>40755</v>
      </c>
      <c r="B284" s="25" t="s">
        <v>45</v>
      </c>
      <c r="C284" s="25" t="s">
        <v>46</v>
      </c>
      <c r="D284" s="25" t="s">
        <v>41</v>
      </c>
      <c r="E284" s="25" t="s">
        <v>41</v>
      </c>
      <c r="F284" s="25" t="s">
        <v>39</v>
      </c>
      <c r="H284" s="23">
        <f ca="1">'Index Data'!E393</f>
        <v>1.5868025483752327E-2</v>
      </c>
      <c r="I284" s="23">
        <f ca="1">'Index Data'!D393</f>
        <v>-1.5959107839118001E-2</v>
      </c>
      <c r="J284" s="23">
        <f ca="1">'Index Data'!B393</f>
        <v>-1.5728508398286038E-2</v>
      </c>
      <c r="K284" s="23">
        <f ca="1">'Index Data'!C393</f>
        <v>-3.7584420945514243E-3</v>
      </c>
      <c r="L284" s="23">
        <f ca="1">'Index Data'!AH393</f>
        <v>8.3499999999999991E-2</v>
      </c>
      <c r="M284" s="23">
        <f ca="1">'Index Data'!V393</f>
        <v>-1.0023660677163995E-2</v>
      </c>
      <c r="N284" s="23">
        <f ca="1">'Index Data'!W393</f>
        <v>-3.3169245681448335E-2</v>
      </c>
      <c r="O284" s="23">
        <f ca="1">'Index Data'!R393</f>
        <v>-1.8619355129041771E-2</v>
      </c>
      <c r="P284" s="23">
        <f ca="1">'Index Data'!S393</f>
        <v>-3.3270643297781718E-2</v>
      </c>
      <c r="Q284" s="23">
        <f ca="1">'Index Data'!U393</f>
        <v>-2.1701474664819087E-2</v>
      </c>
      <c r="R284" s="24"/>
      <c r="S284" s="23">
        <f t="shared" ca="1" si="34"/>
        <v>-9.5936811745439346E-3</v>
      </c>
      <c r="T284" s="2">
        <f t="shared" ca="1" si="29"/>
        <v>-1.0023660677163995E-2</v>
      </c>
      <c r="U284" s="2">
        <f t="shared" ca="1" si="30"/>
        <v>-1.0023660677163995E-2</v>
      </c>
      <c r="V284" s="2">
        <f t="shared" ca="1" si="31"/>
        <v>-1.0023660677163995E-2</v>
      </c>
      <c r="W284" s="2">
        <f t="shared" ca="1" si="32"/>
        <v>-1.8619355129041771E-2</v>
      </c>
      <c r="X284" s="2">
        <v>-1.9948162667205116E-2</v>
      </c>
      <c r="Y284" s="2">
        <f t="shared" ca="1" si="35"/>
        <v>-1.0023660677163995E-2</v>
      </c>
      <c r="Z284" s="2">
        <f t="shared" ca="1" si="33"/>
        <v>-1.2653238159063053E-2</v>
      </c>
    </row>
    <row r="285" spans="1:26">
      <c r="A285" s="22">
        <v>40786</v>
      </c>
      <c r="B285" s="25" t="s">
        <v>48</v>
      </c>
      <c r="C285" s="25" t="s">
        <v>46</v>
      </c>
      <c r="D285" s="25" t="s">
        <v>41</v>
      </c>
      <c r="E285" s="25" t="s">
        <v>41</v>
      </c>
      <c r="F285" s="25" t="s">
        <v>43</v>
      </c>
      <c r="H285" s="23">
        <f ca="1">'Index Data'!E394</f>
        <v>1.4609963037143864E-2</v>
      </c>
      <c r="I285" s="23">
        <f ca="1">'Index Data'!D394</f>
        <v>-7.2638534074852726E-2</v>
      </c>
      <c r="J285" s="23">
        <f ca="1">'Index Data'!B394</f>
        <v>-9.0176795172273727E-2</v>
      </c>
      <c r="K285" s="23">
        <f ca="1">'Index Data'!C394</f>
        <v>-8.9001098541060406E-2</v>
      </c>
      <c r="L285" s="23">
        <f ca="1">'Index Data'!AH394</f>
        <v>0.1234</v>
      </c>
      <c r="M285" s="23">
        <f ca="1">'Index Data'!V394</f>
        <v>-5.2773344736219245E-2</v>
      </c>
      <c r="N285" s="23">
        <f ca="1">'Index Data'!W394</f>
        <v>-6.2405742594393437E-2</v>
      </c>
      <c r="O285" s="23">
        <f ca="1">'Index Data'!R394</f>
        <v>-5.6849055954878339E-2</v>
      </c>
      <c r="P285" s="23">
        <f ca="1">'Index Data'!S394</f>
        <v>-2.6108006032723031E-3</v>
      </c>
      <c r="Q285" s="23">
        <f ca="1">'Index Data'!U394</f>
        <v>-5.7580161654879877E-2</v>
      </c>
      <c r="R285" s="24"/>
      <c r="S285" s="23">
        <f t="shared" ca="1" si="34"/>
        <v>-2.0289435807654771E-2</v>
      </c>
      <c r="T285" s="2">
        <f t="shared" ca="1" si="29"/>
        <v>-5.2773344736219245E-2</v>
      </c>
      <c r="U285" s="2">
        <f t="shared" ca="1" si="30"/>
        <v>-5.2773344736219245E-2</v>
      </c>
      <c r="V285" s="2">
        <f t="shared" ca="1" si="31"/>
        <v>-5.2773344736219245E-2</v>
      </c>
      <c r="W285" s="2">
        <f t="shared" ca="1" si="32"/>
        <v>-5.2773344736219245E-2</v>
      </c>
      <c r="X285" s="2">
        <v>-2.0840975414704532E-2</v>
      </c>
      <c r="Y285" s="2">
        <f t="shared" ca="1" si="35"/>
        <v>-5.2773344736219245E-2</v>
      </c>
      <c r="Z285" s="2">
        <f t="shared" ca="1" si="33"/>
        <v>-4.63868708719163E-2</v>
      </c>
    </row>
    <row r="286" spans="1:26">
      <c r="A286" s="22">
        <v>40816</v>
      </c>
      <c r="B286" s="25" t="s">
        <v>48</v>
      </c>
      <c r="C286" s="25" t="s">
        <v>46</v>
      </c>
      <c r="D286" s="25" t="s">
        <v>41</v>
      </c>
      <c r="E286" s="25" t="s">
        <v>41</v>
      </c>
      <c r="F286" s="25" t="s">
        <v>43</v>
      </c>
      <c r="H286" s="23">
        <f ca="1">'Index Data'!E395</f>
        <v>7.2746108025668913E-3</v>
      </c>
      <c r="I286" s="23">
        <f ca="1">'Index Data'!D395</f>
        <v>-9.4048106076536964E-2</v>
      </c>
      <c r="J286" s="23">
        <f ca="1">'Index Data'!B395</f>
        <v>-9.4966814798768132E-2</v>
      </c>
      <c r="K286" s="23">
        <f ca="1">'Index Data'!C395</f>
        <v>-0.14562398189087983</v>
      </c>
      <c r="L286" s="23">
        <f ca="1">'Index Data'!AH395</f>
        <v>-0.1142</v>
      </c>
      <c r="M286" s="23">
        <f ca="1">'Index Data'!V395</f>
        <v>-7.3684146884616886E-2</v>
      </c>
      <c r="N286" s="23">
        <f ca="1">'Index Data'!W395</f>
        <v>-7.5573437939167376E-2</v>
      </c>
      <c r="O286" s="23">
        <f ca="1">'Index Data'!R395</f>
        <v>-4.9919778296382791E-2</v>
      </c>
      <c r="P286" s="23">
        <f ca="1">'Index Data'!S395</f>
        <v>-2.6913351207797073E-2</v>
      </c>
      <c r="Q286" s="23">
        <f ca="1">'Index Data'!U395</f>
        <v>-7.4617317287156745E-2</v>
      </c>
      <c r="R286" s="24"/>
      <c r="S286" s="23">
        <f t="shared" ca="1" si="34"/>
        <v>-3.3254475949074658E-2</v>
      </c>
      <c r="T286" s="2">
        <f t="shared" ca="1" si="29"/>
        <v>-7.3684146884616886E-2</v>
      </c>
      <c r="U286" s="2">
        <f t="shared" ca="1" si="30"/>
        <v>-7.3684146884616886E-2</v>
      </c>
      <c r="V286" s="2">
        <f t="shared" ca="1" si="31"/>
        <v>-7.3684146884616886E-2</v>
      </c>
      <c r="W286" s="2">
        <f t="shared" ca="1" si="32"/>
        <v>-7.3684146884616886E-2</v>
      </c>
      <c r="X286" s="2">
        <v>-4.2374690942984183E-2</v>
      </c>
      <c r="Y286" s="2">
        <f t="shared" ca="1" si="35"/>
        <v>-7.3684146884616886E-2</v>
      </c>
      <c r="Z286" s="2">
        <f t="shared" ca="1" si="33"/>
        <v>-6.7422255696290345E-2</v>
      </c>
    </row>
    <row r="287" spans="1:26">
      <c r="A287" s="22">
        <v>40847</v>
      </c>
      <c r="B287" s="25" t="s">
        <v>48</v>
      </c>
      <c r="C287" s="25" t="s">
        <v>46</v>
      </c>
      <c r="D287" s="25" t="s">
        <v>41</v>
      </c>
      <c r="E287" s="25" t="s">
        <v>41</v>
      </c>
      <c r="F287" s="25" t="s">
        <v>43</v>
      </c>
      <c r="H287" s="23">
        <f ca="1">'Index Data'!E396</f>
        <v>1.0741690902129951E-3</v>
      </c>
      <c r="I287" s="23">
        <f ca="1">'Index Data'!D396</f>
        <v>0.10740918931922049</v>
      </c>
      <c r="J287" s="23">
        <f ca="1">'Index Data'!B396</f>
        <v>9.6472844215212961E-2</v>
      </c>
      <c r="K287" s="23">
        <f ca="1">'Index Data'!C396</f>
        <v>0.13190996768642205</v>
      </c>
      <c r="L287" s="23">
        <f ca="1">'Index Data'!AH396</f>
        <v>6.4699999999999994E-2</v>
      </c>
      <c r="M287" s="23">
        <f ca="1">'Index Data'!V396</f>
        <v>0.10973877211799746</v>
      </c>
      <c r="N287" s="23">
        <f ca="1">'Index Data'!W396</f>
        <v>0.11449103894086665</v>
      </c>
      <c r="O287" s="23">
        <f ca="1">'Index Data'!R396</f>
        <v>8.2377022964242305E-2</v>
      </c>
      <c r="P287" s="23">
        <f ca="1">'Index Data'!S396</f>
        <v>6.5755624910223451E-2</v>
      </c>
      <c r="Q287" s="23">
        <f ca="1">'Index Data'!U396</f>
        <v>0.11208823403709016</v>
      </c>
      <c r="R287" s="24"/>
      <c r="S287" s="23">
        <f t="shared" ca="1" si="34"/>
        <v>4.3608177181815991E-2</v>
      </c>
      <c r="T287" s="2">
        <f t="shared" ca="1" si="29"/>
        <v>0.10973877211799746</v>
      </c>
      <c r="U287" s="2">
        <f t="shared" ca="1" si="30"/>
        <v>0.10973877211799746</v>
      </c>
      <c r="V287" s="2">
        <f t="shared" ca="1" si="31"/>
        <v>0.10973877211799746</v>
      </c>
      <c r="W287" s="2">
        <f t="shared" ca="1" si="32"/>
        <v>0.10973877211799746</v>
      </c>
      <c r="X287" s="2">
        <v>8.5273393444994738E-2</v>
      </c>
      <c r="Y287" s="2">
        <f t="shared" ca="1" si="35"/>
        <v>0.10973877211799746</v>
      </c>
      <c r="Z287" s="2">
        <f t="shared" ca="1" si="33"/>
        <v>0.10484569638339691</v>
      </c>
    </row>
    <row r="288" spans="1:26">
      <c r="A288" s="22">
        <v>40877</v>
      </c>
      <c r="B288" s="25" t="s">
        <v>48</v>
      </c>
      <c r="C288" s="25" t="s">
        <v>46</v>
      </c>
      <c r="D288" s="25" t="s">
        <v>41</v>
      </c>
      <c r="E288" s="25" t="s">
        <v>41</v>
      </c>
      <c r="F288" s="25" t="s">
        <v>43</v>
      </c>
      <c r="H288" s="23">
        <f ca="1">'Index Data'!E397</f>
        <v>-8.6754524647986771E-4</v>
      </c>
      <c r="I288" s="23">
        <f ca="1">'Index Data'!D397</f>
        <v>-2.9436031699755488E-2</v>
      </c>
      <c r="J288" s="23">
        <f ca="1">'Index Data'!B397</f>
        <v>-4.8250358317001515E-2</v>
      </c>
      <c r="K288" s="23">
        <f ca="1">'Index Data'!C397</f>
        <v>-6.6059250427944041E-2</v>
      </c>
      <c r="L288" s="23">
        <f ca="1">'Index Data'!AH397</f>
        <v>1.18E-2</v>
      </c>
      <c r="M288" s="23">
        <f ca="1">'Index Data'!V397</f>
        <v>-9.6063927603044579E-5</v>
      </c>
      <c r="N288" s="23">
        <f ca="1">'Index Data'!W397</f>
        <v>-5.181915633372434E-3</v>
      </c>
      <c r="O288" s="23">
        <f ca="1">'Index Data'!R397</f>
        <v>4.113280695948204E-3</v>
      </c>
      <c r="P288" s="23">
        <f ca="1">'Index Data'!S397</f>
        <v>1.1646214827022154E-2</v>
      </c>
      <c r="Q288" s="23">
        <f ca="1">'Index Data'!U397</f>
        <v>-2.6230056458721781E-3</v>
      </c>
      <c r="R288" s="24"/>
      <c r="S288" s="23">
        <f t="shared" ca="1" si="34"/>
        <v>-1.2294939827790115E-2</v>
      </c>
      <c r="T288" s="2">
        <f t="shared" ca="1" si="29"/>
        <v>-9.6063927603044579E-5</v>
      </c>
      <c r="U288" s="2">
        <f t="shared" ca="1" si="30"/>
        <v>-9.6063927603044579E-5</v>
      </c>
      <c r="V288" s="2">
        <f t="shared" ca="1" si="31"/>
        <v>-9.6063927603044579E-5</v>
      </c>
      <c r="W288" s="2">
        <f t="shared" ca="1" si="32"/>
        <v>-9.6063927603044579E-5</v>
      </c>
      <c r="X288" s="2">
        <v>1.0062389062536869E-2</v>
      </c>
      <c r="Y288" s="2">
        <f t="shared" ca="1" si="35"/>
        <v>-9.6063927603044579E-5</v>
      </c>
      <c r="Z288" s="2">
        <f t="shared" ca="1" si="33"/>
        <v>1.935626670424938E-3</v>
      </c>
    </row>
    <row r="289" spans="1:26">
      <c r="A289" s="22">
        <v>40908</v>
      </c>
      <c r="B289" s="25" t="s">
        <v>48</v>
      </c>
      <c r="C289" s="25" t="s">
        <v>46</v>
      </c>
      <c r="D289" s="25" t="s">
        <v>41</v>
      </c>
      <c r="E289" s="25" t="s">
        <v>41</v>
      </c>
      <c r="F289" s="25" t="s">
        <v>43</v>
      </c>
      <c r="H289" s="23">
        <f ca="1">'Index Data'!E398</f>
        <v>1.0990831452971929E-2</v>
      </c>
      <c r="I289" s="23">
        <f ca="1">'Index Data'!D398</f>
        <v>-1.6766434148553456E-3</v>
      </c>
      <c r="J289" s="23">
        <f ca="1">'Index Data'!B398</f>
        <v>-9.3530000472482593E-3</v>
      </c>
      <c r="K289" s="23">
        <f ca="1">'Index Data'!C398</f>
        <v>-1.1957463752840087E-2</v>
      </c>
      <c r="L289" s="23">
        <f ca="1">'Index Data'!AH398</f>
        <v>-0.1024</v>
      </c>
      <c r="M289" s="23">
        <f ca="1">'Index Data'!V398</f>
        <v>-3.2155097367204213E-3</v>
      </c>
      <c r="N289" s="23">
        <f ca="1">'Index Data'!W398</f>
        <v>2.0151542701120417E-2</v>
      </c>
      <c r="O289" s="23">
        <f ca="1">'Index Data'!R398</f>
        <v>1.233637819003675E-2</v>
      </c>
      <c r="P289" s="23">
        <f ca="1">'Index Data'!S398</f>
        <v>2.6306546357415403E-2</v>
      </c>
      <c r="Q289" s="23">
        <f ca="1">'Index Data'!U398</f>
        <v>8.3588646674572151E-3</v>
      </c>
      <c r="R289" s="24"/>
      <c r="S289" s="23">
        <f t="shared" ca="1" si="34"/>
        <v>5.9238415058410184E-3</v>
      </c>
      <c r="T289" s="2">
        <f t="shared" ca="1" si="29"/>
        <v>-3.2155097367204213E-3</v>
      </c>
      <c r="U289" s="2">
        <f t="shared" ca="1" si="30"/>
        <v>-3.2155097367204213E-3</v>
      </c>
      <c r="V289" s="2">
        <f t="shared" ca="1" si="31"/>
        <v>-3.2155097367204213E-3</v>
      </c>
      <c r="W289" s="2">
        <f t="shared" ca="1" si="32"/>
        <v>-3.2155097367204213E-3</v>
      </c>
      <c r="X289" s="2">
        <v>1.014231324784487E-2</v>
      </c>
      <c r="Y289" s="2">
        <f t="shared" ca="1" si="35"/>
        <v>-3.2155097367204213E-3</v>
      </c>
      <c r="Z289" s="2">
        <f t="shared" ca="1" si="33"/>
        <v>-5.4394513980736295E-4</v>
      </c>
    </row>
    <row r="290" spans="1:26">
      <c r="A290" s="22">
        <v>40939</v>
      </c>
      <c r="B290" s="25" t="s">
        <v>48</v>
      </c>
      <c r="C290" s="25" t="s">
        <v>46</v>
      </c>
      <c r="D290" s="25" t="s">
        <v>41</v>
      </c>
      <c r="E290" s="25" t="s">
        <v>41</v>
      </c>
      <c r="F290" s="25" t="s">
        <v>43</v>
      </c>
      <c r="H290" s="23">
        <f ca="1">'Index Data'!E399</f>
        <v>8.7807027952468732E-3</v>
      </c>
      <c r="I290" s="23">
        <f ca="1">'Index Data'!D399</f>
        <v>5.842512345205577E-2</v>
      </c>
      <c r="J290" s="23">
        <f ca="1">'Index Data'!B399</f>
        <v>5.3530787758172438E-2</v>
      </c>
      <c r="K290" s="23">
        <f ca="1">'Index Data'!C399</f>
        <v>0.11361939192793222</v>
      </c>
      <c r="L290" s="23">
        <f ca="1">'Index Data'!AH399</f>
        <v>0.1091</v>
      </c>
      <c r="M290" s="23">
        <f ca="1">'Index Data'!V399</f>
        <v>5.9690629991266633E-2</v>
      </c>
      <c r="N290" s="23">
        <f ca="1">'Index Data'!W399</f>
        <v>3.7829790777618867E-2</v>
      </c>
      <c r="O290" s="23">
        <f ca="1">'Index Data'!R399</f>
        <v>1.9406976744186111E-2</v>
      </c>
      <c r="P290" s="23">
        <f ca="1">'Index Data'!S399</f>
        <v>1.4668916765993545E-2</v>
      </c>
      <c r="Q290" s="23">
        <f ca="1">'Index Data'!U399</f>
        <v>4.8733402913864715E-2</v>
      </c>
      <c r="R290" s="24"/>
      <c r="S290" s="23">
        <f t="shared" ca="1" si="34"/>
        <v>2.8638471057970433E-2</v>
      </c>
      <c r="T290" s="2">
        <f t="shared" ca="1" si="29"/>
        <v>5.9690629991266633E-2</v>
      </c>
      <c r="U290" s="2">
        <f t="shared" ca="1" si="30"/>
        <v>5.9690629991266633E-2</v>
      </c>
      <c r="V290" s="2">
        <f t="shared" ca="1" si="31"/>
        <v>5.9690629991266633E-2</v>
      </c>
      <c r="W290" s="2">
        <f t="shared" ca="1" si="32"/>
        <v>5.9690629991266633E-2</v>
      </c>
      <c r="X290" s="2">
        <v>1.3221721310816559E-2</v>
      </c>
      <c r="Y290" s="2">
        <f t="shared" ca="1" si="35"/>
        <v>5.9690629991266633E-2</v>
      </c>
      <c r="Z290" s="2">
        <f t="shared" ca="1" si="33"/>
        <v>5.0396848255176624E-2</v>
      </c>
    </row>
    <row r="291" spans="1:26">
      <c r="A291" s="22">
        <v>40968</v>
      </c>
      <c r="B291" s="25" t="s">
        <v>48</v>
      </c>
      <c r="C291" s="25" t="s">
        <v>46</v>
      </c>
      <c r="D291" s="25" t="s">
        <v>41</v>
      </c>
      <c r="E291" s="25" t="s">
        <v>41</v>
      </c>
      <c r="F291" s="25" t="s">
        <v>43</v>
      </c>
      <c r="H291" s="23">
        <f ca="1">'Index Data'!E400</f>
        <v>-2.29649420555222E-4</v>
      </c>
      <c r="I291" s="23">
        <f ca="1">'Index Data'!D400</f>
        <v>5.0816973426531888E-2</v>
      </c>
      <c r="J291" s="23">
        <f ca="1">'Index Data'!B400</f>
        <v>5.7686672571091856E-2</v>
      </c>
      <c r="K291" s="23">
        <f ca="1">'Index Data'!C400</f>
        <v>6.00848319061634E-2</v>
      </c>
      <c r="L291" s="23">
        <f ca="1">'Index Data'!AH400</f>
        <v>-1.52E-2</v>
      </c>
      <c r="M291" s="23">
        <f ca="1">'Index Data'!V400</f>
        <v>4.7825086220658036E-2</v>
      </c>
      <c r="N291" s="23">
        <f ca="1">'Index Data'!W400</f>
        <v>3.9863115708331141E-2</v>
      </c>
      <c r="O291" s="23">
        <f ca="1">'Index Data'!R400</f>
        <v>5.0873170676065546E-2</v>
      </c>
      <c r="P291" s="23">
        <f ca="1">'Index Data'!S400</f>
        <v>2.1848104210281556E-2</v>
      </c>
      <c r="Q291" s="23">
        <f ca="1">'Index Data'!U400</f>
        <v>4.3882335139801935E-2</v>
      </c>
      <c r="R291" s="24"/>
      <c r="S291" s="23">
        <f t="shared" ca="1" si="34"/>
        <v>2.0188999718279622E-2</v>
      </c>
      <c r="T291" s="2">
        <f t="shared" ca="1" si="29"/>
        <v>4.7825086220658036E-2</v>
      </c>
      <c r="U291" s="2">
        <f t="shared" ca="1" si="30"/>
        <v>4.7825086220658036E-2</v>
      </c>
      <c r="V291" s="2">
        <f t="shared" ca="1" si="31"/>
        <v>4.7825086220658036E-2</v>
      </c>
      <c r="W291" s="2">
        <f t="shared" ca="1" si="32"/>
        <v>4.7825086220658036E-2</v>
      </c>
      <c r="X291" s="2">
        <v>3.5683109011703351E-2</v>
      </c>
      <c r="Y291" s="2">
        <f t="shared" ca="1" si="35"/>
        <v>4.7825086220658036E-2</v>
      </c>
      <c r="Z291" s="2">
        <f t="shared" ca="1" si="33"/>
        <v>4.5396690778867099E-2</v>
      </c>
    </row>
    <row r="292" spans="1:26">
      <c r="A292" s="22">
        <v>40999</v>
      </c>
      <c r="B292" s="25" t="s">
        <v>45</v>
      </c>
      <c r="C292" s="25" t="s">
        <v>46</v>
      </c>
      <c r="D292" s="25" t="s">
        <v>41</v>
      </c>
      <c r="E292" s="25" t="s">
        <v>41</v>
      </c>
      <c r="F292" s="25" t="s">
        <v>39</v>
      </c>
      <c r="H292" s="23">
        <f ca="1">'Index Data'!E401</f>
        <v>-5.4792371646908387E-3</v>
      </c>
      <c r="I292" s="23">
        <f ca="1">'Index Data'!D401</f>
        <v>7.131035653410122E-3</v>
      </c>
      <c r="J292" s="23">
        <f ca="1">'Index Data'!B401</f>
        <v>-4.0424376182887226E-3</v>
      </c>
      <c r="K292" s="23">
        <f ca="1">'Index Data'!C401</f>
        <v>-3.3269575432624959E-2</v>
      </c>
      <c r="L292" s="23">
        <f ca="1">'Index Data'!AH401</f>
        <v>-2.4500000000000001E-2</v>
      </c>
      <c r="M292" s="23">
        <f ca="1">'Index Data'!V401</f>
        <v>3.2891112296035967E-2</v>
      </c>
      <c r="N292" s="23">
        <f ca="1">'Index Data'!W401</f>
        <v>2.9644009264937449E-2</v>
      </c>
      <c r="O292" s="23">
        <f ca="1">'Index Data'!R401</f>
        <v>4.3319693039108299E-2</v>
      </c>
      <c r="P292" s="23">
        <f ca="1">'Index Data'!S401</f>
        <v>2.5882527017875342E-2</v>
      </c>
      <c r="Q292" s="23">
        <f ca="1">'Index Data'!U401</f>
        <v>3.1290742460355049E-2</v>
      </c>
      <c r="R292" s="24"/>
      <c r="S292" s="23">
        <f t="shared" ca="1" si="34"/>
        <v>4.6089810897899305E-3</v>
      </c>
      <c r="T292" s="2">
        <f t="shared" ca="1" si="29"/>
        <v>3.2891112296035967E-2</v>
      </c>
      <c r="U292" s="2">
        <f t="shared" ca="1" si="30"/>
        <v>3.2891112296035967E-2</v>
      </c>
      <c r="V292" s="2">
        <f t="shared" ca="1" si="31"/>
        <v>3.2891112296035967E-2</v>
      </c>
      <c r="W292" s="2">
        <f t="shared" ca="1" si="32"/>
        <v>4.3319693039108299E-2</v>
      </c>
      <c r="X292" s="2">
        <v>2.2610331218471114E-2</v>
      </c>
      <c r="Y292" s="2">
        <f t="shared" ca="1" si="35"/>
        <v>3.2891112296035967E-2</v>
      </c>
      <c r="Z292" s="2">
        <f t="shared" ca="1" si="33"/>
        <v>3.1617099636253421E-2</v>
      </c>
    </row>
    <row r="293" spans="1:26">
      <c r="A293" s="22">
        <v>41029</v>
      </c>
      <c r="B293" s="25" t="s">
        <v>45</v>
      </c>
      <c r="C293" s="25" t="s">
        <v>46</v>
      </c>
      <c r="D293" s="25" t="s">
        <v>41</v>
      </c>
      <c r="E293" s="25" t="s">
        <v>41</v>
      </c>
      <c r="F293" s="25" t="s">
        <v>39</v>
      </c>
      <c r="H293" s="23">
        <f ca="1">'Index Data'!E402</f>
        <v>1.1086449519474427E-2</v>
      </c>
      <c r="I293" s="23">
        <f ca="1">'Index Data'!D402</f>
        <v>-1.0788480816869875E-2</v>
      </c>
      <c r="J293" s="23">
        <f ca="1">'Index Data'!B402</f>
        <v>-1.8419710930830831E-2</v>
      </c>
      <c r="K293" s="23">
        <f ca="1">'Index Data'!C402</f>
        <v>-1.1674040838370628E-2</v>
      </c>
      <c r="L293" s="23">
        <f ca="1">'Index Data'!AH402</f>
        <v>-3.0999999999999999E-3</v>
      </c>
      <c r="M293" s="23">
        <f ca="1">'Index Data'!V402</f>
        <v>-1.5435645364332291E-3</v>
      </c>
      <c r="N293" s="23">
        <f ca="1">'Index Data'!W402</f>
        <v>-1.0197252947355791E-2</v>
      </c>
      <c r="O293" s="23">
        <f ca="1">'Index Data'!R402</f>
        <v>1.8019142738243794E-2</v>
      </c>
      <c r="P293" s="23">
        <f ca="1">'Index Data'!S402</f>
        <v>1.3674312817241208E-2</v>
      </c>
      <c r="Q293" s="23">
        <f ca="1">'Index Data'!U402</f>
        <v>-5.802457557030522E-3</v>
      </c>
      <c r="R293" s="24"/>
      <c r="S293" s="23">
        <f t="shared" ca="1" si="34"/>
        <v>-6.4134947496010154E-3</v>
      </c>
      <c r="T293" s="2">
        <f t="shared" ca="1" si="29"/>
        <v>-1.5435645364332291E-3</v>
      </c>
      <c r="U293" s="2">
        <f t="shared" ca="1" si="30"/>
        <v>-1.5435645364332291E-3</v>
      </c>
      <c r="V293" s="2">
        <f t="shared" ca="1" si="31"/>
        <v>-1.5435645364332291E-3</v>
      </c>
      <c r="W293" s="2">
        <f t="shared" ca="1" si="32"/>
        <v>1.8019142738243794E-2</v>
      </c>
      <c r="X293" s="2">
        <v>8.2850533222424971E-3</v>
      </c>
      <c r="Y293" s="2">
        <f t="shared" ca="1" si="35"/>
        <v>-1.5435645364332291E-3</v>
      </c>
      <c r="Z293" s="2">
        <f t="shared" ca="1" si="33"/>
        <v>1.8893620809026931E-3</v>
      </c>
    </row>
    <row r="294" spans="1:26">
      <c r="A294" s="22">
        <v>41060</v>
      </c>
      <c r="B294" s="25" t="s">
        <v>45</v>
      </c>
      <c r="C294" s="25" t="s">
        <v>46</v>
      </c>
      <c r="D294" s="25" t="s">
        <v>41</v>
      </c>
      <c r="E294" s="25" t="s">
        <v>41</v>
      </c>
      <c r="F294" s="25" t="s">
        <v>39</v>
      </c>
      <c r="H294" s="23">
        <f ca="1">'Index Data'!E403</f>
        <v>9.0482611069633775E-3</v>
      </c>
      <c r="I294" s="23">
        <f ca="1">'Index Data'!D403</f>
        <v>-8.8763035900639498E-2</v>
      </c>
      <c r="J294" s="23">
        <f ca="1">'Index Data'!B403</f>
        <v>-0.11353190195379168</v>
      </c>
      <c r="K294" s="23">
        <f ca="1">'Index Data'!C403</f>
        <v>-0.11162487652115431</v>
      </c>
      <c r="L294" s="23">
        <f ca="1">'Index Data'!AH403</f>
        <v>-6.1100000000000002E-2</v>
      </c>
      <c r="M294" s="23">
        <f ca="1">'Index Data'!V403</f>
        <v>-6.4146652329404405E-2</v>
      </c>
      <c r="N294" s="23">
        <f ca="1">'Index Data'!W403</f>
        <v>-5.8640536315105109E-2</v>
      </c>
      <c r="O294" s="23">
        <f ca="1">'Index Data'!R403</f>
        <v>-4.6600989249070052E-2</v>
      </c>
      <c r="P294" s="23">
        <f ca="1">'Index Data'!S403</f>
        <v>-2.4768784545504297E-2</v>
      </c>
      <c r="Q294" s="23">
        <f ca="1">'Index Data'!U403</f>
        <v>-6.1451606573958054E-2</v>
      </c>
      <c r="R294" s="24"/>
      <c r="S294" s="23">
        <f t="shared" ca="1" si="34"/>
        <v>-6.9200776499118918E-2</v>
      </c>
      <c r="T294" s="2">
        <f t="shared" ca="1" si="29"/>
        <v>-6.4146652329404405E-2</v>
      </c>
      <c r="U294" s="2">
        <f t="shared" ca="1" si="30"/>
        <v>-6.4146652329404405E-2</v>
      </c>
      <c r="V294" s="2">
        <f t="shared" ca="1" si="31"/>
        <v>-6.4146652329404405E-2</v>
      </c>
      <c r="W294" s="2">
        <f t="shared" ca="1" si="32"/>
        <v>-4.6600989249070052E-2</v>
      </c>
      <c r="X294" s="2">
        <v>-3.6637093979397073E-2</v>
      </c>
      <c r="Y294" s="2">
        <f t="shared" ca="1" si="35"/>
        <v>-6.4146652329404405E-2</v>
      </c>
      <c r="Z294" s="2">
        <f t="shared" ca="1" si="33"/>
        <v>-5.7328815928377859E-2</v>
      </c>
    </row>
    <row r="295" spans="1:26">
      <c r="A295" s="22">
        <v>41090</v>
      </c>
      <c r="B295" s="25" t="s">
        <v>45</v>
      </c>
      <c r="C295" s="25" t="s">
        <v>46</v>
      </c>
      <c r="D295" s="25" t="s">
        <v>41</v>
      </c>
      <c r="E295" s="25" t="s">
        <v>41</v>
      </c>
      <c r="F295" s="25" t="s">
        <v>39</v>
      </c>
      <c r="H295" s="23">
        <f ca="1">'Index Data'!E404</f>
        <v>3.9203560345876803E-4</v>
      </c>
      <c r="I295" s="23">
        <f ca="1">'Index Data'!D404</f>
        <v>4.9885963255042916E-2</v>
      </c>
      <c r="J295" s="23">
        <f ca="1">'Index Data'!B404</f>
        <v>7.0495980387975068E-2</v>
      </c>
      <c r="K295" s="23">
        <f ca="1">'Index Data'!C404</f>
        <v>3.9066196649947926E-2</v>
      </c>
      <c r="L295" s="23">
        <f ca="1">'Index Data'!AH404</f>
        <v>2.6600000000000002E-2</v>
      </c>
      <c r="M295" s="23">
        <f ca="1">'Index Data'!V404</f>
        <v>2.7153822716410102E-2</v>
      </c>
      <c r="N295" s="23">
        <f ca="1">'Index Data'!W404</f>
        <v>4.9649072801519464E-2</v>
      </c>
      <c r="O295" s="23">
        <f ca="1">'Index Data'!R404</f>
        <v>3.0956566479440891E-2</v>
      </c>
      <c r="P295" s="23">
        <f ca="1">'Index Data'!S404</f>
        <v>3.9050750824897389E-2</v>
      </c>
      <c r="Q295" s="23">
        <f ca="1">'Index Data'!U404</f>
        <v>3.8284295170963288E-2</v>
      </c>
      <c r="R295" s="24"/>
      <c r="S295" s="23">
        <f t="shared" ca="1" si="34"/>
        <v>3.9987177724726083E-2</v>
      </c>
      <c r="T295" s="2">
        <f t="shared" ca="1" si="29"/>
        <v>2.7153822716410102E-2</v>
      </c>
      <c r="U295" s="2">
        <f t="shared" ca="1" si="30"/>
        <v>2.7153822716410102E-2</v>
      </c>
      <c r="V295" s="2">
        <f t="shared" ca="1" si="31"/>
        <v>2.7153822716410102E-2</v>
      </c>
      <c r="W295" s="2">
        <f t="shared" ca="1" si="32"/>
        <v>3.0956566479440891E-2</v>
      </c>
      <c r="X295" s="2">
        <v>3.876348575139632E-2</v>
      </c>
      <c r="Y295" s="2">
        <f t="shared" ca="1" si="35"/>
        <v>2.7153822716410106E-2</v>
      </c>
      <c r="Z295" s="2">
        <f t="shared" ca="1" si="33"/>
        <v>2.9760961105634656E-2</v>
      </c>
    </row>
    <row r="296" spans="1:26">
      <c r="A296" s="22">
        <v>41121</v>
      </c>
      <c r="B296" s="25" t="s">
        <v>45</v>
      </c>
      <c r="C296" s="25" t="s">
        <v>46</v>
      </c>
      <c r="D296" s="25" t="s">
        <v>41</v>
      </c>
      <c r="E296" s="25" t="s">
        <v>41</v>
      </c>
      <c r="F296" s="25" t="s">
        <v>39</v>
      </c>
      <c r="H296" s="23">
        <f ca="1">'Index Data'!E405</f>
        <v>1.3793141513547531E-2</v>
      </c>
      <c r="I296" s="23">
        <f ca="1">'Index Data'!D405</f>
        <v>1.40192637335728E-2</v>
      </c>
      <c r="J296" s="23">
        <f ca="1">'Index Data'!B405</f>
        <v>1.1462897206374901E-2</v>
      </c>
      <c r="K296" s="23">
        <f ca="1">'Index Data'!C405</f>
        <v>2.0224616768273578E-2</v>
      </c>
      <c r="L296" s="23">
        <f ca="1">'Index Data'!AH405</f>
        <v>3.9000000000000003E-3</v>
      </c>
      <c r="M296" s="23">
        <f ca="1">'Index Data'!V405</f>
        <v>1.3403834057639482E-2</v>
      </c>
      <c r="N296" s="23">
        <f ca="1">'Index Data'!W405</f>
        <v>1.0349787600150501E-2</v>
      </c>
      <c r="O296" s="23">
        <f ca="1">'Index Data'!R405</f>
        <v>1.3339571636514912E-2</v>
      </c>
      <c r="P296" s="23">
        <f ca="1">'Index Data'!S405</f>
        <v>1.8983274196248637E-2</v>
      </c>
      <c r="Q296" s="23">
        <f ca="1">'Index Data'!U405</f>
        <v>1.1861257660801115E-2</v>
      </c>
      <c r="R296" s="24"/>
      <c r="S296" s="23">
        <f t="shared" ca="1" si="34"/>
        <v>1.3974039289567747E-2</v>
      </c>
      <c r="T296" s="2">
        <f t="shared" ca="1" si="29"/>
        <v>1.3403834057639482E-2</v>
      </c>
      <c r="U296" s="2">
        <f t="shared" ca="1" si="30"/>
        <v>1.3403834057639482E-2</v>
      </c>
      <c r="V296" s="2">
        <f t="shared" ca="1" si="31"/>
        <v>1.3403834057639482E-2</v>
      </c>
      <c r="W296" s="2">
        <f t="shared" ca="1" si="32"/>
        <v>1.3339571636514912E-2</v>
      </c>
      <c r="X296" s="2">
        <v>2.1657535902969149E-2</v>
      </c>
      <c r="Y296" s="2">
        <f t="shared" ca="1" si="35"/>
        <v>1.3403834057639482E-2</v>
      </c>
      <c r="Z296" s="2">
        <f t="shared" ca="1" si="33"/>
        <v>1.5049754745121071E-2</v>
      </c>
    </row>
    <row r="297" spans="1:26">
      <c r="A297" s="22">
        <v>41152</v>
      </c>
      <c r="B297" s="25" t="s">
        <v>45</v>
      </c>
      <c r="C297" s="25" t="s">
        <v>46</v>
      </c>
      <c r="D297" s="25" t="s">
        <v>41</v>
      </c>
      <c r="E297" s="25" t="s">
        <v>41</v>
      </c>
      <c r="F297" s="25" t="s">
        <v>39</v>
      </c>
      <c r="H297" s="23">
        <f ca="1">'Index Data'!E406</f>
        <v>6.5332433197589528E-4</v>
      </c>
      <c r="I297" s="23">
        <f ca="1">'Index Data'!D406</f>
        <v>2.224474525293586E-2</v>
      </c>
      <c r="J297" s="23">
        <f ca="1">'Index Data'!B406</f>
        <v>2.6962601553195915E-2</v>
      </c>
      <c r="K297" s="23">
        <f ca="1">'Index Data'!C406</f>
        <v>-2.8901411594041532E-3</v>
      </c>
      <c r="L297" s="23">
        <f ca="1">'Index Data'!AH406</f>
        <v>4.6399999999999997E-2</v>
      </c>
      <c r="M297" s="23">
        <f ca="1">'Index Data'!V406</f>
        <v>2.6904501187585705E-2</v>
      </c>
      <c r="N297" s="23">
        <f ca="1">'Index Data'!W406</f>
        <v>2.1711623129438286E-2</v>
      </c>
      <c r="O297" s="23">
        <f ca="1">'Index Data'!R406</f>
        <v>1.3738546935760224E-2</v>
      </c>
      <c r="P297" s="23">
        <f ca="1">'Index Data'!S406</f>
        <v>-5.1940342806263491E-4</v>
      </c>
      <c r="Q297" s="23">
        <f ca="1">'Index Data'!U406</f>
        <v>2.4281491352173112E-2</v>
      </c>
      <c r="R297" s="24"/>
      <c r="S297" s="23">
        <f t="shared" ca="1" si="34"/>
        <v>1.7926461068743869E-2</v>
      </c>
      <c r="T297" s="2">
        <f t="shared" ca="1" si="29"/>
        <v>2.6904501187585705E-2</v>
      </c>
      <c r="U297" s="2">
        <f t="shared" ca="1" si="30"/>
        <v>2.6904501187585705E-2</v>
      </c>
      <c r="V297" s="2">
        <f t="shared" ca="1" si="31"/>
        <v>2.6904501187585705E-2</v>
      </c>
      <c r="W297" s="2">
        <f t="shared" ca="1" si="32"/>
        <v>1.3738546935760224E-2</v>
      </c>
      <c r="X297" s="2">
        <v>2.2297000890704854E-2</v>
      </c>
      <c r="Y297" s="2">
        <f t="shared" ca="1" si="35"/>
        <v>2.6904501187585705E-2</v>
      </c>
      <c r="Z297" s="2">
        <f t="shared" ca="1" si="33"/>
        <v>2.4995554559322623E-2</v>
      </c>
    </row>
    <row r="298" spans="1:26">
      <c r="A298" s="22">
        <v>41182</v>
      </c>
      <c r="B298" s="25" t="s">
        <v>45</v>
      </c>
      <c r="C298" s="25" t="s">
        <v>46</v>
      </c>
      <c r="D298" s="25" t="s">
        <v>41</v>
      </c>
      <c r="E298" s="25" t="s">
        <v>41</v>
      </c>
      <c r="F298" s="25" t="s">
        <v>39</v>
      </c>
      <c r="H298" s="23">
        <f ca="1">'Index Data'!E407</f>
        <v>1.3765261485559929E-3</v>
      </c>
      <c r="I298" s="23">
        <f ca="1">'Index Data'!D407</f>
        <v>3.1915312477628979E-2</v>
      </c>
      <c r="J298" s="23">
        <f ca="1">'Index Data'!B407</f>
        <v>2.9934197177502477E-2</v>
      </c>
      <c r="K298" s="23">
        <f ca="1">'Index Data'!C407</f>
        <v>6.0544339495948826E-2</v>
      </c>
      <c r="L298" s="23">
        <f ca="1">'Index Data'!AH407</f>
        <v>5.0900000000000001E-2</v>
      </c>
      <c r="M298" s="23">
        <f ca="1">'Index Data'!V407</f>
        <v>1.9611075338055461E-2</v>
      </c>
      <c r="N298" s="23">
        <f ca="1">'Index Data'!W407</f>
        <v>3.1742538387309754E-2</v>
      </c>
      <c r="O298" s="23">
        <f ca="1">'Index Data'!R407</f>
        <v>1.830934596465662E-2</v>
      </c>
      <c r="P298" s="23">
        <f ca="1">'Index Data'!S407</f>
        <v>1.5452327924488337E-2</v>
      </c>
      <c r="Q298" s="23">
        <f ca="1">'Index Data'!U407</f>
        <v>2.5722407856363858E-2</v>
      </c>
      <c r="R298" s="24"/>
      <c r="S298" s="23">
        <f t="shared" ca="1" si="34"/>
        <v>2.5807555211814381E-2</v>
      </c>
      <c r="T298" s="2">
        <f t="shared" ca="1" si="29"/>
        <v>1.9611075338055461E-2</v>
      </c>
      <c r="U298" s="2">
        <f t="shared" ca="1" si="30"/>
        <v>1.9611075338055461E-2</v>
      </c>
      <c r="V298" s="2">
        <f t="shared" ca="1" si="31"/>
        <v>1.9611075338055461E-2</v>
      </c>
      <c r="W298" s="2">
        <f t="shared" ca="1" si="32"/>
        <v>1.830934596465662E-2</v>
      </c>
      <c r="X298" s="2">
        <v>1.8422772749816962E-2</v>
      </c>
      <c r="Y298" s="2">
        <f t="shared" ca="1" si="35"/>
        <v>1.9611075338055461E-2</v>
      </c>
      <c r="Z298" s="2">
        <f t="shared" ca="1" si="33"/>
        <v>1.9275785117402848E-2</v>
      </c>
    </row>
    <row r="299" spans="1:26">
      <c r="A299" s="22">
        <v>41213</v>
      </c>
      <c r="B299" s="25" t="s">
        <v>45</v>
      </c>
      <c r="C299" s="25" t="s">
        <v>46</v>
      </c>
      <c r="D299" s="25" t="s">
        <v>41</v>
      </c>
      <c r="E299" s="25" t="s">
        <v>41</v>
      </c>
      <c r="F299" s="25" t="s">
        <v>39</v>
      </c>
      <c r="H299" s="23">
        <f ca="1">'Index Data'!E408</f>
        <v>1.9668675189758655E-3</v>
      </c>
      <c r="I299" s="23">
        <f ca="1">'Index Data'!D408</f>
        <v>-6.4083330876370968E-3</v>
      </c>
      <c r="J299" s="23">
        <f ca="1">'Index Data'!B408</f>
        <v>8.4014208651390469E-3</v>
      </c>
      <c r="K299" s="23">
        <f ca="1">'Index Data'!C408</f>
        <v>-5.9673300550830179E-3</v>
      </c>
      <c r="L299" s="23">
        <f ca="1">'Index Data'!AH408</f>
        <v>-2.9399999999999999E-2</v>
      </c>
      <c r="M299" s="23">
        <f ca="1">'Index Data'!V408</f>
        <v>-2.9186791423317128E-2</v>
      </c>
      <c r="N299" s="23">
        <f ca="1">'Index Data'!W408</f>
        <v>-4.9099299230568536E-3</v>
      </c>
      <c r="O299" s="23">
        <f ca="1">'Index Data'!R408</f>
        <v>-2.3566011668704256E-2</v>
      </c>
      <c r="P299" s="23">
        <f ca="1">'Index Data'!S408</f>
        <v>-9.8384283580687359E-3</v>
      </c>
      <c r="Q299" s="23">
        <f ca="1">'Index Data'!U408</f>
        <v>-1.6882633088706505E-2</v>
      </c>
      <c r="R299" s="24"/>
      <c r="S299" s="23">
        <f t="shared" ca="1" si="34"/>
        <v>-4.733292966314505E-3</v>
      </c>
      <c r="T299" s="2">
        <f t="shared" ca="1" si="29"/>
        <v>-2.9186791423317128E-2</v>
      </c>
      <c r="U299" s="2">
        <f t="shared" ca="1" si="30"/>
        <v>-2.9186791423317128E-2</v>
      </c>
      <c r="V299" s="2">
        <f t="shared" ca="1" si="31"/>
        <v>-2.9186791423317128E-2</v>
      </c>
      <c r="W299" s="2">
        <f t="shared" ca="1" si="32"/>
        <v>-2.3566011668704256E-2</v>
      </c>
      <c r="X299" s="2">
        <v>6.5922226812631379E-4</v>
      </c>
      <c r="Y299" s="2">
        <f t="shared" ca="1" si="35"/>
        <v>-2.9186791423317128E-2</v>
      </c>
      <c r="Z299" s="2">
        <f t="shared" ca="1" si="33"/>
        <v>-2.2796030203432474E-2</v>
      </c>
    </row>
    <row r="300" spans="1:26">
      <c r="A300" s="22">
        <v>41243</v>
      </c>
      <c r="B300" s="25" t="s">
        <v>45</v>
      </c>
      <c r="C300" s="25" t="s">
        <v>46</v>
      </c>
      <c r="D300" s="25" t="s">
        <v>41</v>
      </c>
      <c r="E300" s="25" t="s">
        <v>41</v>
      </c>
      <c r="F300" s="25" t="s">
        <v>39</v>
      </c>
      <c r="H300" s="23">
        <f ca="1">'Index Data'!E409</f>
        <v>1.5779969741501765E-3</v>
      </c>
      <c r="I300" s="23">
        <f ca="1">'Index Data'!D409</f>
        <v>1.3271123306417464E-2</v>
      </c>
      <c r="J300" s="23">
        <f ca="1">'Index Data'!B409</f>
        <v>2.426122484525475E-2</v>
      </c>
      <c r="K300" s="23">
        <f ca="1">'Index Data'!C409</f>
        <v>1.277063285226721E-2</v>
      </c>
      <c r="L300" s="23">
        <f ca="1">'Index Data'!AH409</f>
        <v>-4.7999999999999996E-3</v>
      </c>
      <c r="M300" s="23">
        <f ca="1">'Index Data'!V409</f>
        <v>1.674516232555319E-2</v>
      </c>
      <c r="N300" s="23">
        <f ca="1">'Index Data'!W409</f>
        <v>-4.1477354886336601E-4</v>
      </c>
      <c r="O300" s="23">
        <f ca="1">'Index Data'!R409</f>
        <v>1.7915309446254093E-2</v>
      </c>
      <c r="P300" s="23">
        <f ca="1">'Index Data'!S409</f>
        <v>1.9460998892463766E-3</v>
      </c>
      <c r="Q300" s="23">
        <f ca="1">'Index Data'!U409</f>
        <v>7.9445375085000977E-3</v>
      </c>
      <c r="R300" s="24"/>
      <c r="S300" s="23">
        <f t="shared" ca="1" si="34"/>
        <v>1.0932498039964007E-2</v>
      </c>
      <c r="T300" s="2">
        <f t="shared" ca="1" si="29"/>
        <v>1.674516232555319E-2</v>
      </c>
      <c r="U300" s="2">
        <f t="shared" ca="1" si="30"/>
        <v>1.674516232555319E-2</v>
      </c>
      <c r="V300" s="2">
        <f t="shared" ca="1" si="31"/>
        <v>1.674516232555319E-2</v>
      </c>
      <c r="W300" s="2">
        <f t="shared" ca="1" si="32"/>
        <v>1.7915309446254093E-2</v>
      </c>
      <c r="X300" s="2">
        <v>1.1017893079159347E-2</v>
      </c>
      <c r="Y300" s="2">
        <f t="shared" ca="1" si="35"/>
        <v>1.674516232555319E-2</v>
      </c>
      <c r="Z300" s="2">
        <f t="shared" ca="1" si="33"/>
        <v>1.5687469510326991E-2</v>
      </c>
    </row>
    <row r="301" spans="1:26">
      <c r="A301" s="22">
        <v>41274</v>
      </c>
      <c r="B301" s="25" t="s">
        <v>45</v>
      </c>
      <c r="C301" s="25" t="s">
        <v>46</v>
      </c>
      <c r="D301" s="25" t="s">
        <v>41</v>
      </c>
      <c r="E301" s="25" t="s">
        <v>41</v>
      </c>
      <c r="F301" s="25" t="s">
        <v>39</v>
      </c>
      <c r="H301" s="23">
        <f ca="1">'Index Data'!E410</f>
        <v>-1.4239152797478542E-3</v>
      </c>
      <c r="I301" s="23">
        <f ca="1">'Index Data'!D410</f>
        <v>2.3135188397608385E-2</v>
      </c>
      <c r="J301" s="23">
        <f ca="1">'Index Data'!B410</f>
        <v>3.2118038422004357E-2</v>
      </c>
      <c r="K301" s="23">
        <f ca="1">'Index Data'!C410</f>
        <v>4.9018117783938733E-2</v>
      </c>
      <c r="L301" s="23">
        <f ca="1">'Index Data'!AH410</f>
        <v>-2.0499999999999997E-2</v>
      </c>
      <c r="M301" s="23">
        <f ca="1">'Index Data'!V410</f>
        <v>-2.763948556434618E-4</v>
      </c>
      <c r="N301" s="23">
        <f ca="1">'Index Data'!W410</f>
        <v>2.0654649738914219E-2</v>
      </c>
      <c r="O301" s="23">
        <f ca="1">'Index Data'!R410</f>
        <v>-1.0149999999999977E-2</v>
      </c>
      <c r="P301" s="23">
        <f ca="1">'Index Data'!S410</f>
        <v>-8.1272140605014535E-3</v>
      </c>
      <c r="Q301" s="23">
        <f ca="1">'Index Data'!U410</f>
        <v>1.0370666653165262E-2</v>
      </c>
      <c r="R301" s="24"/>
      <c r="S301" s="23">
        <f t="shared" ca="1" si="34"/>
        <v>1.8223367662137138E-2</v>
      </c>
      <c r="T301" s="2">
        <f t="shared" ca="1" si="29"/>
        <v>-2.763948556434618E-4</v>
      </c>
      <c r="U301" s="2">
        <f t="shared" ca="1" si="30"/>
        <v>-2.763948556434618E-4</v>
      </c>
      <c r="V301" s="2">
        <f t="shared" ca="1" si="31"/>
        <v>-2.763948556434618E-4</v>
      </c>
      <c r="W301" s="2">
        <f t="shared" ca="1" si="32"/>
        <v>-1.0149999999999977E-2</v>
      </c>
      <c r="X301" s="2">
        <v>9.0805351743417084E-3</v>
      </c>
      <c r="Y301" s="2">
        <f t="shared" ca="1" si="35"/>
        <v>-2.763948556434618E-4</v>
      </c>
      <c r="Z301" s="2">
        <f t="shared" ca="1" si="33"/>
        <v>8.5447076452683363E-4</v>
      </c>
    </row>
    <row r="302" spans="1:26">
      <c r="A302" s="22">
        <v>41305</v>
      </c>
      <c r="B302" s="25" t="s">
        <v>45</v>
      </c>
      <c r="C302" s="25" t="s">
        <v>46</v>
      </c>
      <c r="D302" s="25" t="s">
        <v>41</v>
      </c>
      <c r="E302" s="25" t="s">
        <v>41</v>
      </c>
      <c r="F302" s="25" t="s">
        <v>39</v>
      </c>
      <c r="H302" s="23">
        <f ca="1">'Index Data'!E411</f>
        <v>-6.9941823583949663E-3</v>
      </c>
      <c r="I302" s="23">
        <f ca="1">'Index Data'!D411</f>
        <v>4.6355553086132775E-2</v>
      </c>
      <c r="J302" s="23">
        <f ca="1">'Index Data'!B411</f>
        <v>5.2924482227521177E-2</v>
      </c>
      <c r="K302" s="23">
        <f ca="1">'Index Data'!C411</f>
        <v>1.3938848920863356E-2</v>
      </c>
      <c r="L302" s="23">
        <f ca="1">'Index Data'!AH411</f>
        <v>-9.1000000000000004E-3</v>
      </c>
      <c r="M302" s="23">
        <f ca="1">'Index Data'!V411</f>
        <v>4.2859873437596056E-2</v>
      </c>
      <c r="N302" s="23">
        <f ca="1">'Index Data'!W411</f>
        <v>6.4995549101614786E-2</v>
      </c>
      <c r="O302" s="23">
        <f ca="1">'Index Data'!R411</f>
        <v>4.3794514320351592E-2</v>
      </c>
      <c r="P302" s="23">
        <f ca="1">'Index Data'!S411</f>
        <v>5.0930028922440113E-2</v>
      </c>
      <c r="Q302" s="23">
        <f ca="1">'Index Data'!U411</f>
        <v>5.4233796508571588E-2</v>
      </c>
      <c r="R302" s="24"/>
      <c r="S302" s="23">
        <f t="shared" ca="1" si="34"/>
        <v>3.5685605997227227E-2</v>
      </c>
      <c r="T302" s="2">
        <f t="shared" ca="1" si="29"/>
        <v>4.2859873437596056E-2</v>
      </c>
      <c r="U302" s="2">
        <f t="shared" ca="1" si="30"/>
        <v>4.2859873437596056E-2</v>
      </c>
      <c r="V302" s="2">
        <f t="shared" ca="1" si="31"/>
        <v>4.2859873437596056E-2</v>
      </c>
      <c r="W302" s="2">
        <f t="shared" ca="1" si="32"/>
        <v>4.3794514320351592E-2</v>
      </c>
      <c r="X302" s="2">
        <v>7.069196916031073E-2</v>
      </c>
      <c r="Y302" s="2">
        <f t="shared" ca="1" si="35"/>
        <v>4.2859873437596056E-2</v>
      </c>
      <c r="Z302" s="2">
        <f t="shared" ca="1" si="33"/>
        <v>4.8496390648345655E-2</v>
      </c>
    </row>
    <row r="303" spans="1:26">
      <c r="A303" s="22">
        <v>41333</v>
      </c>
      <c r="B303" s="25" t="s">
        <v>45</v>
      </c>
      <c r="C303" s="25" t="s">
        <v>46</v>
      </c>
      <c r="D303" s="25" t="s">
        <v>41</v>
      </c>
      <c r="E303" s="25" t="s">
        <v>41</v>
      </c>
      <c r="F303" s="25" t="s">
        <v>39</v>
      </c>
      <c r="H303" s="23">
        <f ca="1">'Index Data'!E412</f>
        <v>5.0123123795380066E-3</v>
      </c>
      <c r="I303" s="23">
        <f ca="1">'Index Data'!D412</f>
        <v>2.9768465701105157E-4</v>
      </c>
      <c r="J303" s="23">
        <f ca="1">'Index Data'!B412</f>
        <v>-9.2347080001012743E-3</v>
      </c>
      <c r="K303" s="23">
        <f ca="1">'Index Data'!C412</f>
        <v>-1.2416851441241708E-2</v>
      </c>
      <c r="L303" s="23">
        <f ca="1">'Index Data'!AH412</f>
        <v>-4.9699999999999994E-2</v>
      </c>
      <c r="M303" s="23">
        <f ca="1">'Index Data'!V412</f>
        <v>1.2443746215654389E-2</v>
      </c>
      <c r="N303" s="23">
        <f ca="1">'Index Data'!W412</f>
        <v>1.4354256896370501E-2</v>
      </c>
      <c r="O303" s="23">
        <f ca="1">'Index Data'!R412</f>
        <v>2.0654277971351061E-2</v>
      </c>
      <c r="P303" s="23">
        <f ca="1">'Index Data'!S412</f>
        <v>2.7071382402844055E-2</v>
      </c>
      <c r="Q303" s="23">
        <f ca="1">'Index Data'!U412</f>
        <v>1.3435209279587267E-2</v>
      </c>
      <c r="R303" s="24"/>
      <c r="S303" s="23">
        <f t="shared" ca="1" si="34"/>
        <v>1.2406102015164425E-3</v>
      </c>
      <c r="T303" s="2">
        <f t="shared" ca="1" si="29"/>
        <v>1.2443746215654389E-2</v>
      </c>
      <c r="U303" s="2">
        <f t="shared" ca="1" si="30"/>
        <v>1.2443746215654389E-2</v>
      </c>
      <c r="V303" s="2">
        <f t="shared" ca="1" si="31"/>
        <v>1.2443746215654389E-2</v>
      </c>
      <c r="W303" s="2">
        <f t="shared" ca="1" si="32"/>
        <v>2.0654277971351061E-2</v>
      </c>
      <c r="X303" s="2">
        <v>1.976882420871795E-2</v>
      </c>
      <c r="Y303" s="2">
        <f t="shared" ca="1" si="35"/>
        <v>1.2443746215654389E-2</v>
      </c>
      <c r="Z303" s="2">
        <f t="shared" ca="1" si="33"/>
        <v>1.4524551695944351E-2</v>
      </c>
    </row>
    <row r="304" spans="1:26">
      <c r="A304" s="22">
        <v>41364</v>
      </c>
      <c r="B304" s="25" t="s">
        <v>45</v>
      </c>
      <c r="C304" s="25" t="s">
        <v>47</v>
      </c>
      <c r="D304" s="25" t="s">
        <v>41</v>
      </c>
      <c r="E304" s="25" t="s">
        <v>41</v>
      </c>
      <c r="F304" s="25" t="s">
        <v>39</v>
      </c>
      <c r="H304" s="23">
        <f ca="1">'Index Data'!E413</f>
        <v>7.9862224081450085E-4</v>
      </c>
      <c r="I304" s="23">
        <f ca="1">'Index Data'!D413</f>
        <v>1.8761421254471999E-2</v>
      </c>
      <c r="J304" s="23">
        <f ca="1">'Index Data'!B413</f>
        <v>8.7558493953010207E-3</v>
      </c>
      <c r="K304" s="23">
        <f ca="1">'Index Data'!C413</f>
        <v>-1.7008431871476284E-2</v>
      </c>
      <c r="L304" s="23">
        <f ca="1">'Index Data'!AH413</f>
        <v>1.06E-2</v>
      </c>
      <c r="M304" s="23">
        <f ca="1">'Index Data'!V413</f>
        <v>3.7512486382165679E-2</v>
      </c>
      <c r="N304" s="23">
        <f ca="1">'Index Data'!W413</f>
        <v>3.9616483255956347E-2</v>
      </c>
      <c r="O304" s="23">
        <f ca="1">'Index Data'!R413</f>
        <v>5.0211466611034247E-2</v>
      </c>
      <c r="P304" s="23">
        <f ca="1">'Index Data'!S413</f>
        <v>5.1235784909018416E-2</v>
      </c>
      <c r="Q304" s="23">
        <f ca="1">'Index Data'!U413</f>
        <v>3.8605521265645842E-2</v>
      </c>
      <c r="R304" s="24"/>
      <c r="S304" s="23">
        <f t="shared" ca="1" si="34"/>
        <v>1.5168861451740501E-2</v>
      </c>
      <c r="T304" s="2">
        <f t="shared" ca="1" si="29"/>
        <v>3.9616483255956347E-2</v>
      </c>
      <c r="U304" s="2">
        <f t="shared" ca="1" si="30"/>
        <v>3.9616483255956347E-2</v>
      </c>
      <c r="V304" s="2">
        <f t="shared" ca="1" si="31"/>
        <v>3.9616483255956347E-2</v>
      </c>
      <c r="W304" s="2">
        <f t="shared" ca="1" si="32"/>
        <v>5.0211466611034247E-2</v>
      </c>
      <c r="X304" s="2">
        <v>4.7673743451964512E-2</v>
      </c>
      <c r="Y304" s="2">
        <f t="shared" ca="1" si="35"/>
        <v>3.9616483255956347E-2</v>
      </c>
      <c r="Z304" s="2">
        <f t="shared" ca="1" si="33"/>
        <v>4.2022559046788824E-2</v>
      </c>
    </row>
    <row r="305" spans="1:26">
      <c r="A305" s="22">
        <v>41394</v>
      </c>
      <c r="B305" s="25" t="s">
        <v>45</v>
      </c>
      <c r="C305" s="25" t="s">
        <v>47</v>
      </c>
      <c r="D305" s="25" t="s">
        <v>41</v>
      </c>
      <c r="E305" s="25" t="s">
        <v>41</v>
      </c>
      <c r="F305" s="25" t="s">
        <v>39</v>
      </c>
      <c r="H305" s="23">
        <f ca="1">'Index Data'!E414</f>
        <v>1.0118666333720494E-2</v>
      </c>
      <c r="I305" s="23">
        <f ca="1">'Index Data'!D414</f>
        <v>2.9239978462398276E-2</v>
      </c>
      <c r="J305" s="23">
        <f ca="1">'Index Data'!B414</f>
        <v>5.3304350409145086E-2</v>
      </c>
      <c r="K305" s="23">
        <f ca="1">'Index Data'!C414</f>
        <v>7.9280888839260242E-3</v>
      </c>
      <c r="L305" s="23">
        <f ca="1">'Index Data'!AH414</f>
        <v>-7.690000000000001E-2</v>
      </c>
      <c r="M305" s="23">
        <f ca="1">'Index Data'!V414</f>
        <v>2.1226642903212741E-2</v>
      </c>
      <c r="N305" s="23">
        <f ca="1">'Index Data'!W414</f>
        <v>1.5120736741541681E-2</v>
      </c>
      <c r="O305" s="23">
        <f ca="1">'Index Data'!R414</f>
        <v>2.9110872332933042E-2</v>
      </c>
      <c r="P305" s="23">
        <f ca="1">'Index Data'!S414</f>
        <v>2.7350875059631279E-2</v>
      </c>
      <c r="Q305" s="23">
        <f ca="1">'Index Data'!U414</f>
        <v>1.8058594411515635E-2</v>
      </c>
      <c r="R305" s="24"/>
      <c r="S305" s="23">
        <f t="shared" ca="1" si="34"/>
        <v>2.5415716036662719E-2</v>
      </c>
      <c r="T305" s="2">
        <f t="shared" ca="1" si="29"/>
        <v>1.5120736741541681E-2</v>
      </c>
      <c r="U305" s="2">
        <f t="shared" ca="1" si="30"/>
        <v>1.5120736741541681E-2</v>
      </c>
      <c r="V305" s="2">
        <f t="shared" ca="1" si="31"/>
        <v>1.5120736741541681E-2</v>
      </c>
      <c r="W305" s="2">
        <f t="shared" ca="1" si="32"/>
        <v>2.9110872332933042E-2</v>
      </c>
      <c r="X305" s="2">
        <v>2.744164344197908E-2</v>
      </c>
      <c r="Y305" s="2">
        <f t="shared" ca="1" si="35"/>
        <v>1.5120736741541681E-2</v>
      </c>
      <c r="Z305" s="2">
        <f t="shared" ca="1" si="33"/>
        <v>1.8634178250983513E-2</v>
      </c>
    </row>
    <row r="306" spans="1:26">
      <c r="A306" s="22">
        <v>41425</v>
      </c>
      <c r="B306" s="25" t="s">
        <v>45</v>
      </c>
      <c r="C306" s="25" t="s">
        <v>47</v>
      </c>
      <c r="D306" s="25" t="s">
        <v>41</v>
      </c>
      <c r="E306" s="25" t="s">
        <v>41</v>
      </c>
      <c r="F306" s="25" t="s">
        <v>39</v>
      </c>
      <c r="H306" s="23">
        <f ca="1">'Index Data'!E415</f>
        <v>-1.7841980244843583E-2</v>
      </c>
      <c r="I306" s="23">
        <f ca="1">'Index Data'!D415</f>
        <v>-1.9023394172396372E-3</v>
      </c>
      <c r="J306" s="23">
        <f ca="1">'Index Data'!B415</f>
        <v>-2.305603581705681E-2</v>
      </c>
      <c r="K306" s="23">
        <f ca="1">'Index Data'!C415</f>
        <v>-2.5183424563029057E-2</v>
      </c>
      <c r="L306" s="23">
        <f ca="1">'Index Data'!AH415</f>
        <v>-5.4000000000000006E-2</v>
      </c>
      <c r="M306" s="23">
        <f ca="1">'Index Data'!V415</f>
        <v>1.857798619999481E-2</v>
      </c>
      <c r="N306" s="23">
        <f ca="1">'Index Data'!W415</f>
        <v>2.566663903998738E-2</v>
      </c>
      <c r="O306" s="23">
        <f ca="1">'Index Data'!R415</f>
        <v>-6.5805059092943069E-4</v>
      </c>
      <c r="P306" s="23">
        <f ca="1">'Index Data'!S415</f>
        <v>-2.4410230262858344E-2</v>
      </c>
      <c r="Q306" s="23">
        <f ca="1">'Index Data'!U415</f>
        <v>2.224397263351726E-2</v>
      </c>
      <c r="R306" s="24"/>
      <c r="S306" s="23">
        <f t="shared" ca="1" si="34"/>
        <v>-5.0902675827604266E-3</v>
      </c>
      <c r="T306" s="2">
        <f t="shared" ca="1" si="29"/>
        <v>2.566663903998738E-2</v>
      </c>
      <c r="U306" s="2">
        <f t="shared" ca="1" si="30"/>
        <v>2.566663903998738E-2</v>
      </c>
      <c r="V306" s="2">
        <f t="shared" ca="1" si="31"/>
        <v>2.566663903998738E-2</v>
      </c>
      <c r="W306" s="2">
        <f t="shared" ca="1" si="32"/>
        <v>-6.5805059092943069E-4</v>
      </c>
      <c r="X306" s="2">
        <v>3.4286385516372864E-2</v>
      </c>
      <c r="Y306" s="2">
        <f t="shared" ca="1" si="35"/>
        <v>2.566663903998738E-2</v>
      </c>
      <c r="Z306" s="2">
        <f t="shared" ca="1" si="33"/>
        <v>2.5416236612945717E-2</v>
      </c>
    </row>
    <row r="307" spans="1:26">
      <c r="A307" s="22">
        <v>41455</v>
      </c>
      <c r="B307" s="25" t="s">
        <v>45</v>
      </c>
      <c r="C307" s="25" t="s">
        <v>47</v>
      </c>
      <c r="D307" s="25" t="s">
        <v>41</v>
      </c>
      <c r="E307" s="25" t="s">
        <v>41</v>
      </c>
      <c r="F307" s="25" t="s">
        <v>39</v>
      </c>
      <c r="H307" s="23">
        <f ca="1">'Index Data'!E416</f>
        <v>-1.5468543100712408E-2</v>
      </c>
      <c r="I307" s="23">
        <f ca="1">'Index Data'!D416</f>
        <v>-2.8821575526177187E-2</v>
      </c>
      <c r="J307" s="23">
        <f ca="1">'Index Data'!B416</f>
        <v>-3.5293857939865586E-2</v>
      </c>
      <c r="K307" s="23">
        <f ca="1">'Index Data'!C416</f>
        <v>-6.3187693070636708E-2</v>
      </c>
      <c r="L307" s="23">
        <f ca="1">'Index Data'!AH416</f>
        <v>-0.12130000000000001</v>
      </c>
      <c r="M307" s="23">
        <f ca="1">'Index Data'!V416</f>
        <v>-1.8817256640481613E-2</v>
      </c>
      <c r="N307" s="23">
        <f ca="1">'Index Data'!W416</f>
        <v>-8.8142354687386643E-3</v>
      </c>
      <c r="O307" s="23">
        <f ca="1">'Index Data'!R416</f>
        <v>-9.6314246079826048E-3</v>
      </c>
      <c r="P307" s="23">
        <f ca="1">'Index Data'!S416</f>
        <v>-3.2571161922538582E-3</v>
      </c>
      <c r="Q307" s="23">
        <f ca="1">'Index Data'!U416</f>
        <v>-1.3628279683811263E-2</v>
      </c>
      <c r="R307" s="24"/>
      <c r="S307" s="23">
        <f t="shared" ca="1" si="34"/>
        <v>-2.6150969041084233E-2</v>
      </c>
      <c r="T307" s="2">
        <f t="shared" ca="1" si="29"/>
        <v>-8.8142354687386643E-3</v>
      </c>
      <c r="U307" s="2">
        <f t="shared" ca="1" si="30"/>
        <v>-8.8142354687386643E-3</v>
      </c>
      <c r="V307" s="2">
        <f t="shared" ca="1" si="31"/>
        <v>-8.8142354687386643E-3</v>
      </c>
      <c r="W307" s="2">
        <f t="shared" ca="1" si="32"/>
        <v>-9.6314246079826048E-3</v>
      </c>
      <c r="X307" s="2">
        <v>-1.4638697928688216E-2</v>
      </c>
      <c r="Y307" s="2">
        <f t="shared" ca="1" si="35"/>
        <v>-8.8142354687386643E-3</v>
      </c>
      <c r="Z307" s="2">
        <f t="shared" ca="1" si="33"/>
        <v>-1.0040417146171869E-2</v>
      </c>
    </row>
    <row r="308" spans="1:26">
      <c r="A308" s="22">
        <v>41486</v>
      </c>
      <c r="B308" s="25" t="s">
        <v>45</v>
      </c>
      <c r="C308" s="25" t="s">
        <v>47</v>
      </c>
      <c r="D308" s="25" t="s">
        <v>41</v>
      </c>
      <c r="E308" s="25" t="s">
        <v>41</v>
      </c>
      <c r="F308" s="25" t="s">
        <v>39</v>
      </c>
      <c r="H308" s="23">
        <f ca="1">'Index Data'!E417</f>
        <v>1.3671907564566622E-3</v>
      </c>
      <c r="I308" s="23">
        <f ca="1">'Index Data'!D417</f>
        <v>4.8192732947369497E-2</v>
      </c>
      <c r="J308" s="23">
        <f ca="1">'Index Data'!B417</f>
        <v>5.2844851561482387E-2</v>
      </c>
      <c r="K308" s="23">
        <f ca="1">'Index Data'!C417</f>
        <v>1.098979873173425E-2</v>
      </c>
      <c r="L308" s="23">
        <f ca="1">'Index Data'!AH417</f>
        <v>7.2499999999999995E-2</v>
      </c>
      <c r="M308" s="23">
        <f ca="1">'Index Data'!V417</f>
        <v>5.3020739680150711E-2</v>
      </c>
      <c r="N308" s="23">
        <f ca="1">'Index Data'!W417</f>
        <v>5.3992881615559984E-2</v>
      </c>
      <c r="O308" s="23">
        <f ca="1">'Index Data'!R417</f>
        <v>6.2916108899743819E-2</v>
      </c>
      <c r="P308" s="23">
        <f ca="1">'Index Data'!S417</f>
        <v>3.6479059184839124E-2</v>
      </c>
      <c r="Q308" s="23">
        <f ca="1">'Index Data'!U417</f>
        <v>5.3507914071645638E-2</v>
      </c>
      <c r="R308" s="24"/>
      <c r="S308" s="23">
        <f t="shared" ca="1" si="34"/>
        <v>3.8827624509186934E-2</v>
      </c>
      <c r="T308" s="2">
        <f t="shared" ca="1" si="29"/>
        <v>5.3992881615559984E-2</v>
      </c>
      <c r="U308" s="2">
        <f t="shared" ca="1" si="30"/>
        <v>5.3992881615559984E-2</v>
      </c>
      <c r="V308" s="2">
        <f t="shared" ca="1" si="31"/>
        <v>5.3992881615559984E-2</v>
      </c>
      <c r="W308" s="2">
        <f t="shared" ca="1" si="32"/>
        <v>6.2916108899743819E-2</v>
      </c>
      <c r="X308" s="2">
        <v>6.9276562027774657E-2</v>
      </c>
      <c r="Y308" s="2">
        <f t="shared" ca="1" si="35"/>
        <v>5.3992881615559984E-2</v>
      </c>
      <c r="Z308" s="2">
        <f t="shared" ca="1" si="33"/>
        <v>5.771885974431671E-2</v>
      </c>
    </row>
    <row r="309" spans="1:26">
      <c r="A309" s="22">
        <v>41517</v>
      </c>
      <c r="B309" s="25" t="s">
        <v>45</v>
      </c>
      <c r="C309" s="25" t="s">
        <v>47</v>
      </c>
      <c r="D309" s="25" t="s">
        <v>41</v>
      </c>
      <c r="E309" s="25" t="s">
        <v>41</v>
      </c>
      <c r="F309" s="25" t="s">
        <v>39</v>
      </c>
      <c r="H309" s="23">
        <f ca="1">'Index Data'!E418</f>
        <v>-5.1116402204499116E-3</v>
      </c>
      <c r="I309" s="23">
        <f ca="1">'Index Data'!D418</f>
        <v>-2.0414079675307392E-2</v>
      </c>
      <c r="J309" s="23">
        <f ca="1">'Index Data'!B418</f>
        <v>-1.3119928096608205E-2</v>
      </c>
      <c r="K309" s="23">
        <f ca="1">'Index Data'!C418</f>
        <v>-1.6782751454923275E-2</v>
      </c>
      <c r="L309" s="23">
        <f ca="1">'Index Data'!AH418</f>
        <v>6.3500000000000001E-2</v>
      </c>
      <c r="M309" s="23">
        <f ca="1">'Index Data'!V418</f>
        <v>-1.7138359309768966E-2</v>
      </c>
      <c r="N309" s="23">
        <f ca="1">'Index Data'!W418</f>
        <v>-3.793630568062463E-2</v>
      </c>
      <c r="O309" s="23">
        <f ca="1">'Index Data'!R418</f>
        <v>-3.4379222338988165E-2</v>
      </c>
      <c r="P309" s="23">
        <f ca="1">'Index Data'!S418</f>
        <v>-3.2241162813807109E-2</v>
      </c>
      <c r="Q309" s="23">
        <f ca="1">'Index Data'!U418</f>
        <v>-2.7582418408406362E-2</v>
      </c>
      <c r="R309" s="24"/>
      <c r="S309" s="23">
        <f t="shared" ca="1" si="34"/>
        <v>-1.7353591784335896E-2</v>
      </c>
      <c r="T309" s="2">
        <f t="shared" ca="1" si="29"/>
        <v>-3.793630568062463E-2</v>
      </c>
      <c r="U309" s="2">
        <f t="shared" ca="1" si="30"/>
        <v>-3.793630568062463E-2</v>
      </c>
      <c r="V309" s="2">
        <f t="shared" ca="1" si="31"/>
        <v>-3.793630568062463E-2</v>
      </c>
      <c r="W309" s="2">
        <f t="shared" ca="1" si="32"/>
        <v>-3.4379222338988165E-2</v>
      </c>
      <c r="X309" s="2">
        <v>-3.2371447114895924E-2</v>
      </c>
      <c r="Y309" s="2">
        <f t="shared" ca="1" si="35"/>
        <v>-3.793630568062463E-2</v>
      </c>
      <c r="Z309" s="2">
        <f t="shared" ca="1" si="33"/>
        <v>-3.6556552716856157E-2</v>
      </c>
    </row>
    <row r="310" spans="1:26">
      <c r="A310" s="22">
        <v>41547</v>
      </c>
      <c r="B310" s="25" t="s">
        <v>45</v>
      </c>
      <c r="C310" s="25" t="s">
        <v>47</v>
      </c>
      <c r="D310" s="25" t="s">
        <v>41</v>
      </c>
      <c r="E310" s="25" t="s">
        <v>41</v>
      </c>
      <c r="F310" s="25" t="s">
        <v>39</v>
      </c>
      <c r="H310" s="23">
        <f ca="1">'Index Data'!E419</f>
        <v>9.4669076627839667E-3</v>
      </c>
      <c r="I310" s="23">
        <f ca="1">'Index Data'!D419</f>
        <v>5.2038633224819913E-2</v>
      </c>
      <c r="J310" s="23">
        <f ca="1">'Index Data'!B419</f>
        <v>7.4158496084286901E-2</v>
      </c>
      <c r="K310" s="23">
        <f ca="1">'Index Data'!C419</f>
        <v>6.5347874807229284E-2</v>
      </c>
      <c r="L310" s="23">
        <f ca="1">'Index Data'!AH419</f>
        <v>-4.9599999999999998E-2</v>
      </c>
      <c r="M310" s="23">
        <f ca="1">'Index Data'!V419</f>
        <v>4.4562727772837062E-2</v>
      </c>
      <c r="N310" s="23">
        <f ca="1">'Index Data'!W419</f>
        <v>2.5050434098210769E-2</v>
      </c>
      <c r="O310" s="23">
        <f ca="1">'Index Data'!R419</f>
        <v>3.1431384742951991E-2</v>
      </c>
      <c r="P310" s="23">
        <f ca="1">'Index Data'!S419</f>
        <v>2.5670226271376297E-2</v>
      </c>
      <c r="Q310" s="23">
        <f ca="1">'Index Data'!U419</f>
        <v>3.4869332598152607E-2</v>
      </c>
      <c r="R310" s="24"/>
      <c r="S310" s="23">
        <f t="shared" ca="1" si="34"/>
        <v>4.3524288112412726E-2</v>
      </c>
      <c r="T310" s="2">
        <f t="shared" ca="1" si="29"/>
        <v>2.5050434098210769E-2</v>
      </c>
      <c r="U310" s="2">
        <f t="shared" ca="1" si="30"/>
        <v>2.5050434098210769E-2</v>
      </c>
      <c r="V310" s="2">
        <f t="shared" ca="1" si="31"/>
        <v>2.5050434098210769E-2</v>
      </c>
      <c r="W310" s="2">
        <f t="shared" ca="1" si="32"/>
        <v>3.1431384742951991E-2</v>
      </c>
      <c r="X310" s="2">
        <v>4.7836697278271112E-2</v>
      </c>
      <c r="Y310" s="2">
        <f t="shared" ca="1" si="35"/>
        <v>2.5050434098210769E-2</v>
      </c>
      <c r="Z310" s="2">
        <f t="shared" ca="1" si="33"/>
        <v>3.0086258032578431E-2</v>
      </c>
    </row>
    <row r="311" spans="1:26">
      <c r="A311" s="22">
        <v>41578</v>
      </c>
      <c r="B311" s="25" t="s">
        <v>45</v>
      </c>
      <c r="C311" s="25" t="s">
        <v>47</v>
      </c>
      <c r="D311" s="25" t="s">
        <v>41</v>
      </c>
      <c r="E311" s="25" t="s">
        <v>41</v>
      </c>
      <c r="F311" s="25" t="s">
        <v>39</v>
      </c>
      <c r="H311" s="23">
        <f ca="1">'Index Data'!E420</f>
        <v>8.084972340884157E-3</v>
      </c>
      <c r="I311" s="23">
        <f ca="1">'Index Data'!D420</f>
        <v>4.0415865113423807E-2</v>
      </c>
      <c r="J311" s="23">
        <f ca="1">'Index Data'!B420</f>
        <v>3.3641436115290066E-2</v>
      </c>
      <c r="K311" s="23">
        <f ca="1">'Index Data'!C420</f>
        <v>4.8733116024285802E-2</v>
      </c>
      <c r="L311" s="23">
        <f ca="1">'Index Data'!AH420</f>
        <v>-2.0999999999999999E-3</v>
      </c>
      <c r="M311" s="23">
        <f ca="1">'Index Data'!V420</f>
        <v>4.4235917362279775E-2</v>
      </c>
      <c r="N311" s="23">
        <f ca="1">'Index Data'!W420</f>
        <v>4.3793789919843028E-2</v>
      </c>
      <c r="O311" s="23">
        <f ca="1">'Index Data'!R420</f>
        <v>5.2397102541556696E-2</v>
      </c>
      <c r="P311" s="23">
        <f ca="1">'Index Data'!S420</f>
        <v>4.7256957716740343E-2</v>
      </c>
      <c r="Q311" s="23">
        <f ca="1">'Index Data'!U420</f>
        <v>4.4019844979768685E-2</v>
      </c>
      <c r="R311" s="24"/>
      <c r="S311" s="23">
        <f t="shared" ca="1" si="34"/>
        <v>3.3949686558915879E-2</v>
      </c>
      <c r="T311" s="2">
        <f t="shared" ca="1" si="29"/>
        <v>4.3793789919843028E-2</v>
      </c>
      <c r="U311" s="2">
        <f t="shared" ca="1" si="30"/>
        <v>4.3793789919843028E-2</v>
      </c>
      <c r="V311" s="2">
        <f t="shared" ca="1" si="31"/>
        <v>4.3793789919843028E-2</v>
      </c>
      <c r="W311" s="2">
        <f t="shared" ca="1" si="32"/>
        <v>5.2397102541556696E-2</v>
      </c>
      <c r="X311" s="2">
        <v>4.9938233823247025E-2</v>
      </c>
      <c r="Y311" s="2">
        <f t="shared" ca="1" si="35"/>
        <v>4.3793789919843028E-2</v>
      </c>
      <c r="Z311" s="2">
        <f t="shared" ca="1" si="33"/>
        <v>4.566792714715235E-2</v>
      </c>
    </row>
    <row r="312" spans="1:26">
      <c r="A312" s="22">
        <v>41608</v>
      </c>
      <c r="B312" s="25" t="s">
        <v>45</v>
      </c>
      <c r="C312" s="25" t="s">
        <v>47</v>
      </c>
      <c r="D312" s="25" t="s">
        <v>41</v>
      </c>
      <c r="E312" s="25" t="s">
        <v>41</v>
      </c>
      <c r="F312" s="25" t="s">
        <v>39</v>
      </c>
      <c r="H312" s="23">
        <f ca="1">'Index Data'!E421</f>
        <v>-3.7441891062188373E-3</v>
      </c>
      <c r="I312" s="23">
        <f ca="1">'Index Data'!D421</f>
        <v>1.4584982129629848E-2</v>
      </c>
      <c r="J312" s="23">
        <f ca="1">'Index Data'!B421</f>
        <v>7.8278092524787582E-3</v>
      </c>
      <c r="K312" s="23">
        <f ca="1">'Index Data'!C421</f>
        <v>-1.4542836573074137E-2</v>
      </c>
      <c r="L312" s="23">
        <f ca="1">'Index Data'!AH421</f>
        <v>-5.5199999999999999E-2</v>
      </c>
      <c r="M312" s="23">
        <f ca="1">'Index Data'!V421</f>
        <v>2.82093301855924E-2</v>
      </c>
      <c r="N312" s="23">
        <f ca="1">'Index Data'!W421</f>
        <v>2.7897742552955886E-2</v>
      </c>
      <c r="O312" s="23">
        <f ca="1">'Index Data'!R421</f>
        <v>3.077057737602654E-2</v>
      </c>
      <c r="P312" s="23">
        <f ca="1">'Index Data'!S421</f>
        <v>1.3396135412638309E-2</v>
      </c>
      <c r="Q312" s="23">
        <f ca="1">'Index Data'!U421</f>
        <v>2.8057066850983314E-2</v>
      </c>
      <c r="R312" s="24"/>
      <c r="S312" s="23">
        <f t="shared" ca="1" si="34"/>
        <v>1.0919147882460111E-2</v>
      </c>
      <c r="T312" s="2">
        <f t="shared" ca="1" si="29"/>
        <v>2.7897742552955886E-2</v>
      </c>
      <c r="U312" s="2">
        <f t="shared" ca="1" si="30"/>
        <v>2.7897742552955886E-2</v>
      </c>
      <c r="V312" s="2">
        <f t="shared" ca="1" si="31"/>
        <v>2.7897742552955886E-2</v>
      </c>
      <c r="W312" s="2">
        <f t="shared" ca="1" si="32"/>
        <v>3.077057737602654E-2</v>
      </c>
      <c r="X312" s="2">
        <v>3.3916793993504335E-2</v>
      </c>
      <c r="Y312" s="2">
        <f t="shared" ca="1" si="35"/>
        <v>2.7897742552955886E-2</v>
      </c>
      <c r="Z312" s="2">
        <f t="shared" ca="1" si="33"/>
        <v>2.9317015452795876E-2</v>
      </c>
    </row>
    <row r="313" spans="1:26">
      <c r="A313" s="22">
        <v>41639</v>
      </c>
      <c r="B313" s="25" t="s">
        <v>45</v>
      </c>
      <c r="C313" s="25" t="s">
        <v>47</v>
      </c>
      <c r="D313" s="25" t="s">
        <v>41</v>
      </c>
      <c r="E313" s="25" t="s">
        <v>41</v>
      </c>
      <c r="F313" s="25" t="s">
        <v>39</v>
      </c>
      <c r="H313" s="23">
        <f ca="1">'Index Data'!E422</f>
        <v>-5.6511475626330847E-3</v>
      </c>
      <c r="I313" s="23">
        <f ca="1">'Index Data'!D422</f>
        <v>1.7596822078890056E-2</v>
      </c>
      <c r="J313" s="23">
        <f ca="1">'Index Data'!B422</f>
        <v>1.5119653414771748E-2</v>
      </c>
      <c r="K313" s="23">
        <f ca="1">'Index Data'!C422</f>
        <v>-1.4379572341240232E-2</v>
      </c>
      <c r="L313" s="23">
        <f ca="1">'Index Data'!AH422</f>
        <v>-3.8599999999999995E-2</v>
      </c>
      <c r="M313" s="23">
        <f ca="1">'Index Data'!V422</f>
        <v>2.8565003728099853E-2</v>
      </c>
      <c r="N313" s="23">
        <f ca="1">'Index Data'!W422</f>
        <v>2.5327426069425008E-2</v>
      </c>
      <c r="O313" s="23">
        <f ca="1">'Index Data'!R422</f>
        <v>3.0060445116914462E-2</v>
      </c>
      <c r="P313" s="23">
        <f ca="1">'Index Data'!S422</f>
        <v>1.2575892704010046E-2</v>
      </c>
      <c r="Q313" s="23">
        <f ca="1">'Index Data'!U422</f>
        <v>2.6977806748134055E-2</v>
      </c>
      <c r="R313" s="24"/>
      <c r="S313" s="23">
        <f t="shared" ca="1" si="34"/>
        <v>1.2947228150585429E-2</v>
      </c>
      <c r="T313" s="2">
        <f t="shared" ca="1" si="29"/>
        <v>2.5327426069425008E-2</v>
      </c>
      <c r="U313" s="2">
        <f t="shared" ca="1" si="30"/>
        <v>2.5327426069425008E-2</v>
      </c>
      <c r="V313" s="2">
        <f t="shared" ca="1" si="31"/>
        <v>2.5327426069425008E-2</v>
      </c>
      <c r="W313" s="2">
        <f t="shared" ca="1" si="32"/>
        <v>3.0060445116914462E-2</v>
      </c>
      <c r="X313" s="2">
        <v>3.1398278516045153E-2</v>
      </c>
      <c r="Y313" s="2">
        <f t="shared" ca="1" si="35"/>
        <v>2.5327426069425008E-2</v>
      </c>
      <c r="Z313" s="2">
        <f t="shared" ca="1" si="33"/>
        <v>2.6896572987310748E-2</v>
      </c>
    </row>
    <row r="314" spans="1:26">
      <c r="A314" s="22">
        <v>41670</v>
      </c>
      <c r="B314" s="25" t="s">
        <v>45</v>
      </c>
      <c r="C314" s="25" t="s">
        <v>46</v>
      </c>
      <c r="D314" s="25" t="s">
        <v>41</v>
      </c>
      <c r="E314" s="25" t="s">
        <v>41</v>
      </c>
      <c r="F314" s="25" t="s">
        <v>39</v>
      </c>
      <c r="H314" s="23">
        <f ca="1">'Index Data'!E423</f>
        <v>1.4775381005611351E-2</v>
      </c>
      <c r="I314" s="23">
        <f ca="1">'Index Data'!D423</f>
        <v>-3.9777725946567491E-2</v>
      </c>
      <c r="J314" s="23">
        <f ca="1">'Index Data'!B423</f>
        <v>-4.0180829167234075E-2</v>
      </c>
      <c r="K314" s="23">
        <f ca="1">'Index Data'!C423</f>
        <v>-6.4711535512365637E-2</v>
      </c>
      <c r="L314" s="23">
        <f ca="1">'Index Data'!AH423</f>
        <v>3.1400000000000004E-2</v>
      </c>
      <c r="M314" s="23">
        <f ca="1">'Index Data'!V423</f>
        <v>-2.8508124265658182E-2</v>
      </c>
      <c r="N314" s="23">
        <f ca="1">'Index Data'!W423</f>
        <v>-3.5514632418816902E-2</v>
      </c>
      <c r="O314" s="23">
        <f ca="1">'Index Data'!R423</f>
        <v>-2.2460710618812458E-2</v>
      </c>
      <c r="P314" s="23">
        <f ca="1">'Index Data'!S423</f>
        <v>-3.0001227996629513E-2</v>
      </c>
      <c r="Q314" s="23">
        <f ca="1">'Index Data'!U423</f>
        <v>-3.193859651929723E-2</v>
      </c>
      <c r="R314" s="24"/>
      <c r="S314" s="23">
        <f t="shared" ca="1" si="34"/>
        <v>-2.8867104556131725E-2</v>
      </c>
      <c r="T314" s="2">
        <f t="shared" ca="1" si="29"/>
        <v>-2.8508124265658182E-2</v>
      </c>
      <c r="U314" s="2">
        <f t="shared" ca="1" si="30"/>
        <v>-2.8508124265658182E-2</v>
      </c>
      <c r="V314" s="2">
        <f t="shared" ca="1" si="31"/>
        <v>-2.8508124265658182E-2</v>
      </c>
      <c r="W314" s="2">
        <f t="shared" ca="1" si="32"/>
        <v>-2.2460710618812458E-2</v>
      </c>
      <c r="X314" s="2">
        <v>-4.1376017336784754E-2</v>
      </c>
      <c r="Y314" s="2">
        <f t="shared" ca="1" si="35"/>
        <v>-2.8508124265658186E-2</v>
      </c>
      <c r="Z314" s="2">
        <f t="shared" ca="1" si="33"/>
        <v>-3.0628146856370067E-2</v>
      </c>
    </row>
    <row r="315" spans="1:26">
      <c r="A315" s="22">
        <v>41698</v>
      </c>
      <c r="B315" s="25" t="s">
        <v>45</v>
      </c>
      <c r="C315" s="25" t="s">
        <v>46</v>
      </c>
      <c r="D315" s="25" t="s">
        <v>41</v>
      </c>
      <c r="E315" s="25" t="s">
        <v>41</v>
      </c>
      <c r="F315" s="25" t="s">
        <v>39</v>
      </c>
      <c r="H315" s="23">
        <f ca="1">'Index Data'!E424</f>
        <v>5.3169444202076609E-3</v>
      </c>
      <c r="I315" s="23">
        <f ca="1">'Index Data'!D424</f>
        <v>4.8807788791254393E-2</v>
      </c>
      <c r="J315" s="23">
        <f ca="1">'Index Data'!B424</f>
        <v>5.5854409530841802E-2</v>
      </c>
      <c r="K315" s="23">
        <f ca="1">'Index Data'!C424</f>
        <v>3.3334608636718777E-2</v>
      </c>
      <c r="L315" s="23">
        <f ca="1">'Index Data'!AH424</f>
        <v>6.5700000000000008E-2</v>
      </c>
      <c r="M315" s="23">
        <f ca="1">'Index Data'!V424</f>
        <v>5.1472301000835635E-2</v>
      </c>
      <c r="N315" s="23">
        <f ca="1">'Index Data'!W424</f>
        <v>4.3242959328780022E-2</v>
      </c>
      <c r="O315" s="23">
        <f ca="1">'Index Data'!R424</f>
        <v>6.6630378116470976E-2</v>
      </c>
      <c r="P315" s="23">
        <f ca="1">'Index Data'!S424</f>
        <v>4.3632569672417534E-2</v>
      </c>
      <c r="Q315" s="23">
        <f ca="1">'Index Data'!U424</f>
        <v>4.7465829176213649E-2</v>
      </c>
      <c r="R315" s="24"/>
      <c r="S315" s="23">
        <f t="shared" ca="1" si="34"/>
        <v>4.010961991704505E-2</v>
      </c>
      <c r="T315" s="2">
        <f t="shared" ca="1" si="29"/>
        <v>5.1472301000835635E-2</v>
      </c>
      <c r="U315" s="2">
        <f t="shared" ca="1" si="30"/>
        <v>5.1472301000835635E-2</v>
      </c>
      <c r="V315" s="2">
        <f t="shared" ca="1" si="31"/>
        <v>5.1472301000835635E-2</v>
      </c>
      <c r="W315" s="2">
        <f t="shared" ca="1" si="32"/>
        <v>6.6630378116470976E-2</v>
      </c>
      <c r="X315" s="2">
        <v>4.4242514553812118E-2</v>
      </c>
      <c r="Y315" s="2">
        <f t="shared" ca="1" si="35"/>
        <v>5.1472301000835635E-2</v>
      </c>
      <c r="Z315" s="2">
        <f t="shared" ca="1" si="33"/>
        <v>5.1163199495103576E-2</v>
      </c>
    </row>
    <row r="316" spans="1:26">
      <c r="A316" s="22">
        <v>41729</v>
      </c>
      <c r="B316" s="25" t="s">
        <v>45</v>
      </c>
      <c r="C316" s="25" t="s">
        <v>46</v>
      </c>
      <c r="D316" s="25" t="s">
        <v>41</v>
      </c>
      <c r="E316" s="25" t="s">
        <v>41</v>
      </c>
      <c r="F316" s="25" t="s">
        <v>39</v>
      </c>
      <c r="H316" s="23">
        <f ca="1">'Index Data'!E425</f>
        <v>-1.7032725615809517E-3</v>
      </c>
      <c r="I316" s="23">
        <f ca="1">'Index Data'!D425</f>
        <v>4.9786956250864019E-3</v>
      </c>
      <c r="J316" s="23">
        <f ca="1">'Index Data'!B425</f>
        <v>-5.6571164349674746E-3</v>
      </c>
      <c r="K316" s="23">
        <f ca="1">'Index Data'!C425</f>
        <v>3.0921073510277074E-2</v>
      </c>
      <c r="L316" s="23">
        <f ca="1">'Index Data'!AH425</f>
        <v>-2.8900000000000002E-2</v>
      </c>
      <c r="M316" s="23">
        <f ca="1">'Index Data'!V425</f>
        <v>-1.0085396701031436E-2</v>
      </c>
      <c r="N316" s="23">
        <f ca="1">'Index Data'!W425</f>
        <v>2.387287936480708E-2</v>
      </c>
      <c r="O316" s="23">
        <f ca="1">'Index Data'!R425</f>
        <v>-3.3810834704981751E-2</v>
      </c>
      <c r="P316" s="23">
        <f ca="1">'Index Data'!S425</f>
        <v>8.3031116799892526E-3</v>
      </c>
      <c r="Q316" s="23">
        <f ca="1">'Index Data'!U425</f>
        <v>6.369475227858995E-3</v>
      </c>
      <c r="R316" s="24"/>
      <c r="S316" s="23">
        <f t="shared" ca="1" si="34"/>
        <v>3.6423019877529312E-3</v>
      </c>
      <c r="T316" s="2">
        <f t="shared" ca="1" si="29"/>
        <v>-1.0085396701031436E-2</v>
      </c>
      <c r="U316" s="2">
        <f t="shared" ca="1" si="30"/>
        <v>-1.0085396701031436E-2</v>
      </c>
      <c r="V316" s="2">
        <f t="shared" ca="1" si="31"/>
        <v>-1.0085396701031436E-2</v>
      </c>
      <c r="W316" s="2">
        <f t="shared" ca="1" si="32"/>
        <v>-3.3810834704981751E-2</v>
      </c>
      <c r="X316" s="2">
        <v>2.4260091842889242E-3</v>
      </c>
      <c r="Y316" s="2">
        <f t="shared" ca="1" si="35"/>
        <v>-1.0085396701031436E-2</v>
      </c>
      <c r="Z316" s="2">
        <f t="shared" ca="1" si="33"/>
        <v>-9.3625233742636385E-3</v>
      </c>
    </row>
    <row r="317" spans="1:26">
      <c r="A317" s="22">
        <v>41759</v>
      </c>
      <c r="B317" s="25" t="s">
        <v>45</v>
      </c>
      <c r="C317" s="25" t="s">
        <v>46</v>
      </c>
      <c r="D317" s="25" t="s">
        <v>41</v>
      </c>
      <c r="E317" s="25" t="s">
        <v>41</v>
      </c>
      <c r="F317" s="25" t="s">
        <v>39</v>
      </c>
      <c r="H317" s="23">
        <f ca="1">'Index Data'!E426</f>
        <v>8.4385205148965695E-3</v>
      </c>
      <c r="I317" s="23">
        <f ca="1">'Index Data'!D426</f>
        <v>1.0048219594567148E-2</v>
      </c>
      <c r="J317" s="23">
        <f ca="1">'Index Data'!B426</f>
        <v>1.5290413968795808E-2</v>
      </c>
      <c r="K317" s="23">
        <f ca="1">'Index Data'!C426</f>
        <v>3.7248342807888806E-3</v>
      </c>
      <c r="L317" s="23">
        <f ca="1">'Index Data'!AH426</f>
        <v>9.7000000000000003E-3</v>
      </c>
      <c r="M317" s="23">
        <f ca="1">'Index Data'!V426</f>
        <v>4.1723615186909735E-5</v>
      </c>
      <c r="N317" s="23">
        <f ca="1">'Index Data'!W426</f>
        <v>9.5031602834192083E-3</v>
      </c>
      <c r="O317" s="23">
        <f ca="1">'Index Data'!R426</f>
        <v>-8.7708204697112581E-3</v>
      </c>
      <c r="P317" s="23">
        <f ca="1">'Index Data'!S426</f>
        <v>1.3951346597414711E-2</v>
      </c>
      <c r="Q317" s="23">
        <f ca="1">'Index Data'!U426</f>
        <v>4.7065220819739306E-3</v>
      </c>
      <c r="R317" s="24"/>
      <c r="S317" s="23">
        <f t="shared" ca="1" si="34"/>
        <v>9.7262797786330322E-3</v>
      </c>
      <c r="T317" s="2">
        <f t="shared" ca="1" si="29"/>
        <v>4.1723615186909735E-5</v>
      </c>
      <c r="U317" s="2">
        <f t="shared" ca="1" si="30"/>
        <v>4.1723615186909735E-5</v>
      </c>
      <c r="V317" s="2">
        <f t="shared" ca="1" si="31"/>
        <v>4.1723615186909735E-5</v>
      </c>
      <c r="W317" s="2">
        <f t="shared" ca="1" si="32"/>
        <v>-8.7708204697112581E-3</v>
      </c>
      <c r="X317" s="2">
        <v>-5.376319702786625E-3</v>
      </c>
      <c r="Y317" s="2">
        <f t="shared" ca="1" si="35"/>
        <v>4.1723615186909735E-5</v>
      </c>
      <c r="Z317" s="2">
        <f t="shared" ca="1" si="33"/>
        <v>-1.7028258547751595E-3</v>
      </c>
    </row>
    <row r="318" spans="1:26">
      <c r="A318" s="22">
        <v>41790</v>
      </c>
      <c r="B318" s="25" t="s">
        <v>45</v>
      </c>
      <c r="C318" s="25" t="s">
        <v>46</v>
      </c>
      <c r="D318" s="25" t="s">
        <v>41</v>
      </c>
      <c r="E318" s="25" t="s">
        <v>41</v>
      </c>
      <c r="F318" s="25" t="s">
        <v>39</v>
      </c>
      <c r="H318" s="23">
        <f ca="1">'Index Data'!E427</f>
        <v>1.1385311708604927E-2</v>
      </c>
      <c r="I318" s="23">
        <f ca="1">'Index Data'!D427</f>
        <v>2.2136740504724636E-2</v>
      </c>
      <c r="J318" s="23">
        <f ca="1">'Index Data'!B427</f>
        <v>1.756245963938937E-2</v>
      </c>
      <c r="K318" s="23">
        <f ca="1">'Index Data'!C427</f>
        <v>3.5131930032611926E-2</v>
      </c>
      <c r="L318" s="23">
        <f ca="1">'Index Data'!AH427</f>
        <v>-3.8800000000000001E-2</v>
      </c>
      <c r="M318" s="23">
        <f ca="1">'Index Data'!V427</f>
        <v>3.116371157794658E-2</v>
      </c>
      <c r="N318" s="23">
        <f ca="1">'Index Data'!W427</f>
        <v>1.4645538459873248E-2</v>
      </c>
      <c r="O318" s="23">
        <f ca="1">'Index Data'!R427</f>
        <v>3.9979286121701527E-2</v>
      </c>
      <c r="P318" s="23">
        <f ca="1">'Index Data'!S427</f>
        <v>1.1578667430394913E-2</v>
      </c>
      <c r="Q318" s="23">
        <f ca="1">'Index Data'!U427</f>
        <v>2.2979186987750377E-2</v>
      </c>
      <c r="R318" s="24"/>
      <c r="S318" s="23">
        <f t="shared" ca="1" si="34"/>
        <v>1.9986454745500693E-2</v>
      </c>
      <c r="T318" s="2">
        <f t="shared" ca="1" si="29"/>
        <v>3.116371157794658E-2</v>
      </c>
      <c r="U318" s="2">
        <f t="shared" ca="1" si="30"/>
        <v>3.116371157794658E-2</v>
      </c>
      <c r="V318" s="2">
        <f t="shared" ca="1" si="31"/>
        <v>3.116371157794658E-2</v>
      </c>
      <c r="W318" s="2">
        <f t="shared" ca="1" si="32"/>
        <v>3.9979286121701527E-2</v>
      </c>
      <c r="X318" s="2">
        <v>2.2686257697956735E-2</v>
      </c>
      <c r="Y318" s="2">
        <f t="shared" ca="1" si="35"/>
        <v>3.116371157794658E-2</v>
      </c>
      <c r="Z318" s="2">
        <f t="shared" ca="1" si="33"/>
        <v>3.0129388892730233E-2</v>
      </c>
    </row>
    <row r="319" spans="1:26">
      <c r="A319" s="22">
        <v>41820</v>
      </c>
      <c r="B319" s="25" t="s">
        <v>45</v>
      </c>
      <c r="C319" s="25" t="s">
        <v>46</v>
      </c>
      <c r="D319" s="25" t="s">
        <v>41</v>
      </c>
      <c r="E319" s="25" t="s">
        <v>41</v>
      </c>
      <c r="F319" s="25" t="s">
        <v>39</v>
      </c>
      <c r="H319" s="23">
        <f ca="1">'Index Data'!E428</f>
        <v>5.167738395230909E-4</v>
      </c>
      <c r="I319" s="23">
        <f ca="1">'Index Data'!D428</f>
        <v>1.9261972485507293E-2</v>
      </c>
      <c r="J319" s="23">
        <f ca="1">'Index Data'!B428</f>
        <v>9.9497042407652118E-3</v>
      </c>
      <c r="K319" s="23">
        <f ca="1">'Index Data'!C428</f>
        <v>2.7021288153002133E-2</v>
      </c>
      <c r="L319" s="23">
        <f ca="1">'Index Data'!AH428</f>
        <v>6.13E-2</v>
      </c>
      <c r="M319" s="23">
        <f ca="1">'Index Data'!V428</f>
        <v>1.9488696065845901E-2</v>
      </c>
      <c r="N319" s="23">
        <f ca="1">'Index Data'!W428</f>
        <v>2.6120321861111698E-2</v>
      </c>
      <c r="O319" s="23">
        <f ca="1">'Index Data'!R428</f>
        <v>2.1050580568805936E-2</v>
      </c>
      <c r="P319" s="23">
        <f ca="1">'Index Data'!S428</f>
        <v>1.3124633460737436E-2</v>
      </c>
      <c r="Q319" s="23">
        <f ca="1">'Index Data'!U428</f>
        <v>2.2745484418338124E-2</v>
      </c>
      <c r="R319" s="24"/>
      <c r="S319" s="23">
        <f t="shared" ca="1" si="34"/>
        <v>1.5512932756310454E-2</v>
      </c>
      <c r="T319" s="2">
        <f t="shared" ca="1" si="29"/>
        <v>1.9488696065845901E-2</v>
      </c>
      <c r="U319" s="2">
        <f t="shared" ca="1" si="30"/>
        <v>1.9488696065845901E-2</v>
      </c>
      <c r="V319" s="2">
        <f t="shared" ca="1" si="31"/>
        <v>1.9488696065845901E-2</v>
      </c>
      <c r="W319" s="2">
        <f t="shared" ca="1" si="32"/>
        <v>2.1050580568805936E-2</v>
      </c>
      <c r="X319" s="2">
        <v>3.1968439130239057E-2</v>
      </c>
      <c r="Y319" s="2">
        <f t="shared" ca="1" si="35"/>
        <v>1.9488696065845901E-2</v>
      </c>
      <c r="Z319" s="2">
        <f t="shared" ca="1" si="33"/>
        <v>2.2101786016446537E-2</v>
      </c>
    </row>
    <row r="320" spans="1:26">
      <c r="A320" s="22">
        <v>41851</v>
      </c>
      <c r="B320" s="25" t="s">
        <v>45</v>
      </c>
      <c r="C320" s="25" t="s">
        <v>46</v>
      </c>
      <c r="D320" s="25" t="s">
        <v>41</v>
      </c>
      <c r="E320" s="25" t="s">
        <v>41</v>
      </c>
      <c r="F320" s="25" t="s">
        <v>39</v>
      </c>
      <c r="H320" s="23">
        <f ca="1">'Index Data'!E429</f>
        <v>-2.5079872204473038E-3</v>
      </c>
      <c r="I320" s="23">
        <f ca="1">'Index Data'!D429</f>
        <v>-1.182595331860537E-2</v>
      </c>
      <c r="J320" s="23">
        <f ca="1">'Index Data'!B429</f>
        <v>-1.9608613548751926E-2</v>
      </c>
      <c r="K320" s="23">
        <f ca="1">'Index Data'!C429</f>
        <v>2.0155881122613375E-2</v>
      </c>
      <c r="L320" s="23">
        <f ca="1">'Index Data'!AH429</f>
        <v>-3.0800000000000001E-2</v>
      </c>
      <c r="M320" s="23">
        <f ca="1">'Index Data'!V429</f>
        <v>-1.530734964449613E-2</v>
      </c>
      <c r="N320" s="23">
        <f ca="1">'Index Data'!W429</f>
        <v>-1.7041033985032126E-2</v>
      </c>
      <c r="O320" s="23">
        <f ca="1">'Index Data'!R429</f>
        <v>-1.0714689584982529E-2</v>
      </c>
      <c r="P320" s="23">
        <f ca="1">'Index Data'!S429</f>
        <v>-1.5150305401413338E-2</v>
      </c>
      <c r="Q320" s="23">
        <f ca="1">'Index Data'!U429</f>
        <v>-1.6169971581910976E-2</v>
      </c>
      <c r="R320" s="24"/>
      <c r="S320" s="23">
        <f t="shared" ca="1" si="34"/>
        <v>-9.962360098973758E-3</v>
      </c>
      <c r="T320" s="2">
        <f t="shared" ca="1" si="29"/>
        <v>-1.530734964449613E-2</v>
      </c>
      <c r="U320" s="2">
        <f t="shared" ca="1" si="30"/>
        <v>-1.530734964449613E-2</v>
      </c>
      <c r="V320" s="2">
        <f t="shared" ca="1" si="31"/>
        <v>-1.530734964449613E-2</v>
      </c>
      <c r="W320" s="2">
        <f t="shared" ca="1" si="32"/>
        <v>-1.0714689584982529E-2</v>
      </c>
      <c r="X320" s="2">
        <v>-3.1251848283364025E-2</v>
      </c>
      <c r="Y320" s="2">
        <f t="shared" ca="1" si="35"/>
        <v>-1.5307349644496131E-2</v>
      </c>
      <c r="Z320" s="2">
        <f t="shared" ca="1" si="33"/>
        <v>-1.8151799867806191E-2</v>
      </c>
    </row>
    <row r="321" spans="1:26">
      <c r="A321" s="22">
        <v>41882</v>
      </c>
      <c r="B321" s="25" t="s">
        <v>45</v>
      </c>
      <c r="C321" s="25" t="s">
        <v>46</v>
      </c>
      <c r="D321" s="25" t="s">
        <v>41</v>
      </c>
      <c r="E321" s="25" t="s">
        <v>41</v>
      </c>
      <c r="F321" s="25" t="s">
        <v>39</v>
      </c>
      <c r="H321" s="23">
        <f ca="1">'Index Data'!E430</f>
        <v>1.1039401267289136E-2</v>
      </c>
      <c r="I321" s="23">
        <f ca="1">'Index Data'!D430</f>
        <v>2.2500262444740789E-2</v>
      </c>
      <c r="J321" s="23">
        <f ca="1">'Index Data'!B430</f>
        <v>-1.4518811011378573E-3</v>
      </c>
      <c r="K321" s="23">
        <f ca="1">'Index Data'!C430</f>
        <v>2.2934331270531717E-2</v>
      </c>
      <c r="L321" s="23">
        <f ca="1">'Index Data'!AH430</f>
        <v>4.0999999999999995E-3</v>
      </c>
      <c r="M321" s="23">
        <f ca="1">'Index Data'!V430</f>
        <v>4.5817618666093456E-2</v>
      </c>
      <c r="N321" s="23">
        <f ca="1">'Index Data'!W430</f>
        <v>3.6754822417797282E-2</v>
      </c>
      <c r="O321" s="23">
        <f ca="1">'Index Data'!R430</f>
        <v>4.6616466150372932E-2</v>
      </c>
      <c r="P321" s="23">
        <f ca="1">'Index Data'!S430</f>
        <v>4.0677759987028675E-2</v>
      </c>
      <c r="Q321" s="23">
        <f ca="1">'Index Data'!U430</f>
        <v>4.1319960012021303E-2</v>
      </c>
      <c r="R321" s="24"/>
      <c r="S321" s="23">
        <f t="shared" ca="1" si="34"/>
        <v>2.0208090209250459E-2</v>
      </c>
      <c r="T321" s="2">
        <f t="shared" ca="1" si="29"/>
        <v>4.5817618666093456E-2</v>
      </c>
      <c r="U321" s="2">
        <f t="shared" ca="1" si="30"/>
        <v>4.5817618666093456E-2</v>
      </c>
      <c r="V321" s="2">
        <f t="shared" ca="1" si="31"/>
        <v>4.5817618666093456E-2</v>
      </c>
      <c r="W321" s="2">
        <f t="shared" ca="1" si="32"/>
        <v>4.6616466150372932E-2</v>
      </c>
      <c r="X321" s="2">
        <v>3.9547319197084319E-2</v>
      </c>
      <c r="Y321" s="2">
        <f t="shared" ca="1" si="35"/>
        <v>4.5817618666093456E-2</v>
      </c>
      <c r="Z321" s="2">
        <f t="shared" ca="1" si="33"/>
        <v>4.4623472333612593E-2</v>
      </c>
    </row>
    <row r="322" spans="1:26">
      <c r="A322" s="22">
        <v>41912</v>
      </c>
      <c r="B322" s="25" t="s">
        <v>45</v>
      </c>
      <c r="C322" s="25" t="s">
        <v>46</v>
      </c>
      <c r="D322" s="25" t="s">
        <v>41</v>
      </c>
      <c r="E322" s="25" t="s">
        <v>41</v>
      </c>
      <c r="F322" s="25" t="s">
        <v>39</v>
      </c>
      <c r="H322" s="23">
        <f ca="1">'Index Data'!E431</f>
        <v>-6.7899702740804382E-3</v>
      </c>
      <c r="I322" s="23">
        <f ca="1">'Index Data'!D431</f>
        <v>-3.2042507021973421E-2</v>
      </c>
      <c r="J322" s="23">
        <f ca="1">'Index Data'!B431</f>
        <v>-3.8072135396442101E-2</v>
      </c>
      <c r="K322" s="23">
        <f ca="1">'Index Data'!C431</f>
        <v>-7.391366449038636E-2</v>
      </c>
      <c r="L322" s="23">
        <f ca="1">'Index Data'!AH431</f>
        <v>-5.91E-2</v>
      </c>
      <c r="M322" s="23">
        <f ca="1">'Index Data'!V431</f>
        <v>-1.4505735260112963E-2</v>
      </c>
      <c r="N322" s="23">
        <f ca="1">'Index Data'!W431</f>
        <v>-2.0628355487164577E-2</v>
      </c>
      <c r="O322" s="23">
        <f ca="1">'Index Data'!R431</f>
        <v>-6.0137750261097123E-3</v>
      </c>
      <c r="P322" s="23">
        <f ca="1">'Index Data'!S431</f>
        <v>-7.6111089471428981E-3</v>
      </c>
      <c r="Q322" s="23">
        <f ca="1">'Index Data'!U431</f>
        <v>-1.7530971491446279E-2</v>
      </c>
      <c r="R322" s="24"/>
      <c r="S322" s="23">
        <f t="shared" ca="1" si="34"/>
        <v>-2.6991999672394826E-2</v>
      </c>
      <c r="T322" s="2">
        <f t="shared" ref="T322:T385" ca="1" si="36">IF(C322="R1G",M322,N322)</f>
        <v>-1.4505735260112963E-2</v>
      </c>
      <c r="U322" s="2">
        <f t="shared" ref="U322:U385" ca="1" si="37">IF(E322="EAFE",J322,T322)</f>
        <v>-1.4505735260112963E-2</v>
      </c>
      <c r="V322" s="2">
        <f t="shared" ref="V322:V385" ca="1" si="38">IF(D322="EM",K322,T322)</f>
        <v>-1.4505735260112963E-2</v>
      </c>
      <c r="W322" s="2">
        <f t="shared" ref="W322:W385" ca="1" si="39">IF(F322="MTM",O322,IF(F322="MVL",P322,Y322))</f>
        <v>-6.0137750261097123E-3</v>
      </c>
      <c r="X322" s="2">
        <v>-4.9844108817245214E-3</v>
      </c>
      <c r="Y322" s="2">
        <f t="shared" ca="1" si="35"/>
        <v>-1.4505735260112963E-2</v>
      </c>
      <c r="Z322" s="2">
        <f t="shared" ref="Z322:Z385" ca="1" si="40">0.2*X322+0.075*W322+0.1*V322+0.25*U322+0.375*T322</f>
        <v>-1.1964573366885032E-2</v>
      </c>
    </row>
    <row r="323" spans="1:26">
      <c r="A323" s="22">
        <v>41943</v>
      </c>
      <c r="B323" s="25" t="s">
        <v>45</v>
      </c>
      <c r="C323" s="25" t="s">
        <v>46</v>
      </c>
      <c r="D323" s="25" t="s">
        <v>41</v>
      </c>
      <c r="E323" s="25" t="s">
        <v>41</v>
      </c>
      <c r="F323" s="25" t="s">
        <v>39</v>
      </c>
      <c r="H323" s="23">
        <f ca="1">'Index Data'!E432</f>
        <v>9.8293029115788071E-3</v>
      </c>
      <c r="I323" s="23">
        <f ca="1">'Index Data'!D432</f>
        <v>7.2688274547186892E-3</v>
      </c>
      <c r="J323" s="23">
        <f ca="1">'Index Data'!B432</f>
        <v>-1.4487584286976643E-2</v>
      </c>
      <c r="K323" s="23">
        <f ca="1">'Index Data'!C432</f>
        <v>1.1905768800218942E-2</v>
      </c>
      <c r="L323" s="23">
        <f ca="1">'Index Data'!AH432</f>
        <v>-3.2099999999999997E-2</v>
      </c>
      <c r="M323" s="23">
        <f ca="1">'Index Data'!V432</f>
        <v>2.6351496277230452E-2</v>
      </c>
      <c r="N323" s="23">
        <f ca="1">'Index Data'!W432</f>
        <v>2.2465648304963459E-2</v>
      </c>
      <c r="O323" s="23">
        <f ca="1">'Index Data'!R432</f>
        <v>2.3287276123502811E-2</v>
      </c>
      <c r="P323" s="23">
        <f ca="1">'Index Data'!S432</f>
        <v>4.3029955725813911E-2</v>
      </c>
      <c r="Q323" s="23">
        <f ca="1">'Index Data'!U432</f>
        <v>2.4439500620728537E-2</v>
      </c>
      <c r="R323" s="24"/>
      <c r="S323" s="23">
        <f t="shared" ref="S323:S386" ca="1" si="41">IF(B323="OW",0.8*I323+0.2*H323,IF(B323="NW",0.6*I323+0.4*H323,0.4*I323+0.6*H323))</f>
        <v>7.7809225460907135E-3</v>
      </c>
      <c r="T323" s="2">
        <f t="shared" ca="1" si="36"/>
        <v>2.6351496277230452E-2</v>
      </c>
      <c r="U323" s="2">
        <f t="shared" ca="1" si="37"/>
        <v>2.6351496277230452E-2</v>
      </c>
      <c r="V323" s="2">
        <f t="shared" ca="1" si="38"/>
        <v>2.6351496277230452E-2</v>
      </c>
      <c r="W323" s="2">
        <f t="shared" ca="1" si="39"/>
        <v>2.3287276123502811E-2</v>
      </c>
      <c r="X323" s="2">
        <v>3.8262603673225426E-2</v>
      </c>
      <c r="Y323" s="2">
        <f t="shared" ref="Y323:Y386" ca="1" si="42">0.25*U323+0.1*V323+0.65*T323</f>
        <v>2.6351496277230452E-2</v>
      </c>
      <c r="Z323" s="2">
        <f t="shared" ca="1" si="40"/>
        <v>2.8503901244899876E-2</v>
      </c>
    </row>
    <row r="324" spans="1:26">
      <c r="A324" s="22">
        <v>41973</v>
      </c>
      <c r="B324" s="25" t="s">
        <v>45</v>
      </c>
      <c r="C324" s="25" t="s">
        <v>46</v>
      </c>
      <c r="D324" s="25" t="s">
        <v>41</v>
      </c>
      <c r="E324" s="25" t="s">
        <v>41</v>
      </c>
      <c r="F324" s="25" t="s">
        <v>39</v>
      </c>
      <c r="H324" s="23">
        <f ca="1">'Index Data'!E433</f>
        <v>7.0962307854285211E-3</v>
      </c>
      <c r="I324" s="23">
        <f ca="1">'Index Data'!D433</f>
        <v>1.7154973265230015E-2</v>
      </c>
      <c r="J324" s="23">
        <f ca="1">'Index Data'!B433</f>
        <v>1.3722224192173796E-2</v>
      </c>
      <c r="K324" s="23">
        <f ca="1">'Index Data'!C433</f>
        <v>-1.0516844651601914E-2</v>
      </c>
      <c r="L324" s="23">
        <f ca="1">'Index Data'!AH433</f>
        <v>3.0999999999999999E-3</v>
      </c>
      <c r="M324" s="23">
        <f ca="1">'Index Data'!V433</f>
        <v>3.168809996097445E-2</v>
      </c>
      <c r="N324" s="23">
        <f ca="1">'Index Data'!W433</f>
        <v>2.0476100320835765E-2</v>
      </c>
      <c r="O324" s="23">
        <f ca="1">'Index Data'!R433</f>
        <v>3.785728187266376E-2</v>
      </c>
      <c r="P324" s="23">
        <f ca="1">'Index Data'!S433</f>
        <v>3.4451096752828973E-2</v>
      </c>
      <c r="Q324" s="23">
        <f ca="1">'Index Data'!U433</f>
        <v>2.6180757382424719E-2</v>
      </c>
      <c r="R324" s="24"/>
      <c r="S324" s="23">
        <f t="shared" ca="1" si="41"/>
        <v>1.5143224769269718E-2</v>
      </c>
      <c r="T324" s="2">
        <f t="shared" ca="1" si="36"/>
        <v>3.168809996097445E-2</v>
      </c>
      <c r="U324" s="2">
        <f t="shared" ca="1" si="37"/>
        <v>3.168809996097445E-2</v>
      </c>
      <c r="V324" s="2">
        <f t="shared" ca="1" si="38"/>
        <v>3.168809996097445E-2</v>
      </c>
      <c r="W324" s="2">
        <f t="shared" ca="1" si="39"/>
        <v>3.785728187266376E-2</v>
      </c>
      <c r="X324" s="2">
        <v>3.2966392740558792E-2</v>
      </c>
      <c r="Y324" s="2">
        <f t="shared" ca="1" si="42"/>
        <v>3.168809996097445E-2</v>
      </c>
      <c r="Z324" s="2">
        <f t="shared" ca="1" si="40"/>
        <v>3.2406447160268019E-2</v>
      </c>
    </row>
    <row r="325" spans="1:26">
      <c r="A325" s="22">
        <v>42004</v>
      </c>
      <c r="B325" s="25" t="s">
        <v>45</v>
      </c>
      <c r="C325" s="25" t="s">
        <v>46</v>
      </c>
      <c r="D325" s="25" t="s">
        <v>41</v>
      </c>
      <c r="E325" s="25" t="s">
        <v>41</v>
      </c>
      <c r="F325" s="25" t="s">
        <v>39</v>
      </c>
      <c r="H325" s="23">
        <f ca="1">'Index Data'!E434</f>
        <v>9.3566395550628498E-4</v>
      </c>
      <c r="I325" s="23">
        <f ca="1">'Index Data'!D434</f>
        <v>-1.8879909613646825E-2</v>
      </c>
      <c r="J325" s="23">
        <f ca="1">'Index Data'!B434</f>
        <v>-3.4378460691817915E-2</v>
      </c>
      <c r="K325" s="23">
        <f ca="1">'Index Data'!C434</f>
        <v>-4.5615133491346528E-2</v>
      </c>
      <c r="L325" s="23">
        <f ca="1">'Index Data'!AH434</f>
        <v>7.6E-3</v>
      </c>
      <c r="M325" s="23">
        <f ca="1">'Index Data'!V434</f>
        <v>-1.0418077249779775E-2</v>
      </c>
      <c r="N325" s="23">
        <f ca="1">'Index Data'!W434</f>
        <v>6.1340505948939599E-3</v>
      </c>
      <c r="O325" s="23">
        <f ca="1">'Index Data'!R434</f>
        <v>-1.0462469608401056E-2</v>
      </c>
      <c r="P325" s="23">
        <f ca="1">'Index Data'!S434</f>
        <v>1.1640850655160965E-3</v>
      </c>
      <c r="Q325" s="23">
        <f ca="1">'Index Data'!U434</f>
        <v>-2.329673704720273E-3</v>
      </c>
      <c r="R325" s="24"/>
      <c r="S325" s="23">
        <f t="shared" ca="1" si="41"/>
        <v>-1.4916794899816203E-2</v>
      </c>
      <c r="T325" s="2">
        <f t="shared" ca="1" si="36"/>
        <v>-1.0418077249779775E-2</v>
      </c>
      <c r="U325" s="2">
        <f t="shared" ca="1" si="37"/>
        <v>-1.0418077249779775E-2</v>
      </c>
      <c r="V325" s="2">
        <f t="shared" ca="1" si="38"/>
        <v>-1.0418077249779775E-2</v>
      </c>
      <c r="W325" s="2">
        <f t="shared" ca="1" si="39"/>
        <v>-1.0462469608401056E-2</v>
      </c>
      <c r="X325" s="2">
        <v>-5.8688278884705403E-3</v>
      </c>
      <c r="Y325" s="2">
        <f t="shared" ca="1" si="42"/>
        <v>-1.0418077249779775E-2</v>
      </c>
      <c r="Z325" s="2">
        <f t="shared" ca="1" si="40"/>
        <v>-9.5115568044145237E-3</v>
      </c>
    </row>
    <row r="326" spans="1:26">
      <c r="A326" s="22">
        <v>42035</v>
      </c>
      <c r="B326" s="25" t="s">
        <v>45</v>
      </c>
      <c r="C326" s="25" t="s">
        <v>46</v>
      </c>
      <c r="D326" s="25" t="s">
        <v>41</v>
      </c>
      <c r="E326" s="25" t="s">
        <v>41</v>
      </c>
      <c r="F326" s="25" t="s">
        <v>39</v>
      </c>
      <c r="H326" s="23">
        <f ca="1">'Index Data'!E435</f>
        <v>2.09674808211524E-2</v>
      </c>
      <c r="I326" s="23">
        <f ca="1">'Index Data'!D435</f>
        <v>-1.5410729150247498E-2</v>
      </c>
      <c r="J326" s="23">
        <f ca="1">'Index Data'!B435</f>
        <v>4.9769623245123082E-3</v>
      </c>
      <c r="K326" s="23">
        <f ca="1">'Index Data'!C435</f>
        <v>6.0759414585382573E-3</v>
      </c>
      <c r="L326" s="23">
        <f ca="1">'Index Data'!AH435</f>
        <v>7.9699999999999993E-2</v>
      </c>
      <c r="M326" s="23">
        <f ca="1">'Index Data'!V435</f>
        <v>-1.531268872266852E-2</v>
      </c>
      <c r="N326" s="23">
        <f ca="1">'Index Data'!W435</f>
        <v>-3.9973473397323607E-2</v>
      </c>
      <c r="O326" s="23">
        <f ca="1">'Index Data'!R435</f>
        <v>-5.7962491014832982E-3</v>
      </c>
      <c r="P326" s="23">
        <f ca="1">'Index Data'!S435</f>
        <v>-4.8471371369187945E-3</v>
      </c>
      <c r="Q326" s="23">
        <f ca="1">'Index Data'!U435</f>
        <v>-2.74673407379444E-2</v>
      </c>
      <c r="R326" s="24"/>
      <c r="S326" s="23">
        <f t="shared" ca="1" si="41"/>
        <v>-8.1350871559675193E-3</v>
      </c>
      <c r="T326" s="2">
        <f t="shared" ca="1" si="36"/>
        <v>-1.531268872266852E-2</v>
      </c>
      <c r="U326" s="2">
        <f t="shared" ca="1" si="37"/>
        <v>-1.531268872266852E-2</v>
      </c>
      <c r="V326" s="2">
        <f t="shared" ca="1" si="38"/>
        <v>-1.531268872266852E-2</v>
      </c>
      <c r="W326" s="2">
        <f t="shared" ca="1" si="39"/>
        <v>-5.7962491014832982E-3</v>
      </c>
      <c r="X326" s="2">
        <v>-2.1073316547943199E-2</v>
      </c>
      <c r="Y326" s="2">
        <f t="shared" ca="1" si="42"/>
        <v>-1.531268872266852E-2</v>
      </c>
      <c r="Z326" s="2">
        <f t="shared" ca="1" si="40"/>
        <v>-1.5751081316134563E-2</v>
      </c>
    </row>
    <row r="327" spans="1:26">
      <c r="A327" s="22">
        <v>42063</v>
      </c>
      <c r="B327" s="25" t="s">
        <v>45</v>
      </c>
      <c r="C327" s="25" t="s">
        <v>46</v>
      </c>
      <c r="D327" s="25" t="s">
        <v>41</v>
      </c>
      <c r="E327" s="25" t="s">
        <v>41</v>
      </c>
      <c r="F327" s="25" t="s">
        <v>39</v>
      </c>
      <c r="H327" s="23">
        <f ca="1">'Index Data'!E436</f>
        <v>-9.401438348456732E-3</v>
      </c>
      <c r="I327" s="23">
        <f ca="1">'Index Data'!D436</f>
        <v>5.6128666065992164E-2</v>
      </c>
      <c r="J327" s="23">
        <f ca="1">'Index Data'!B436</f>
        <v>5.9892790734673441E-2</v>
      </c>
      <c r="K327" s="23">
        <f ca="1">'Index Data'!C436</f>
        <v>3.1086340019458158E-2</v>
      </c>
      <c r="L327" s="23">
        <f ca="1">'Index Data'!AH436</f>
        <v>-5.1200000000000002E-2</v>
      </c>
      <c r="M327" s="23">
        <f ca="1">'Index Data'!V436</f>
        <v>6.665487530636488E-2</v>
      </c>
      <c r="N327" s="23">
        <f ca="1">'Index Data'!W436</f>
        <v>4.8388902765695442E-2</v>
      </c>
      <c r="O327" s="23">
        <f ca="1">'Index Data'!R436</f>
        <v>5.4580230441098151E-2</v>
      </c>
      <c r="P327" s="23">
        <f ca="1">'Index Data'!S436</f>
        <v>3.6640134365415473E-2</v>
      </c>
      <c r="Q327" s="23">
        <f ca="1">'Index Data'!U436</f>
        <v>5.7780574006219262E-2</v>
      </c>
      <c r="R327" s="24"/>
      <c r="S327" s="23">
        <f t="shared" ca="1" si="41"/>
        <v>4.3022645183102386E-2</v>
      </c>
      <c r="T327" s="2">
        <f t="shared" ca="1" si="36"/>
        <v>6.665487530636488E-2</v>
      </c>
      <c r="U327" s="2">
        <f t="shared" ca="1" si="37"/>
        <v>6.665487530636488E-2</v>
      </c>
      <c r="V327" s="2">
        <f t="shared" ca="1" si="38"/>
        <v>6.665487530636488E-2</v>
      </c>
      <c r="W327" s="2">
        <f t="shared" ca="1" si="39"/>
        <v>5.4580230441098151E-2</v>
      </c>
      <c r="X327" s="2">
        <v>4.8698738323229351E-2</v>
      </c>
      <c r="Y327" s="2">
        <f t="shared" ca="1" si="42"/>
        <v>6.665487530636488E-2</v>
      </c>
      <c r="Z327" s="2">
        <f t="shared" ca="1" si="40"/>
        <v>6.2158049544842768E-2</v>
      </c>
    </row>
    <row r="328" spans="1:26">
      <c r="A328" s="22">
        <v>42094</v>
      </c>
      <c r="B328" s="25" t="s">
        <v>45</v>
      </c>
      <c r="C328" s="25" t="s">
        <v>46</v>
      </c>
      <c r="D328" s="25" t="s">
        <v>41</v>
      </c>
      <c r="E328" s="25" t="s">
        <v>41</v>
      </c>
      <c r="F328" s="25" t="s">
        <v>39</v>
      </c>
      <c r="H328" s="23">
        <f ca="1">'Index Data'!E437</f>
        <v>4.6420604758757476E-3</v>
      </c>
      <c r="I328" s="23">
        <f ca="1">'Index Data'!D437</f>
        <v>-1.4897775105231577E-2</v>
      </c>
      <c r="J328" s="23">
        <f ca="1">'Index Data'!B437</f>
        <v>-1.4281406715483199E-2</v>
      </c>
      <c r="K328" s="23">
        <f ca="1">'Index Data'!C437</f>
        <v>-1.4023077347761304E-2</v>
      </c>
      <c r="L328" s="23">
        <f ca="1">'Index Data'!AH437</f>
        <v>-2.4700000000000003E-2</v>
      </c>
      <c r="M328" s="23">
        <f ca="1">'Index Data'!V437</f>
        <v>-1.1372519462061107E-2</v>
      </c>
      <c r="N328" s="23">
        <f ca="1">'Index Data'!W437</f>
        <v>-1.3612500924259942E-2</v>
      </c>
      <c r="O328" s="23">
        <f ca="1">'Index Data'!R437</f>
        <v>-1.1524054672259381E-2</v>
      </c>
      <c r="P328" s="23">
        <f ca="1">'Index Data'!S437</f>
        <v>-7.2451261821320336E-3</v>
      </c>
      <c r="Q328" s="23">
        <f ca="1">'Index Data'!U437</f>
        <v>-1.2452500865677094E-2</v>
      </c>
      <c r="R328" s="24"/>
      <c r="S328" s="23">
        <f t="shared" ca="1" si="41"/>
        <v>-1.0989807989010114E-2</v>
      </c>
      <c r="T328" s="2">
        <f t="shared" ca="1" si="36"/>
        <v>-1.1372519462061107E-2</v>
      </c>
      <c r="U328" s="2">
        <f t="shared" ca="1" si="37"/>
        <v>-1.1372519462061107E-2</v>
      </c>
      <c r="V328" s="2">
        <f t="shared" ca="1" si="38"/>
        <v>-1.1372519462061107E-2</v>
      </c>
      <c r="W328" s="2">
        <f t="shared" ca="1" si="39"/>
        <v>-1.1524054672259381E-2</v>
      </c>
      <c r="X328" s="2">
        <v>4.1907761441588587E-3</v>
      </c>
      <c r="Y328" s="2">
        <f t="shared" ca="1" si="42"/>
        <v>-1.1372519462061109E-2</v>
      </c>
      <c r="Z328" s="2">
        <f t="shared" ca="1" si="40"/>
        <v>-8.2712254815819845E-3</v>
      </c>
    </row>
    <row r="329" spans="1:26">
      <c r="A329" s="22">
        <v>42124</v>
      </c>
      <c r="B329" s="25" t="s">
        <v>45</v>
      </c>
      <c r="C329" s="25" t="s">
        <v>46</v>
      </c>
      <c r="D329" s="25" t="s">
        <v>41</v>
      </c>
      <c r="E329" s="25" t="s">
        <v>41</v>
      </c>
      <c r="F329" s="25" t="s">
        <v>39</v>
      </c>
      <c r="H329" s="23">
        <f ca="1">'Index Data'!E438</f>
        <v>-3.5875269193012121E-3</v>
      </c>
      <c r="I329" s="23">
        <f ca="1">'Index Data'!D438</f>
        <v>2.950602023531566E-2</v>
      </c>
      <c r="J329" s="23">
        <f ca="1">'Index Data'!B438</f>
        <v>4.16337333709473E-2</v>
      </c>
      <c r="K329" s="23">
        <f ca="1">'Index Data'!C438</f>
        <v>7.7170156121945208E-2</v>
      </c>
      <c r="L329" s="23">
        <f ca="1">'Index Data'!AH438</f>
        <v>-5.9999999999999995E-4</v>
      </c>
      <c r="M329" s="23">
        <f ca="1">'Index Data'!V438</f>
        <v>5.0077981371600367E-3</v>
      </c>
      <c r="N329" s="23">
        <f ca="1">'Index Data'!W438</f>
        <v>9.3493283892251665E-3</v>
      </c>
      <c r="O329" s="23">
        <f ca="1">'Index Data'!R438</f>
        <v>-8.7264656553045546E-3</v>
      </c>
      <c r="P329" s="23">
        <f ca="1">'Index Data'!S438</f>
        <v>-5.5595370718589058E-3</v>
      </c>
      <c r="Q329" s="23">
        <f ca="1">'Index Data'!U438</f>
        <v>7.0986435757725954E-3</v>
      </c>
      <c r="R329" s="24"/>
      <c r="S329" s="23">
        <f t="shared" ca="1" si="41"/>
        <v>2.2887310804392286E-2</v>
      </c>
      <c r="T329" s="2">
        <f t="shared" ca="1" si="36"/>
        <v>5.0077981371600367E-3</v>
      </c>
      <c r="U329" s="2">
        <f t="shared" ca="1" si="37"/>
        <v>5.0077981371600367E-3</v>
      </c>
      <c r="V329" s="2">
        <f t="shared" ca="1" si="38"/>
        <v>5.0077981371600367E-3</v>
      </c>
      <c r="W329" s="2">
        <f t="shared" ca="1" si="39"/>
        <v>-8.7264656553045546E-3</v>
      </c>
      <c r="X329" s="2">
        <v>8.0021534073726475E-3</v>
      </c>
      <c r="Y329" s="2">
        <f t="shared" ca="1" si="42"/>
        <v>5.0077981371600367E-3</v>
      </c>
      <c r="Z329" s="2">
        <f t="shared" ca="1" si="40"/>
        <v>4.5765994067677148E-3</v>
      </c>
    </row>
    <row r="330" spans="1:26">
      <c r="A330" s="22">
        <v>42155</v>
      </c>
      <c r="B330" s="25" t="s">
        <v>45</v>
      </c>
      <c r="C330" s="25" t="s">
        <v>46</v>
      </c>
      <c r="D330" s="25" t="s">
        <v>41</v>
      </c>
      <c r="E330" s="25" t="s">
        <v>41</v>
      </c>
      <c r="F330" s="25" t="s">
        <v>39</v>
      </c>
      <c r="H330" s="23">
        <f ca="1">'Index Data'!E439</f>
        <v>-2.4088927862172503E-3</v>
      </c>
      <c r="I330" s="23">
        <f ca="1">'Index Data'!D439</f>
        <v>-5.2745352356235839E-4</v>
      </c>
      <c r="J330" s="23">
        <f ca="1">'Index Data'!B439</f>
        <v>-3.9704957516080493E-3</v>
      </c>
      <c r="K330" s="23">
        <f ca="1">'Index Data'!C439</f>
        <v>-3.985652784144348E-2</v>
      </c>
      <c r="L330" s="23">
        <f ca="1">'Index Data'!AH439</f>
        <v>5.8999999999999999E-3</v>
      </c>
      <c r="M330" s="23">
        <f ca="1">'Index Data'!V439</f>
        <v>1.4076157985881613E-2</v>
      </c>
      <c r="N330" s="23">
        <f ca="1">'Index Data'!W439</f>
        <v>1.2018028693414904E-2</v>
      </c>
      <c r="O330" s="23">
        <f ca="1">'Index Data'!R439</f>
        <v>3.2897833526276156E-2</v>
      </c>
      <c r="P330" s="23">
        <f ca="1">'Index Data'!S439</f>
        <v>1.0699594350157601E-2</v>
      </c>
      <c r="Q330" s="23">
        <f ca="1">'Index Data'!U439</f>
        <v>1.308277536930252E-2</v>
      </c>
      <c r="R330" s="24"/>
      <c r="S330" s="23">
        <f t="shared" ca="1" si="41"/>
        <v>-9.0374137609333682E-4</v>
      </c>
      <c r="T330" s="2">
        <f t="shared" ca="1" si="36"/>
        <v>1.4076157985881613E-2</v>
      </c>
      <c r="U330" s="2">
        <f t="shared" ca="1" si="37"/>
        <v>1.4076157985881613E-2</v>
      </c>
      <c r="V330" s="2">
        <f t="shared" ca="1" si="38"/>
        <v>1.4076157985881613E-2</v>
      </c>
      <c r="W330" s="2">
        <f t="shared" ca="1" si="39"/>
        <v>3.2897833526276156E-2</v>
      </c>
      <c r="X330" s="2">
        <v>1.3214597205249534E-2</v>
      </c>
      <c r="Y330" s="2">
        <f t="shared" ca="1" si="42"/>
        <v>1.4076157985881613E-2</v>
      </c>
      <c r="Z330" s="2">
        <f t="shared" ca="1" si="40"/>
        <v>1.5315471495284788E-2</v>
      </c>
    </row>
    <row r="331" spans="1:26">
      <c r="A331" s="22">
        <v>42185</v>
      </c>
      <c r="B331" s="25" t="s">
        <v>45</v>
      </c>
      <c r="C331" s="25" t="s">
        <v>46</v>
      </c>
      <c r="D331" s="25" t="s">
        <v>41</v>
      </c>
      <c r="E331" s="25" t="s">
        <v>41</v>
      </c>
      <c r="F331" s="25" t="s">
        <v>39</v>
      </c>
      <c r="H331" s="23">
        <f ca="1">'Index Data'!E440</f>
        <v>-1.0904973164148502E-2</v>
      </c>
      <c r="I331" s="23">
        <f ca="1">'Index Data'!D440</f>
        <v>-2.3099083822855186E-2</v>
      </c>
      <c r="J331" s="23">
        <f ca="1">'Index Data'!B440</f>
        <v>-2.8048316917514696E-2</v>
      </c>
      <c r="K331" s="23">
        <f ca="1">'Index Data'!C440</f>
        <v>-2.5204872646733129E-2</v>
      </c>
      <c r="L331" s="23">
        <f ca="1">'Index Data'!AH440</f>
        <v>-1.4800000000000001E-2</v>
      </c>
      <c r="M331" s="23">
        <f ca="1">'Index Data'!V440</f>
        <v>-1.7616790719793125E-2</v>
      </c>
      <c r="N331" s="23">
        <f ca="1">'Index Data'!W440</f>
        <v>-1.9967221402304332E-2</v>
      </c>
      <c r="O331" s="23">
        <f ca="1">'Index Data'!R440</f>
        <v>-2.5186900348551709E-3</v>
      </c>
      <c r="P331" s="23">
        <f ca="1">'Index Data'!S440</f>
        <v>-2.2199865861837646E-2</v>
      </c>
      <c r="Q331" s="23">
        <f ca="1">'Index Data'!U440</f>
        <v>-1.8759736367161595E-2</v>
      </c>
      <c r="R331" s="24"/>
      <c r="S331" s="23">
        <f t="shared" ca="1" si="41"/>
        <v>-2.0660261691113849E-2</v>
      </c>
      <c r="T331" s="2">
        <f t="shared" ca="1" si="36"/>
        <v>-1.7616790719793125E-2</v>
      </c>
      <c r="U331" s="2">
        <f t="shared" ca="1" si="37"/>
        <v>-1.7616790719793125E-2</v>
      </c>
      <c r="V331" s="2">
        <f t="shared" ca="1" si="38"/>
        <v>-1.7616790719793125E-2</v>
      </c>
      <c r="W331" s="2">
        <f t="shared" ca="1" si="39"/>
        <v>-2.5186900348551709E-3</v>
      </c>
      <c r="X331" s="2">
        <v>-2.0707729623735238E-2</v>
      </c>
      <c r="Y331" s="2">
        <f t="shared" ca="1" si="42"/>
        <v>-1.7616790719793125E-2</v>
      </c>
      <c r="Z331" s="2">
        <f t="shared" ca="1" si="40"/>
        <v>-1.7102620949211202E-2</v>
      </c>
    </row>
    <row r="332" spans="1:26">
      <c r="A332" s="22">
        <v>42216</v>
      </c>
      <c r="B332" s="25" t="s">
        <v>45</v>
      </c>
      <c r="C332" s="25" t="s">
        <v>46</v>
      </c>
      <c r="D332" s="25" t="s">
        <v>41</v>
      </c>
      <c r="E332" s="25" t="s">
        <v>41</v>
      </c>
      <c r="F332" s="25" t="s">
        <v>39</v>
      </c>
      <c r="H332" s="23">
        <f ca="1">'Index Data'!E441</f>
        <v>6.9528305339041745E-3</v>
      </c>
      <c r="I332" s="23">
        <f ca="1">'Index Data'!D441</f>
        <v>9.0482052242252583E-3</v>
      </c>
      <c r="J332" s="23">
        <f ca="1">'Index Data'!B441</f>
        <v>2.0807052492271754E-2</v>
      </c>
      <c r="K332" s="23">
        <f ca="1">'Index Data'!C441</f>
        <v>-6.8708534036171914E-2</v>
      </c>
      <c r="L332" s="23">
        <f ca="1">'Index Data'!AH441</f>
        <v>-6.5599999999999992E-2</v>
      </c>
      <c r="M332" s="23">
        <f ca="1">'Index Data'!V441</f>
        <v>3.3910602978450298E-2</v>
      </c>
      <c r="N332" s="23">
        <f ca="1">'Index Data'!W441</f>
        <v>4.3846439286409451E-3</v>
      </c>
      <c r="O332" s="23">
        <f ca="1">'Index Data'!R441</f>
        <v>3.8820326342628962E-2</v>
      </c>
      <c r="P332" s="23">
        <f ca="1">'Index Data'!S441</f>
        <v>3.9822960927938862E-2</v>
      </c>
      <c r="Q332" s="23">
        <f ca="1">'Index Data'!U441</f>
        <v>1.927496252040696E-2</v>
      </c>
      <c r="R332" s="24"/>
      <c r="S332" s="23">
        <f t="shared" ca="1" si="41"/>
        <v>8.6291302861610415E-3</v>
      </c>
      <c r="T332" s="2">
        <f t="shared" ca="1" si="36"/>
        <v>3.3910602978450298E-2</v>
      </c>
      <c r="U332" s="2">
        <f t="shared" ca="1" si="37"/>
        <v>3.3910602978450298E-2</v>
      </c>
      <c r="V332" s="2">
        <f t="shared" ca="1" si="38"/>
        <v>3.3910602978450298E-2</v>
      </c>
      <c r="W332" s="2">
        <f t="shared" ca="1" si="39"/>
        <v>3.8820326342628962E-2</v>
      </c>
      <c r="X332" s="2">
        <v>2.7280874321046644E-2</v>
      </c>
      <c r="Y332" s="2">
        <f t="shared" ca="1" si="42"/>
        <v>3.3910602978450298E-2</v>
      </c>
      <c r="Z332" s="2">
        <f t="shared" ca="1" si="40"/>
        <v>3.2952886499282963E-2</v>
      </c>
    </row>
    <row r="333" spans="1:26">
      <c r="A333" s="22">
        <v>42247</v>
      </c>
      <c r="B333" s="25" t="s">
        <v>45</v>
      </c>
      <c r="C333" s="25" t="s">
        <v>46</v>
      </c>
      <c r="D333" s="25" t="s">
        <v>41</v>
      </c>
      <c r="E333" s="25" t="s">
        <v>41</v>
      </c>
      <c r="F333" s="25" t="s">
        <v>39</v>
      </c>
      <c r="H333" s="23">
        <f ca="1">'Index Data'!E442</f>
        <v>-1.4380720489671225E-3</v>
      </c>
      <c r="I333" s="23">
        <f ca="1">'Index Data'!D442</f>
        <v>-6.8145714876784405E-2</v>
      </c>
      <c r="J333" s="23">
        <f ca="1">'Index Data'!B442</f>
        <v>-7.3457244301621469E-2</v>
      </c>
      <c r="K333" s="23">
        <f ca="1">'Index Data'!C442</f>
        <v>-9.009683050865841E-2</v>
      </c>
      <c r="L333" s="23">
        <f ca="1">'Index Data'!AH442</f>
        <v>3.39E-2</v>
      </c>
      <c r="M333" s="23">
        <f ca="1">'Index Data'!V442</f>
        <v>-6.0728523435913506E-2</v>
      </c>
      <c r="N333" s="23">
        <f ca="1">'Index Data'!W442</f>
        <v>-5.9556392023803965E-2</v>
      </c>
      <c r="O333" s="23">
        <f ca="1">'Index Data'!R442</f>
        <v>-5.9596469854099311E-2</v>
      </c>
      <c r="P333" s="23">
        <f ca="1">'Index Data'!S442</f>
        <v>-4.5057493611820973E-2</v>
      </c>
      <c r="Q333" s="23">
        <f ca="1">'Index Data'!U442</f>
        <v>-6.0152967963313438E-2</v>
      </c>
      <c r="R333" s="24"/>
      <c r="S333" s="23">
        <f t="shared" ca="1" si="41"/>
        <v>-5.4804186311220957E-2</v>
      </c>
      <c r="T333" s="2">
        <f t="shared" ca="1" si="36"/>
        <v>-6.0728523435913506E-2</v>
      </c>
      <c r="U333" s="2">
        <f t="shared" ca="1" si="37"/>
        <v>-6.0728523435913506E-2</v>
      </c>
      <c r="V333" s="2">
        <f t="shared" ca="1" si="38"/>
        <v>-6.0728523435913506E-2</v>
      </c>
      <c r="W333" s="2">
        <f t="shared" ca="1" si="39"/>
        <v>-5.9596469854099311E-2</v>
      </c>
      <c r="X333" s="2">
        <v>-5.6837842867024535E-2</v>
      </c>
      <c r="Y333" s="2">
        <f t="shared" ca="1" si="42"/>
        <v>-6.0728523435913506E-2</v>
      </c>
      <c r="Z333" s="2">
        <f t="shared" ca="1" si="40"/>
        <v>-5.9865483303499653E-2</v>
      </c>
    </row>
    <row r="334" spans="1:26">
      <c r="A334" s="22">
        <v>42277</v>
      </c>
      <c r="B334" s="25" t="s">
        <v>45</v>
      </c>
      <c r="C334" s="25" t="s">
        <v>46</v>
      </c>
      <c r="D334" s="25" t="s">
        <v>41</v>
      </c>
      <c r="E334" s="25" t="s">
        <v>41</v>
      </c>
      <c r="F334" s="25" t="s">
        <v>39</v>
      </c>
      <c r="H334" s="23">
        <f ca="1">'Index Data'!E443</f>
        <v>6.7639933035946341E-3</v>
      </c>
      <c r="I334" s="23">
        <f ca="1">'Index Data'!D443</f>
        <v>-3.5785547735366949E-2</v>
      </c>
      <c r="J334" s="23">
        <f ca="1">'Index Data'!B443</f>
        <v>-5.0415831129792428E-2</v>
      </c>
      <c r="K334" s="23">
        <f ca="1">'Index Data'!C443</f>
        <v>-2.9726863217103154E-2</v>
      </c>
      <c r="L334" s="23">
        <f ca="1">'Index Data'!AH443</f>
        <v>-1.46E-2</v>
      </c>
      <c r="M334" s="23">
        <f ca="1">'Index Data'!V443</f>
        <v>-2.4737768896097856E-2</v>
      </c>
      <c r="N334" s="23">
        <f ca="1">'Index Data'!W443</f>
        <v>-3.0190364451209279E-2</v>
      </c>
      <c r="O334" s="23">
        <f ca="1">'Index Data'!R443</f>
        <v>-1.9268565506170985E-2</v>
      </c>
      <c r="P334" s="23">
        <f ca="1">'Index Data'!S443</f>
        <v>-5.6497996757000311E-3</v>
      </c>
      <c r="Q334" s="23">
        <f ca="1">'Index Data'!U443</f>
        <v>-2.7407723344906029E-2</v>
      </c>
      <c r="R334" s="24"/>
      <c r="S334" s="23">
        <f t="shared" ca="1" si="41"/>
        <v>-2.7275639527574634E-2</v>
      </c>
      <c r="T334" s="2">
        <f t="shared" ca="1" si="36"/>
        <v>-2.4737768896097856E-2</v>
      </c>
      <c r="U334" s="2">
        <f t="shared" ca="1" si="37"/>
        <v>-2.4737768896097856E-2</v>
      </c>
      <c r="V334" s="2">
        <f t="shared" ca="1" si="38"/>
        <v>-2.4737768896097856E-2</v>
      </c>
      <c r="W334" s="2">
        <f t="shared" ca="1" si="39"/>
        <v>-1.9268565506170985E-2</v>
      </c>
      <c r="X334" s="2">
        <v>-8.6756404091099526E-3</v>
      </c>
      <c r="Y334" s="2">
        <f t="shared" ca="1" si="42"/>
        <v>-2.4737768896097856E-2</v>
      </c>
      <c r="Z334" s="2">
        <f t="shared" ca="1" si="40"/>
        <v>-2.1115152944455762E-2</v>
      </c>
    </row>
    <row r="335" spans="1:26">
      <c r="A335" s="22">
        <v>42308</v>
      </c>
      <c r="B335" s="25" t="s">
        <v>45</v>
      </c>
      <c r="C335" s="25" t="s">
        <v>46</v>
      </c>
      <c r="D335" s="25" t="s">
        <v>41</v>
      </c>
      <c r="E335" s="25" t="s">
        <v>41</v>
      </c>
      <c r="F335" s="25" t="s">
        <v>39</v>
      </c>
      <c r="H335" s="23">
        <f ca="1">'Index Data'!E444</f>
        <v>1.7041669463906635E-4</v>
      </c>
      <c r="I335" s="23">
        <f ca="1">'Index Data'!D444</f>
        <v>7.874988139027353E-2</v>
      </c>
      <c r="J335" s="23">
        <f ca="1">'Index Data'!B444</f>
        <v>7.8230966912892969E-2</v>
      </c>
      <c r="K335" s="23">
        <f ca="1">'Index Data'!C444</f>
        <v>7.1401814061741953E-2</v>
      </c>
      <c r="L335" s="23">
        <f ca="1">'Index Data'!AH444</f>
        <v>2.3199999999999998E-2</v>
      </c>
      <c r="M335" s="23">
        <f ca="1">'Index Data'!V444</f>
        <v>8.610562344941651E-2</v>
      </c>
      <c r="N335" s="23">
        <f ca="1">'Index Data'!W444</f>
        <v>7.545269345452997E-2</v>
      </c>
      <c r="O335" s="23">
        <f ca="1">'Index Data'!R444</f>
        <v>7.287934634121189E-2</v>
      </c>
      <c r="P335" s="23">
        <f ca="1">'Index Data'!S444</f>
        <v>6.0117001828153591E-2</v>
      </c>
      <c r="Q335" s="23">
        <f ca="1">'Index Data'!U444</f>
        <v>8.090845479433495E-2</v>
      </c>
      <c r="R335" s="24"/>
      <c r="S335" s="23">
        <f t="shared" ca="1" si="41"/>
        <v>6.3033988451146633E-2</v>
      </c>
      <c r="T335" s="2">
        <f t="shared" ca="1" si="36"/>
        <v>8.610562344941651E-2</v>
      </c>
      <c r="U335" s="2">
        <f t="shared" ca="1" si="37"/>
        <v>8.610562344941651E-2</v>
      </c>
      <c r="V335" s="2">
        <f t="shared" ca="1" si="38"/>
        <v>8.610562344941651E-2</v>
      </c>
      <c r="W335" s="2">
        <f t="shared" ca="1" si="39"/>
        <v>7.287934634121189E-2</v>
      </c>
      <c r="X335" s="2">
        <v>8.5227678717914479E-2</v>
      </c>
      <c r="Y335" s="2">
        <f t="shared" ca="1" si="42"/>
        <v>8.610562344941651E-2</v>
      </c>
      <c r="Z335" s="2">
        <f t="shared" ca="1" si="40"/>
        <v>8.4938063720000762E-2</v>
      </c>
    </row>
    <row r="336" spans="1:26">
      <c r="A336" s="22">
        <v>42338</v>
      </c>
      <c r="B336" s="25" t="s">
        <v>45</v>
      </c>
      <c r="C336" s="25" t="s">
        <v>46</v>
      </c>
      <c r="D336" s="25" t="s">
        <v>41</v>
      </c>
      <c r="E336" s="25" t="s">
        <v>41</v>
      </c>
      <c r="F336" s="25" t="s">
        <v>39</v>
      </c>
      <c r="H336" s="23">
        <f ca="1">'Index Data'!E445</f>
        <v>-2.6435903261115947E-3</v>
      </c>
      <c r="I336" s="23">
        <f ca="1">'Index Data'!D445</f>
        <v>-7.812995184142307E-3</v>
      </c>
      <c r="J336" s="23">
        <f ca="1">'Index Data'!B445</f>
        <v>-1.5438643726265463E-2</v>
      </c>
      <c r="K336" s="23">
        <f ca="1">'Index Data'!C445</f>
        <v>-3.894168491281972E-2</v>
      </c>
      <c r="L336" s="23">
        <f ca="1">'Index Data'!AH445</f>
        <v>-6.6199999999999995E-2</v>
      </c>
      <c r="M336" s="23">
        <f ca="1">'Index Data'!V445</f>
        <v>2.8066628102372303E-3</v>
      </c>
      <c r="N336" s="23">
        <f ca="1">'Index Data'!W445</f>
        <v>3.8273923735912675E-3</v>
      </c>
      <c r="O336" s="23">
        <f ca="1">'Index Data'!R445</f>
        <v>5.1111725065766502E-3</v>
      </c>
      <c r="P336" s="23">
        <f ca="1">'Index Data'!S445</f>
        <v>-2.3521945768464601E-3</v>
      </c>
      <c r="Q336" s="23">
        <f ca="1">'Index Data'!U445</f>
        <v>3.3034493100016437E-3</v>
      </c>
      <c r="R336" s="24"/>
      <c r="S336" s="23">
        <f t="shared" ca="1" si="41"/>
        <v>-6.779114212536165E-3</v>
      </c>
      <c r="T336" s="2">
        <f t="shared" ca="1" si="36"/>
        <v>2.8066628102372303E-3</v>
      </c>
      <c r="U336" s="2">
        <f t="shared" ca="1" si="37"/>
        <v>2.8066628102372303E-3</v>
      </c>
      <c r="V336" s="2">
        <f t="shared" ca="1" si="38"/>
        <v>2.8066628102372303E-3</v>
      </c>
      <c r="W336" s="2">
        <f t="shared" ca="1" si="39"/>
        <v>5.1111725065766502E-3</v>
      </c>
      <c r="X336" s="2">
        <v>5.4374258797427188E-3</v>
      </c>
      <c r="Y336" s="2">
        <f t="shared" ca="1" si="42"/>
        <v>2.8066628102372303E-3</v>
      </c>
      <c r="Z336" s="2">
        <f t="shared" ca="1" si="40"/>
        <v>3.5056536513637846E-3</v>
      </c>
    </row>
    <row r="337" spans="1:26">
      <c r="A337" s="22">
        <v>42369</v>
      </c>
      <c r="B337" s="25" t="s">
        <v>45</v>
      </c>
      <c r="C337" s="25" t="s">
        <v>46</v>
      </c>
      <c r="D337" s="25" t="s">
        <v>41</v>
      </c>
      <c r="E337" s="25" t="s">
        <v>41</v>
      </c>
      <c r="F337" s="25" t="s">
        <v>39</v>
      </c>
      <c r="H337" s="23">
        <f ca="1">'Index Data'!E446</f>
        <v>-3.2304156053923135E-3</v>
      </c>
      <c r="I337" s="23">
        <f ca="1">'Index Data'!D446</f>
        <v>-1.7613368951189708E-2</v>
      </c>
      <c r="J337" s="23">
        <f ca="1">'Index Data'!B446</f>
        <v>-1.3290109491359893E-2</v>
      </c>
      <c r="K337" s="23">
        <f ca="1">'Index Data'!C446</f>
        <v>-2.1720979054344239E-2</v>
      </c>
      <c r="L337" s="23">
        <f ca="1">'Index Data'!AH446</f>
        <v>-5.3E-3</v>
      </c>
      <c r="M337" s="23">
        <f ca="1">'Index Data'!V446</f>
        <v>-1.4674229985204458E-2</v>
      </c>
      <c r="N337" s="23">
        <f ca="1">'Index Data'!W446</f>
        <v>-2.1505466807108617E-2</v>
      </c>
      <c r="O337" s="23">
        <f ca="1">'Index Data'!R446</f>
        <v>-5.3779825394838991E-4</v>
      </c>
      <c r="P337" s="23">
        <f ca="1">'Index Data'!S446</f>
        <v>5.1476180598768843E-3</v>
      </c>
      <c r="Q337" s="23">
        <f ca="1">'Index Data'!U446</f>
        <v>-1.7990424430641701E-2</v>
      </c>
      <c r="R337" s="24"/>
      <c r="S337" s="23">
        <f t="shared" ca="1" si="41"/>
        <v>-1.4736778282030228E-2</v>
      </c>
      <c r="T337" s="2">
        <f t="shared" ca="1" si="36"/>
        <v>-1.4674229985204458E-2</v>
      </c>
      <c r="U337" s="2">
        <f t="shared" ca="1" si="37"/>
        <v>-1.4674229985204458E-2</v>
      </c>
      <c r="V337" s="2">
        <f t="shared" ca="1" si="38"/>
        <v>-1.4674229985204458E-2</v>
      </c>
      <c r="W337" s="2">
        <f t="shared" ca="1" si="39"/>
        <v>-5.3779825394838991E-4</v>
      </c>
      <c r="X337" s="2">
        <v>-1.7852264318755307E-2</v>
      </c>
      <c r="Y337" s="2">
        <f t="shared" ca="1" si="42"/>
        <v>-1.4674229985204458E-2</v>
      </c>
      <c r="Z337" s="2">
        <f t="shared" ca="1" si="40"/>
        <v>-1.4249604472070423E-2</v>
      </c>
    </row>
    <row r="338" spans="1:26">
      <c r="A338" s="22">
        <v>42400</v>
      </c>
      <c r="B338" s="25" t="s">
        <v>45</v>
      </c>
      <c r="C338" s="25" t="s">
        <v>46</v>
      </c>
      <c r="D338" s="25" t="s">
        <v>41</v>
      </c>
      <c r="E338" s="25" t="s">
        <v>41</v>
      </c>
      <c r="F338" s="25" t="s">
        <v>39</v>
      </c>
      <c r="H338" s="23">
        <f ca="1">'Index Data'!E447</f>
        <v>1.3758180118416957E-2</v>
      </c>
      <c r="I338" s="23">
        <f ca="1">'Index Data'!D447</f>
        <v>-6.0075299825751265E-2</v>
      </c>
      <c r="J338" s="23">
        <f ca="1">'Index Data'!B447</f>
        <v>-7.2220223581297996E-2</v>
      </c>
      <c r="K338" s="23">
        <f ca="1">'Index Data'!C447</f>
        <v>-6.4817411449125117E-2</v>
      </c>
      <c r="L338" s="23">
        <f ca="1">'Index Data'!AH447</f>
        <v>5.2999999999999999E-2</v>
      </c>
      <c r="M338" s="23">
        <f ca="1">'Index Data'!V447</f>
        <v>-5.5827284539132223E-2</v>
      </c>
      <c r="N338" s="23">
        <f ca="1">'Index Data'!W447</f>
        <v>-5.1672905922793659E-2</v>
      </c>
      <c r="O338" s="23">
        <f ca="1">'Index Data'!R447</f>
        <v>-3.6864981854489061E-2</v>
      </c>
      <c r="P338" s="23">
        <f ca="1">'Index Data'!S447</f>
        <v>-1.3922661814829825E-2</v>
      </c>
      <c r="Q338" s="23">
        <f ca="1">'Index Data'!U447</f>
        <v>-5.3824168497174307E-2</v>
      </c>
      <c r="R338" s="24"/>
      <c r="S338" s="23">
        <f t="shared" ca="1" si="41"/>
        <v>-4.5308603836917621E-2</v>
      </c>
      <c r="T338" s="2">
        <f t="shared" ca="1" si="36"/>
        <v>-5.5827284539132223E-2</v>
      </c>
      <c r="U338" s="2">
        <f t="shared" ca="1" si="37"/>
        <v>-5.5827284539132223E-2</v>
      </c>
      <c r="V338" s="2">
        <f t="shared" ca="1" si="38"/>
        <v>-5.5827284539132223E-2</v>
      </c>
      <c r="W338" s="2">
        <f t="shared" ca="1" si="39"/>
        <v>-3.6864981854489061E-2</v>
      </c>
      <c r="X338" s="2">
        <v>-5.7544718067270684E-2</v>
      </c>
      <c r="Y338" s="2">
        <f t="shared" ca="1" si="42"/>
        <v>-5.582728453913223E-2</v>
      </c>
      <c r="Z338" s="2">
        <f t="shared" ca="1" si="40"/>
        <v>-5.4748598543411672E-2</v>
      </c>
    </row>
    <row r="339" spans="1:26">
      <c r="A339" s="22">
        <v>42429</v>
      </c>
      <c r="B339" s="25" t="s">
        <v>45</v>
      </c>
      <c r="C339" s="25" t="s">
        <v>46</v>
      </c>
      <c r="D339" s="25" t="s">
        <v>41</v>
      </c>
      <c r="E339" s="25" t="s">
        <v>41</v>
      </c>
      <c r="F339" s="25" t="s">
        <v>39</v>
      </c>
      <c r="H339" s="23">
        <f ca="1">'Index Data'!E448</f>
        <v>7.0956867446423256E-3</v>
      </c>
      <c r="I339" s="23">
        <f ca="1">'Index Data'!D448</f>
        <v>-6.3225994100978965E-3</v>
      </c>
      <c r="J339" s="23">
        <f ca="1">'Index Data'!B448</f>
        <v>-1.7972607794589968E-2</v>
      </c>
      <c r="K339" s="23">
        <f ca="1">'Index Data'!C448</f>
        <v>-1.5319626070743485E-3</v>
      </c>
      <c r="L339" s="23">
        <f ca="1">'Index Data'!AH448</f>
        <v>0.1057</v>
      </c>
      <c r="M339" s="23">
        <f ca="1">'Index Data'!V448</f>
        <v>-4.2734848965743285E-4</v>
      </c>
      <c r="N339" s="23">
        <f ca="1">'Index Data'!W448</f>
        <v>-2.5204743206280874E-4</v>
      </c>
      <c r="O339" s="23">
        <f ca="1">'Index Data'!R448</f>
        <v>-1.3091816528340862E-2</v>
      </c>
      <c r="P339" s="23">
        <f ca="1">'Index Data'!S448</f>
        <v>1.0889393479618068E-2</v>
      </c>
      <c r="Q339" s="23">
        <f ca="1">'Index Data'!U448</f>
        <v>-3.4311677459779078E-4</v>
      </c>
      <c r="R339" s="24"/>
      <c r="S339" s="23">
        <f t="shared" ca="1" si="41"/>
        <v>-3.6389421791498521E-3</v>
      </c>
      <c r="T339" s="2">
        <f t="shared" ca="1" si="36"/>
        <v>-4.2734848965743285E-4</v>
      </c>
      <c r="U339" s="2">
        <f t="shared" ca="1" si="37"/>
        <v>-4.2734848965743285E-4</v>
      </c>
      <c r="V339" s="2">
        <f t="shared" ca="1" si="38"/>
        <v>-4.2734848965743285E-4</v>
      </c>
      <c r="W339" s="2">
        <f t="shared" ca="1" si="39"/>
        <v>-1.3091816528340862E-2</v>
      </c>
      <c r="X339" s="2">
        <v>6.9399021969036578E-3</v>
      </c>
      <c r="Y339" s="2">
        <f t="shared" ca="1" si="42"/>
        <v>-4.2734848965743285E-4</v>
      </c>
      <c r="Z339" s="2">
        <f t="shared" ca="1" si="40"/>
        <v>9.62665447535283E-5</v>
      </c>
    </row>
    <row r="340" spans="1:26">
      <c r="A340" s="22">
        <v>42460</v>
      </c>
      <c r="B340" s="25" t="s">
        <v>45</v>
      </c>
      <c r="C340" s="25" t="s">
        <v>46</v>
      </c>
      <c r="D340" s="25" t="s">
        <v>41</v>
      </c>
      <c r="E340" s="25" t="s">
        <v>41</v>
      </c>
      <c r="F340" s="25" t="s">
        <v>39</v>
      </c>
      <c r="H340" s="23">
        <f ca="1">'Index Data'!E449</f>
        <v>9.17211838798619E-3</v>
      </c>
      <c r="I340" s="23">
        <f ca="1">'Index Data'!D449</f>
        <v>7.4798053355120714E-2</v>
      </c>
      <c r="J340" s="23">
        <f ca="1">'Index Data'!B449</f>
        <v>6.5940269207509394E-2</v>
      </c>
      <c r="K340" s="23">
        <f ca="1">'Index Data'!C449</f>
        <v>0.13257771132714816</v>
      </c>
      <c r="L340" s="23">
        <f ca="1">'Index Data'!AH449</f>
        <v>-2.0000000000000001E-4</v>
      </c>
      <c r="M340" s="23">
        <f ca="1">'Index Data'!V449</f>
        <v>6.7442195401034466E-2</v>
      </c>
      <c r="N340" s="23">
        <f ca="1">'Index Data'!W449</f>
        <v>7.2034816707158597E-2</v>
      </c>
      <c r="O340" s="23">
        <f ca="1">'Index Data'!R449</f>
        <v>5.2760026166155154E-2</v>
      </c>
      <c r="P340" s="23">
        <f ca="1">'Index Data'!S449</f>
        <v>6.0126352980957261E-2</v>
      </c>
      <c r="Q340" s="23">
        <f ca="1">'Index Data'!U449</f>
        <v>6.9660939647664802E-2</v>
      </c>
      <c r="R340" s="24"/>
      <c r="S340" s="23">
        <f t="shared" ca="1" si="41"/>
        <v>6.1672866361693814E-2</v>
      </c>
      <c r="T340" s="2">
        <f t="shared" ca="1" si="36"/>
        <v>6.7442195401034466E-2</v>
      </c>
      <c r="U340" s="2">
        <f t="shared" ca="1" si="37"/>
        <v>6.7442195401034466E-2</v>
      </c>
      <c r="V340" s="2">
        <f t="shared" ca="1" si="38"/>
        <v>6.7442195401034466E-2</v>
      </c>
      <c r="W340" s="2">
        <f t="shared" ca="1" si="39"/>
        <v>5.2760026166155154E-2</v>
      </c>
      <c r="X340" s="2">
        <v>7.2707408821677255E-2</v>
      </c>
      <c r="Y340" s="2">
        <f t="shared" ca="1" si="42"/>
        <v>6.7442195401034466E-2</v>
      </c>
      <c r="Z340" s="2">
        <f t="shared" ca="1" si="40"/>
        <v>6.7394075392547076E-2</v>
      </c>
    </row>
    <row r="341" spans="1:26">
      <c r="A341" s="22">
        <v>42490</v>
      </c>
      <c r="B341" s="25" t="s">
        <v>45</v>
      </c>
      <c r="C341" s="25" t="s">
        <v>46</v>
      </c>
      <c r="D341" s="25" t="s">
        <v>41</v>
      </c>
      <c r="E341" s="25" t="s">
        <v>41</v>
      </c>
      <c r="F341" s="25" t="s">
        <v>39</v>
      </c>
      <c r="H341" s="23">
        <f ca="1">'Index Data'!E450</f>
        <v>3.8411711035050023E-3</v>
      </c>
      <c r="I341" s="23">
        <f ca="1">'Index Data'!D450</f>
        <v>1.5351341061003424E-2</v>
      </c>
      <c r="J341" s="23">
        <f ca="1">'Index Data'!B450</f>
        <v>3.0045810624668819E-2</v>
      </c>
      <c r="K341" s="23">
        <f ca="1">'Index Data'!C450</f>
        <v>5.63789495529459E-3</v>
      </c>
      <c r="L341" s="23">
        <f ca="1">'Index Data'!AH450</f>
        <v>4.5599999999999995E-2</v>
      </c>
      <c r="M341" s="23">
        <f ca="1">'Index Data'!V450</f>
        <v>-9.1322648569285621E-3</v>
      </c>
      <c r="N341" s="23">
        <f ca="1">'Index Data'!W450</f>
        <v>2.100630984476198E-2</v>
      </c>
      <c r="O341" s="23">
        <f ca="1">'Index Data'!R450</f>
        <v>-6.5482876466792751E-3</v>
      </c>
      <c r="P341" s="23">
        <f ca="1">'Index Data'!S450</f>
        <v>-4.4979804653553666E-3</v>
      </c>
      <c r="Q341" s="23">
        <f ca="1">'Index Data'!U450</f>
        <v>5.4382191346386659E-3</v>
      </c>
      <c r="R341" s="24"/>
      <c r="S341" s="23">
        <f t="shared" ca="1" si="41"/>
        <v>1.3049307069503741E-2</v>
      </c>
      <c r="T341" s="2">
        <f t="shared" ca="1" si="36"/>
        <v>-9.1322648569285621E-3</v>
      </c>
      <c r="U341" s="2">
        <f t="shared" ca="1" si="37"/>
        <v>-9.1322648569285621E-3</v>
      </c>
      <c r="V341" s="2">
        <f t="shared" ca="1" si="38"/>
        <v>-9.1322648569285621E-3</v>
      </c>
      <c r="W341" s="2">
        <f t="shared" ca="1" si="39"/>
        <v>-6.5482876466792751E-3</v>
      </c>
      <c r="X341" s="2">
        <v>1.3261242101221704E-2</v>
      </c>
      <c r="Y341" s="2">
        <f t="shared" ca="1" si="42"/>
        <v>-9.1322648569285621E-3</v>
      </c>
      <c r="Z341" s="2">
        <f t="shared" ca="1" si="40"/>
        <v>-4.4597651745298117E-3</v>
      </c>
    </row>
    <row r="342" spans="1:26">
      <c r="A342" s="22">
        <v>42521</v>
      </c>
      <c r="B342" s="25" t="s">
        <v>45</v>
      </c>
      <c r="C342" s="25" t="s">
        <v>46</v>
      </c>
      <c r="D342" s="25" t="s">
        <v>41</v>
      </c>
      <c r="E342" s="25" t="s">
        <v>41</v>
      </c>
      <c r="F342" s="25" t="s">
        <v>39</v>
      </c>
      <c r="H342" s="23">
        <f ca="1">'Index Data'!E451</f>
        <v>2.5610252135442623E-4</v>
      </c>
      <c r="I342" s="23">
        <f ca="1">'Index Data'!D451</f>
        <v>2.1079960626435861E-3</v>
      </c>
      <c r="J342" s="23">
        <f ca="1">'Index Data'!B451</f>
        <v>-7.836055067219962E-3</v>
      </c>
      <c r="K342" s="23">
        <f ca="1">'Index Data'!C451</f>
        <v>-3.7105825838220217E-2</v>
      </c>
      <c r="L342" s="23">
        <f ca="1">'Index Data'!AH451</f>
        <v>-5.8700000000000002E-2</v>
      </c>
      <c r="M342" s="23">
        <f ca="1">'Index Data'!V451</f>
        <v>1.9419266159312571E-2</v>
      </c>
      <c r="N342" s="23">
        <f ca="1">'Index Data'!W451</f>
        <v>1.5532502094116401E-2</v>
      </c>
      <c r="O342" s="23">
        <f ca="1">'Index Data'!R451</f>
        <v>2.4651783781183101E-2</v>
      </c>
      <c r="P342" s="23">
        <f ca="1">'Index Data'!S451</f>
        <v>1.6088692143971083E-2</v>
      </c>
      <c r="Q342" s="23">
        <f ca="1">'Index Data'!U451</f>
        <v>1.7511742501768266E-2</v>
      </c>
      <c r="R342" s="24"/>
      <c r="S342" s="23">
        <f t="shared" ca="1" si="41"/>
        <v>1.7376173543857541E-3</v>
      </c>
      <c r="T342" s="2">
        <f t="shared" ca="1" si="36"/>
        <v>1.9419266159312571E-2</v>
      </c>
      <c r="U342" s="2">
        <f t="shared" ca="1" si="37"/>
        <v>1.9419266159312571E-2</v>
      </c>
      <c r="V342" s="2">
        <f t="shared" ca="1" si="38"/>
        <v>1.9419266159312571E-2</v>
      </c>
      <c r="W342" s="2">
        <f t="shared" ca="1" si="39"/>
        <v>2.4651783781183101E-2</v>
      </c>
      <c r="X342" s="2">
        <v>6.1326823838692146E-3</v>
      </c>
      <c r="Y342" s="2">
        <f t="shared" ca="1" si="42"/>
        <v>1.9419266159312571E-2</v>
      </c>
      <c r="Z342" s="2">
        <f t="shared" ca="1" si="40"/>
        <v>1.7154388225864188E-2</v>
      </c>
    </row>
    <row r="343" spans="1:26">
      <c r="A343" s="22">
        <v>42551</v>
      </c>
      <c r="B343" s="25" t="s">
        <v>45</v>
      </c>
      <c r="C343" s="25" t="s">
        <v>46</v>
      </c>
      <c r="D343" s="25" t="s">
        <v>41</v>
      </c>
      <c r="E343" s="25" t="s">
        <v>41</v>
      </c>
      <c r="F343" s="25" t="s">
        <v>39</v>
      </c>
      <c r="H343" s="23">
        <f ca="1">'Index Data'!E452</f>
        <v>1.7967769466338653E-2</v>
      </c>
      <c r="I343" s="23">
        <f ca="1">'Index Data'!D452</f>
        <v>-5.5272092270872474E-3</v>
      </c>
      <c r="J343" s="23">
        <f ca="1">'Index Data'!B452</f>
        <v>-3.3151084836048977E-2</v>
      </c>
      <c r="K343" s="23">
        <f ca="1">'Index Data'!C452</f>
        <v>4.0946813197280517E-2</v>
      </c>
      <c r="L343" s="23">
        <f ca="1">'Index Data'!AH452</f>
        <v>8.7100000000000011E-2</v>
      </c>
      <c r="M343" s="23">
        <f ca="1">'Index Data'!V452</f>
        <v>-3.9272439666216208E-3</v>
      </c>
      <c r="N343" s="23">
        <f ca="1">'Index Data'!W452</f>
        <v>8.6473035816267696E-3</v>
      </c>
      <c r="O343" s="23">
        <f ca="1">'Index Data'!R452</f>
        <v>3.0033749082905403E-2</v>
      </c>
      <c r="P343" s="23">
        <f ca="1">'Index Data'!S452</f>
        <v>4.5783620989227371E-2</v>
      </c>
      <c r="Q343" s="23">
        <f ca="1">'Index Data'!U452</f>
        <v>2.2644790600135586E-3</v>
      </c>
      <c r="R343" s="24"/>
      <c r="S343" s="23">
        <f t="shared" ca="1" si="41"/>
        <v>-8.2821348840206744E-4</v>
      </c>
      <c r="T343" s="2">
        <f t="shared" ca="1" si="36"/>
        <v>-3.9272439666216208E-3</v>
      </c>
      <c r="U343" s="2">
        <f t="shared" ca="1" si="37"/>
        <v>-3.9272439666216208E-3</v>
      </c>
      <c r="V343" s="2">
        <f t="shared" ca="1" si="38"/>
        <v>-3.9272439666216208E-3</v>
      </c>
      <c r="W343" s="2">
        <f t="shared" ca="1" si="39"/>
        <v>3.0033749082905403E-2</v>
      </c>
      <c r="X343" s="2">
        <v>1.8621506717092284E-2</v>
      </c>
      <c r="Y343" s="2">
        <f t="shared" ca="1" si="42"/>
        <v>-3.9272439666216217E-3</v>
      </c>
      <c r="Z343" s="2">
        <f t="shared" ca="1" si="40"/>
        <v>3.1295806488356869E-3</v>
      </c>
    </row>
    <row r="344" spans="1:26">
      <c r="A344" s="22">
        <v>42582</v>
      </c>
      <c r="B344" s="25" t="s">
        <v>45</v>
      </c>
      <c r="C344" s="25" t="s">
        <v>47</v>
      </c>
      <c r="D344" s="25" t="s">
        <v>41</v>
      </c>
      <c r="E344" s="25" t="s">
        <v>41</v>
      </c>
      <c r="F344" s="25" t="s">
        <v>39</v>
      </c>
      <c r="H344" s="23">
        <f ca="1">'Index Data'!E453</f>
        <v>6.3224654656283434E-3</v>
      </c>
      <c r="I344" s="23">
        <f ca="1">'Index Data'!D453</f>
        <v>4.339731353696729E-2</v>
      </c>
      <c r="J344" s="23">
        <f ca="1">'Index Data'!B453</f>
        <v>5.0761653495317589E-2</v>
      </c>
      <c r="K344" s="23">
        <f ca="1">'Index Data'!C453</f>
        <v>5.0900189874865602E-2</v>
      </c>
      <c r="L344" s="23">
        <f ca="1">'Index Data'!AH453</f>
        <v>2.1499999999999998E-2</v>
      </c>
      <c r="M344" s="23">
        <f ca="1">'Index Data'!V453</f>
        <v>4.7201866829979199E-2</v>
      </c>
      <c r="N344" s="23">
        <f ca="1">'Index Data'!W453</f>
        <v>2.9035047346960531E-2</v>
      </c>
      <c r="O344" s="23">
        <f ca="1">'Index Data'!R453</f>
        <v>2.6867321587308743E-2</v>
      </c>
      <c r="P344" s="23">
        <f ca="1">'Index Data'!S453</f>
        <v>1.4780765313814342E-2</v>
      </c>
      <c r="Q344" s="23">
        <f ca="1">'Index Data'!U453</f>
        <v>3.8094475977083091E-2</v>
      </c>
      <c r="R344" s="24"/>
      <c r="S344" s="23">
        <f t="shared" ca="1" si="41"/>
        <v>3.59823439226995E-2</v>
      </c>
      <c r="T344" s="2">
        <f t="shared" ca="1" si="36"/>
        <v>2.9035047346960531E-2</v>
      </c>
      <c r="U344" s="2">
        <f t="shared" ca="1" si="37"/>
        <v>2.9035047346960531E-2</v>
      </c>
      <c r="V344" s="2">
        <f t="shared" ca="1" si="38"/>
        <v>2.9035047346960531E-2</v>
      </c>
      <c r="W344" s="2">
        <f t="shared" ca="1" si="39"/>
        <v>2.6867321587308743E-2</v>
      </c>
      <c r="X344" s="2">
        <v>3.6157313815278203E-2</v>
      </c>
      <c r="Y344" s="2">
        <f t="shared" ca="1" si="42"/>
        <v>2.9035047346960531E-2</v>
      </c>
      <c r="Z344" s="2">
        <f t="shared" ca="1" si="40"/>
        <v>3.0296921208650181E-2</v>
      </c>
    </row>
    <row r="345" spans="1:26">
      <c r="A345" s="22">
        <v>42613</v>
      </c>
      <c r="B345" s="25" t="s">
        <v>45</v>
      </c>
      <c r="C345" s="25" t="s">
        <v>47</v>
      </c>
      <c r="D345" s="25" t="s">
        <v>41</v>
      </c>
      <c r="E345" s="25" t="s">
        <v>41</v>
      </c>
      <c r="F345" s="25" t="s">
        <v>39</v>
      </c>
      <c r="H345" s="23">
        <f ca="1">'Index Data'!E454</f>
        <v>-1.1418713948963383E-3</v>
      </c>
      <c r="I345" s="23">
        <f ca="1">'Index Data'!D454</f>
        <v>3.8504449611761601E-3</v>
      </c>
      <c r="J345" s="23">
        <f ca="1">'Index Data'!B454</f>
        <v>8.3871006857827175E-4</v>
      </c>
      <c r="K345" s="23">
        <f ca="1">'Index Data'!C454</f>
        <v>2.5186120423179054E-2</v>
      </c>
      <c r="L345" s="23">
        <f ca="1">'Index Data'!AH454</f>
        <v>-3.0499999999999999E-2</v>
      </c>
      <c r="M345" s="23">
        <f ca="1">'Index Data'!V454</f>
        <v>-4.9679207633275494E-3</v>
      </c>
      <c r="N345" s="23">
        <f ca="1">'Index Data'!W454</f>
        <v>7.7110820275195025E-3</v>
      </c>
      <c r="O345" s="23">
        <f ca="1">'Index Data'!R454</f>
        <v>-1.4499991676238926E-2</v>
      </c>
      <c r="P345" s="23">
        <f ca="1">'Index Data'!S454</f>
        <v>-1.9507551065578041E-2</v>
      </c>
      <c r="Q345" s="23">
        <f ca="1">'Index Data'!U454</f>
        <v>1.3285075137302465E-3</v>
      </c>
      <c r="R345" s="24"/>
      <c r="S345" s="23">
        <f t="shared" ca="1" si="41"/>
        <v>2.8519816899616607E-3</v>
      </c>
      <c r="T345" s="2">
        <f t="shared" ca="1" si="36"/>
        <v>7.7110820275195025E-3</v>
      </c>
      <c r="U345" s="2">
        <f t="shared" ca="1" si="37"/>
        <v>7.7110820275195025E-3</v>
      </c>
      <c r="V345" s="2">
        <f t="shared" ca="1" si="38"/>
        <v>7.7110820275195025E-3</v>
      </c>
      <c r="W345" s="2">
        <f t="shared" ca="1" si="39"/>
        <v>-1.4499991676238926E-2</v>
      </c>
      <c r="X345" s="2">
        <v>-4.2574137478558205E-3</v>
      </c>
      <c r="Y345" s="2">
        <f t="shared" ca="1" si="42"/>
        <v>7.7110820275195033E-3</v>
      </c>
      <c r="Z345" s="2">
        <f t="shared" ca="1" si="40"/>
        <v>3.6515523446625561E-3</v>
      </c>
    </row>
    <row r="346" spans="1:26">
      <c r="A346" s="22">
        <v>42643</v>
      </c>
      <c r="B346" s="25" t="s">
        <v>45</v>
      </c>
      <c r="C346" s="25" t="s">
        <v>47</v>
      </c>
      <c r="D346" s="25" t="s">
        <v>41</v>
      </c>
      <c r="E346" s="25" t="s">
        <v>41</v>
      </c>
      <c r="F346" s="25" t="s">
        <v>39</v>
      </c>
      <c r="H346" s="23">
        <f ca="1">'Index Data'!E455</f>
        <v>-5.8876056089258327E-4</v>
      </c>
      <c r="I346" s="23">
        <f ca="1">'Index Data'!D455</f>
        <v>6.5624360720683986E-3</v>
      </c>
      <c r="J346" s="23">
        <f ca="1">'Index Data'!B455</f>
        <v>1.2736311823808149E-2</v>
      </c>
      <c r="K346" s="23">
        <f ca="1">'Index Data'!C455</f>
        <v>1.3154262660579666E-2</v>
      </c>
      <c r="L346" s="23">
        <f ca="1">'Index Data'!AH455</f>
        <v>4.0999999999999995E-3</v>
      </c>
      <c r="M346" s="23">
        <f ca="1">'Index Data'!V455</f>
        <v>3.6581559651249181E-3</v>
      </c>
      <c r="N346" s="23">
        <f ca="1">'Index Data'!W455</f>
        <v>-2.0842352408922157E-3</v>
      </c>
      <c r="O346" s="23">
        <f ca="1">'Index Data'!R455</f>
        <v>4.9551223577372853E-3</v>
      </c>
      <c r="P346" s="23">
        <f ca="1">'Index Data'!S455</f>
        <v>-6.5246902318274727E-3</v>
      </c>
      <c r="Q346" s="23">
        <f ca="1">'Index Data'!U455</f>
        <v>7.9152569556348296E-4</v>
      </c>
      <c r="R346" s="24"/>
      <c r="S346" s="23">
        <f t="shared" ca="1" si="41"/>
        <v>5.1321967454762019E-3</v>
      </c>
      <c r="T346" s="2">
        <f t="shared" ca="1" si="36"/>
        <v>-2.0842352408922157E-3</v>
      </c>
      <c r="U346" s="2">
        <f t="shared" ca="1" si="37"/>
        <v>-2.0842352408922157E-3</v>
      </c>
      <c r="V346" s="2">
        <f t="shared" ca="1" si="38"/>
        <v>-2.0842352408922157E-3</v>
      </c>
      <c r="W346" s="2">
        <f t="shared" ca="1" si="39"/>
        <v>4.9551223577372853E-3</v>
      </c>
      <c r="X346" s="2">
        <v>-3.2499752934083137E-3</v>
      </c>
      <c r="Y346" s="2">
        <f t="shared" ca="1" si="42"/>
        <v>-2.0842352408922157E-3</v>
      </c>
      <c r="Z346" s="2">
        <f t="shared" ca="1" si="40"/>
        <v>-1.7894314314982228E-3</v>
      </c>
    </row>
    <row r="347" spans="1:26">
      <c r="A347" s="22">
        <v>42674</v>
      </c>
      <c r="B347" s="25" t="s">
        <v>45</v>
      </c>
      <c r="C347" s="25" t="s">
        <v>47</v>
      </c>
      <c r="D347" s="25" t="s">
        <v>41</v>
      </c>
      <c r="E347" s="25" t="s">
        <v>41</v>
      </c>
      <c r="F347" s="25" t="s">
        <v>39</v>
      </c>
      <c r="H347" s="23">
        <f ca="1">'Index Data'!E456</f>
        <v>-7.6485777965419038E-3</v>
      </c>
      <c r="I347" s="23">
        <f ca="1">'Index Data'!D456</f>
        <v>-1.6733482455433817E-2</v>
      </c>
      <c r="J347" s="23">
        <f ca="1">'Index Data'!B456</f>
        <v>-2.0383635483252921E-2</v>
      </c>
      <c r="K347" s="23">
        <f ca="1">'Index Data'!C456</f>
        <v>2.4730427857360066E-3</v>
      </c>
      <c r="L347" s="23">
        <f ca="1">'Index Data'!AH456</f>
        <v>-3.0600000000000002E-2</v>
      </c>
      <c r="M347" s="23">
        <f ca="1">'Index Data'!V456</f>
        <v>-2.3483360021646828E-2</v>
      </c>
      <c r="N347" s="23">
        <f ca="1">'Index Data'!W456</f>
        <v>-1.5476814871499588E-2</v>
      </c>
      <c r="O347" s="23">
        <f ca="1">'Index Data'!R456</f>
        <v>-1.9599493483644686E-2</v>
      </c>
      <c r="P347" s="23">
        <f ca="1">'Index Data'!S456</f>
        <v>-2.8063011046542345E-2</v>
      </c>
      <c r="Q347" s="23">
        <f ca="1">'Index Data'!U456</f>
        <v>-1.950005738677716E-2</v>
      </c>
      <c r="R347" s="24"/>
      <c r="S347" s="23">
        <f t="shared" ca="1" si="41"/>
        <v>-1.4916501523655434E-2</v>
      </c>
      <c r="T347" s="2">
        <f t="shared" ca="1" si="36"/>
        <v>-1.5476814871499588E-2</v>
      </c>
      <c r="U347" s="2">
        <f t="shared" ca="1" si="37"/>
        <v>-1.5476814871499588E-2</v>
      </c>
      <c r="V347" s="2">
        <f t="shared" ca="1" si="38"/>
        <v>-1.5476814871499588E-2</v>
      </c>
      <c r="W347" s="2">
        <f t="shared" ca="1" si="39"/>
        <v>-1.9599493483644686E-2</v>
      </c>
      <c r="X347" s="2">
        <v>-1.9482999679573343E-2</v>
      </c>
      <c r="Y347" s="2">
        <f t="shared" ca="1" si="42"/>
        <v>-1.5476814871499588E-2</v>
      </c>
      <c r="Z347" s="2">
        <f t="shared" ca="1" si="40"/>
        <v>-1.6587252729025222E-2</v>
      </c>
    </row>
    <row r="348" spans="1:26">
      <c r="A348" s="22">
        <v>42704</v>
      </c>
      <c r="B348" s="25" t="s">
        <v>45</v>
      </c>
      <c r="C348" s="25" t="s">
        <v>47</v>
      </c>
      <c r="D348" s="25" t="s">
        <v>41</v>
      </c>
      <c r="E348" s="25" t="s">
        <v>41</v>
      </c>
      <c r="F348" s="25" t="s">
        <v>39</v>
      </c>
      <c r="H348" s="23">
        <f ca="1">'Index Data'!E457</f>
        <v>-2.3651924408825652E-2</v>
      </c>
      <c r="I348" s="23">
        <f ca="1">'Index Data'!D457</f>
        <v>8.0900683351775964E-3</v>
      </c>
      <c r="J348" s="23">
        <f ca="1">'Index Data'!B457</f>
        <v>-1.9797125029826331E-2</v>
      </c>
      <c r="K348" s="23">
        <f ca="1">'Index Data'!C457</f>
        <v>-4.597292635760207E-2</v>
      </c>
      <c r="L348" s="23">
        <f ca="1">'Index Data'!AH457</f>
        <v>-8.0399999999999985E-2</v>
      </c>
      <c r="M348" s="23">
        <f ca="1">'Index Data'!V457</f>
        <v>2.175794339667508E-2</v>
      </c>
      <c r="N348" s="23">
        <f ca="1">'Index Data'!W457</f>
        <v>5.7114025595200867E-2</v>
      </c>
      <c r="O348" s="23">
        <f ca="1">'Index Data'!R457</f>
        <v>-5.8293708851499893E-3</v>
      </c>
      <c r="P348" s="23">
        <f ca="1">'Index Data'!S457</f>
        <v>6.3792788724816966E-3</v>
      </c>
      <c r="Q348" s="23">
        <f ca="1">'Index Data'!U457</f>
        <v>3.9423641638804865E-2</v>
      </c>
      <c r="R348" s="24"/>
      <c r="S348" s="23">
        <f t="shared" ca="1" si="41"/>
        <v>1.7416697863769474E-3</v>
      </c>
      <c r="T348" s="2">
        <f t="shared" ca="1" si="36"/>
        <v>5.7114025595200867E-2</v>
      </c>
      <c r="U348" s="2">
        <f t="shared" ca="1" si="37"/>
        <v>5.7114025595200867E-2</v>
      </c>
      <c r="V348" s="2">
        <f t="shared" ca="1" si="38"/>
        <v>5.7114025595200867E-2</v>
      </c>
      <c r="W348" s="2">
        <f t="shared" ca="1" si="39"/>
        <v>-5.8293708851499893E-3</v>
      </c>
      <c r="X348" s="2">
        <v>4.3961631582069893E-2</v>
      </c>
      <c r="Y348" s="2">
        <f t="shared" ca="1" si="42"/>
        <v>5.7114025595200874E-2</v>
      </c>
      <c r="Z348" s="2">
        <f t="shared" ca="1" si="40"/>
        <v>4.9762792056548356E-2</v>
      </c>
    </row>
    <row r="349" spans="1:26">
      <c r="A349" s="22">
        <v>42735</v>
      </c>
      <c r="B349" s="25" t="s">
        <v>45</v>
      </c>
      <c r="C349" s="25" t="s">
        <v>47</v>
      </c>
      <c r="D349" s="25" t="s">
        <v>41</v>
      </c>
      <c r="E349" s="25" t="s">
        <v>41</v>
      </c>
      <c r="F349" s="25" t="s">
        <v>39</v>
      </c>
      <c r="H349" s="23">
        <f ca="1">'Index Data'!E458</f>
        <v>1.4086005705338865E-3</v>
      </c>
      <c r="I349" s="23">
        <f ca="1">'Index Data'!D458</f>
        <v>2.1998822295373827E-2</v>
      </c>
      <c r="J349" s="23">
        <f ca="1">'Index Data'!B458</f>
        <v>3.4383274041361232E-2</v>
      </c>
      <c r="K349" s="23">
        <f ca="1">'Index Data'!C458</f>
        <v>2.9035686502241675E-3</v>
      </c>
      <c r="L349" s="23">
        <f ca="1">'Index Data'!AH458</f>
        <v>-1.6299999999999999E-2</v>
      </c>
      <c r="M349" s="23">
        <f ca="1">'Index Data'!V458</f>
        <v>1.2379696649872386E-2</v>
      </c>
      <c r="N349" s="23">
        <f ca="1">'Index Data'!W458</f>
        <v>2.4992677266479937E-2</v>
      </c>
      <c r="O349" s="23">
        <f ca="1">'Index Data'!R458</f>
        <v>1.0864816390351636E-2</v>
      </c>
      <c r="P349" s="23">
        <f ca="1">'Index Data'!S458</f>
        <v>2.3888395655729526E-2</v>
      </c>
      <c r="Q349" s="23">
        <f ca="1">'Index Data'!U458</f>
        <v>1.8786872700779528E-2</v>
      </c>
      <c r="R349" s="24"/>
      <c r="S349" s="23">
        <f t="shared" ca="1" si="41"/>
        <v>1.7880777950405841E-2</v>
      </c>
      <c r="T349" s="2">
        <f t="shared" ca="1" si="36"/>
        <v>2.4992677266479937E-2</v>
      </c>
      <c r="U349" s="2">
        <f t="shared" ca="1" si="37"/>
        <v>2.4992677266479937E-2</v>
      </c>
      <c r="V349" s="2">
        <f t="shared" ca="1" si="38"/>
        <v>2.4992677266479937E-2</v>
      </c>
      <c r="W349" s="2">
        <f t="shared" ca="1" si="39"/>
        <v>1.0864816390351636E-2</v>
      </c>
      <c r="X349" s="2">
        <v>1.5665112465497399E-2</v>
      </c>
      <c r="Y349" s="2">
        <f t="shared" ca="1" si="42"/>
        <v>2.499267726647994E-2</v>
      </c>
      <c r="Z349" s="2">
        <f t="shared" ca="1" si="40"/>
        <v>2.2067574740573807E-2</v>
      </c>
    </row>
    <row r="350" spans="1:26">
      <c r="A350" s="22">
        <v>42766</v>
      </c>
      <c r="B350" s="25" t="s">
        <v>45</v>
      </c>
      <c r="C350" s="25" t="s">
        <v>47</v>
      </c>
      <c r="D350" s="25" t="s">
        <v>41</v>
      </c>
      <c r="E350" s="25" t="s">
        <v>41</v>
      </c>
      <c r="F350" s="25" t="s">
        <v>39</v>
      </c>
      <c r="H350" s="23">
        <f ca="1">'Index Data'!E459</f>
        <v>1.963195150705642E-3</v>
      </c>
      <c r="I350" s="23">
        <f ca="1">'Index Data'!D459</f>
        <v>2.7557412805811247E-2</v>
      </c>
      <c r="J350" s="23">
        <f ca="1">'Index Data'!B459</f>
        <v>2.9063736043813609E-2</v>
      </c>
      <c r="K350" s="23">
        <f ca="1">'Index Data'!C459</f>
        <v>5.4773194074203543E-2</v>
      </c>
      <c r="L350" s="23">
        <f ca="1">'Index Data'!AH459</f>
        <v>4.9400000000000006E-2</v>
      </c>
      <c r="M350" s="23">
        <f ca="1">'Index Data'!V459</f>
        <v>3.3698330276421516E-2</v>
      </c>
      <c r="N350" s="23">
        <f ca="1">'Index Data'!W459</f>
        <v>7.1236646792408988E-3</v>
      </c>
      <c r="O350" s="23">
        <f ca="1">'Index Data'!R459</f>
        <v>3.3148322964412023E-2</v>
      </c>
      <c r="P350" s="23">
        <f ca="1">'Index Data'!S459</f>
        <v>1.3221034311287905E-2</v>
      </c>
      <c r="Q350" s="23">
        <f ca="1">'Index Data'!U459</f>
        <v>2.0108525889738209E-2</v>
      </c>
      <c r="R350" s="24"/>
      <c r="S350" s="23">
        <f t="shared" ca="1" si="41"/>
        <v>2.243856927479013E-2</v>
      </c>
      <c r="T350" s="2">
        <f t="shared" ca="1" si="36"/>
        <v>7.1236646792408988E-3</v>
      </c>
      <c r="U350" s="2">
        <f t="shared" ca="1" si="37"/>
        <v>7.1236646792408988E-3</v>
      </c>
      <c r="V350" s="2">
        <f t="shared" ca="1" si="38"/>
        <v>7.1236646792408988E-3</v>
      </c>
      <c r="W350" s="2">
        <f t="shared" ca="1" si="39"/>
        <v>3.3148322964412023E-2</v>
      </c>
      <c r="X350" s="2">
        <v>1.9646177311443802E-2</v>
      </c>
      <c r="Y350" s="2">
        <f t="shared" ca="1" si="42"/>
        <v>7.1236646792408988E-3</v>
      </c>
      <c r="Z350" s="2">
        <f t="shared" ca="1" si="40"/>
        <v>1.1580016577069314E-2</v>
      </c>
    </row>
    <row r="351" spans="1:26">
      <c r="A351" s="22">
        <v>42794</v>
      </c>
      <c r="B351" s="25" t="s">
        <v>45</v>
      </c>
      <c r="C351" s="25" t="s">
        <v>47</v>
      </c>
      <c r="D351" s="25" t="s">
        <v>41</v>
      </c>
      <c r="E351" s="25" t="s">
        <v>41</v>
      </c>
      <c r="F351" s="25" t="s">
        <v>39</v>
      </c>
      <c r="H351" s="23">
        <f ca="1">'Index Data'!E460</f>
        <v>6.7213735639439186E-3</v>
      </c>
      <c r="I351" s="23">
        <f ca="1">'Index Data'!D460</f>
        <v>2.8498161869749884E-2</v>
      </c>
      <c r="J351" s="23">
        <f ca="1">'Index Data'!B460</f>
        <v>1.4459155466833538E-2</v>
      </c>
      <c r="K351" s="23">
        <f ca="1">'Index Data'!C460</f>
        <v>3.0685013801782578E-2</v>
      </c>
      <c r="L351" s="23">
        <f ca="1">'Index Data'!AH460</f>
        <v>3.7499999999999999E-2</v>
      </c>
      <c r="M351" s="23">
        <f ca="1">'Index Data'!V460</f>
        <v>4.1535362833706665E-2</v>
      </c>
      <c r="N351" s="23">
        <f ca="1">'Index Data'!W460</f>
        <v>3.5933877009957933E-2</v>
      </c>
      <c r="O351" s="23">
        <f ca="1">'Index Data'!R460</f>
        <v>3.7231319664235638E-2</v>
      </c>
      <c r="P351" s="23">
        <f ca="1">'Index Data'!S460</f>
        <v>4.5534854331409164E-2</v>
      </c>
      <c r="Q351" s="23">
        <f ca="1">'Index Data'!U460</f>
        <v>3.8707982655941831E-2</v>
      </c>
      <c r="R351" s="24"/>
      <c r="S351" s="23">
        <f t="shared" ca="1" si="41"/>
        <v>2.4142804208588692E-2</v>
      </c>
      <c r="T351" s="2">
        <f t="shared" ca="1" si="36"/>
        <v>3.5933877009957933E-2</v>
      </c>
      <c r="U351" s="2">
        <f t="shared" ca="1" si="37"/>
        <v>3.5933877009957933E-2</v>
      </c>
      <c r="V351" s="2">
        <f t="shared" ca="1" si="38"/>
        <v>3.5933877009957933E-2</v>
      </c>
      <c r="W351" s="2">
        <f t="shared" ca="1" si="39"/>
        <v>3.7231319664235638E-2</v>
      </c>
      <c r="X351" s="2">
        <v>2.7305015447713465E-2</v>
      </c>
      <c r="Y351" s="2">
        <f t="shared" ca="1" si="42"/>
        <v>3.593387700995794E-2</v>
      </c>
      <c r="Z351" s="2">
        <f t="shared" ca="1" si="40"/>
        <v>3.4305412896579873E-2</v>
      </c>
    </row>
    <row r="352" spans="1:26">
      <c r="A352" s="22">
        <v>42825</v>
      </c>
      <c r="B352" s="25" t="s">
        <v>45</v>
      </c>
      <c r="C352" s="25" t="s">
        <v>47</v>
      </c>
      <c r="D352" s="25" t="s">
        <v>41</v>
      </c>
      <c r="E352" s="25" t="s">
        <v>41</v>
      </c>
      <c r="F352" s="25" t="s">
        <v>39</v>
      </c>
      <c r="H352" s="23">
        <f ca="1">'Index Data'!E461</f>
        <v>-5.2669596099437922E-4</v>
      </c>
      <c r="I352" s="23">
        <f ca="1">'Index Data'!D461</f>
        <v>1.2900470181335794E-2</v>
      </c>
      <c r="J352" s="23">
        <f ca="1">'Index Data'!B461</f>
        <v>2.8673286916734955E-2</v>
      </c>
      <c r="K352" s="23">
        <f ca="1">'Index Data'!C461</f>
        <v>2.549543755275958E-2</v>
      </c>
      <c r="L352" s="23">
        <f ca="1">'Index Data'!AH461</f>
        <v>-5.3E-3</v>
      </c>
      <c r="M352" s="23">
        <f ca="1">'Index Data'!V461</f>
        <v>1.156680598699889E-2</v>
      </c>
      <c r="N352" s="23">
        <f ca="1">'Index Data'!W461</f>
        <v>-1.0186401883894339E-2</v>
      </c>
      <c r="O352" s="23">
        <f ca="1">'Index Data'!R461</f>
        <v>2.1513593258295768E-2</v>
      </c>
      <c r="P352" s="23">
        <f ca="1">'Index Data'!S461</f>
        <v>1.1881745824519016E-3</v>
      </c>
      <c r="Q352" s="23">
        <f ca="1">'Index Data'!U461</f>
        <v>6.3176224209285695E-4</v>
      </c>
      <c r="R352" s="24"/>
      <c r="S352" s="23">
        <f t="shared" ca="1" si="41"/>
        <v>1.0215036952869761E-2</v>
      </c>
      <c r="T352" s="2">
        <f t="shared" ca="1" si="36"/>
        <v>-1.0186401883894339E-2</v>
      </c>
      <c r="U352" s="2">
        <f t="shared" ca="1" si="37"/>
        <v>-1.0186401883894339E-2</v>
      </c>
      <c r="V352" s="2">
        <f t="shared" ca="1" si="38"/>
        <v>-1.0186401883894339E-2</v>
      </c>
      <c r="W352" s="2">
        <f t="shared" ca="1" si="39"/>
        <v>2.1513593258295768E-2</v>
      </c>
      <c r="X352" s="2">
        <v>-3.1394328999806431E-3</v>
      </c>
      <c r="Y352" s="2">
        <f t="shared" ca="1" si="42"/>
        <v>-1.0186401883894341E-2</v>
      </c>
      <c r="Z352" s="2">
        <f t="shared" ca="1" si="40"/>
        <v>-6.3995084514473421E-3</v>
      </c>
    </row>
    <row r="353" spans="1:26">
      <c r="A353" s="22">
        <v>42855</v>
      </c>
      <c r="B353" s="25" t="s">
        <v>45</v>
      </c>
      <c r="C353" s="25" t="s">
        <v>47</v>
      </c>
      <c r="D353" s="25" t="s">
        <v>41</v>
      </c>
      <c r="E353" s="25" t="s">
        <v>41</v>
      </c>
      <c r="F353" s="25" t="s">
        <v>39</v>
      </c>
      <c r="H353" s="23">
        <f ca="1">'Index Data'!E462</f>
        <v>7.7189073078680207E-3</v>
      </c>
      <c r="I353" s="23">
        <f ca="1">'Index Data'!D462</f>
        <v>1.6046771275799489E-2</v>
      </c>
      <c r="J353" s="23">
        <f ca="1">'Index Data'!B462</f>
        <v>2.6184566444705206E-2</v>
      </c>
      <c r="K353" s="23">
        <f ca="1">'Index Data'!C462</f>
        <v>2.2102993777255199E-2</v>
      </c>
      <c r="L353" s="23">
        <f ca="1">'Index Data'!AH462</f>
        <v>1.6799999999999999E-2</v>
      </c>
      <c r="M353" s="23">
        <f ca="1">'Index Data'!V462</f>
        <v>2.2870007424790603E-2</v>
      </c>
      <c r="N353" s="23">
        <f ca="1">'Index Data'!W462</f>
        <v>-1.8767450358497197E-3</v>
      </c>
      <c r="O353" s="23">
        <f ca="1">'Index Data'!R462</f>
        <v>2.5351571225966634E-2</v>
      </c>
      <c r="P353" s="23">
        <f ca="1">'Index Data'!S462</f>
        <v>1.4481457170987878E-2</v>
      </c>
      <c r="Q353" s="23">
        <f ca="1">'Index Data'!U462</f>
        <v>1.0572494351141612E-2</v>
      </c>
      <c r="R353" s="24"/>
      <c r="S353" s="23">
        <f t="shared" ca="1" si="41"/>
        <v>1.4381198482213194E-2</v>
      </c>
      <c r="T353" s="2">
        <f t="shared" ca="1" si="36"/>
        <v>-1.8767450358497197E-3</v>
      </c>
      <c r="U353" s="2">
        <f t="shared" ca="1" si="37"/>
        <v>-1.8767450358497197E-3</v>
      </c>
      <c r="V353" s="2">
        <f t="shared" ca="1" si="38"/>
        <v>-1.8767450358497197E-3</v>
      </c>
      <c r="W353" s="2">
        <f t="shared" ca="1" si="39"/>
        <v>2.5351571225966634E-2</v>
      </c>
      <c r="X353" s="2">
        <v>7.3707555556261628E-3</v>
      </c>
      <c r="Y353" s="2">
        <f t="shared" ca="1" si="42"/>
        <v>-1.8767450358497199E-3</v>
      </c>
      <c r="Z353" s="2">
        <f t="shared" ca="1" si="40"/>
        <v>2.0148788020816835E-3</v>
      </c>
    </row>
    <row r="354" spans="1:26">
      <c r="A354" s="22">
        <v>42886</v>
      </c>
      <c r="B354" s="25" t="s">
        <v>45</v>
      </c>
      <c r="C354" s="25" t="s">
        <v>47</v>
      </c>
      <c r="D354" s="25" t="s">
        <v>41</v>
      </c>
      <c r="E354" s="25" t="s">
        <v>41</v>
      </c>
      <c r="F354" s="25" t="s">
        <v>39</v>
      </c>
      <c r="H354" s="23">
        <f ca="1">'Index Data'!E463</f>
        <v>7.6946446269466045E-3</v>
      </c>
      <c r="I354" s="23">
        <f ca="1">'Index Data'!D463</f>
        <v>2.2966812842969715E-2</v>
      </c>
      <c r="J354" s="23">
        <f ca="1">'Index Data'!B463</f>
        <v>3.8073490142796568E-2</v>
      </c>
      <c r="K354" s="23">
        <f ca="1">'Index Data'!C463</f>
        <v>2.9769751822857946E-2</v>
      </c>
      <c r="L354" s="23">
        <f ca="1">'Index Data'!AH463</f>
        <v>2.8999999999999998E-3</v>
      </c>
      <c r="M354" s="23">
        <f ca="1">'Index Data'!V463</f>
        <v>2.6002411817907769E-2</v>
      </c>
      <c r="N354" s="23">
        <f ca="1">'Index Data'!W463</f>
        <v>-9.8030155469153754E-4</v>
      </c>
      <c r="O354" s="23">
        <f ca="1">'Index Data'!R463</f>
        <v>4.8238614197483973E-2</v>
      </c>
      <c r="P354" s="23">
        <f ca="1">'Index Data'!S463</f>
        <v>2.0776647429565011E-2</v>
      </c>
      <c r="Q354" s="23">
        <f ca="1">'Index Data'!U463</f>
        <v>1.2762269109415128E-2</v>
      </c>
      <c r="R354" s="24"/>
      <c r="S354" s="23">
        <f t="shared" ca="1" si="41"/>
        <v>1.9912379199765094E-2</v>
      </c>
      <c r="T354" s="2">
        <f t="shared" ca="1" si="36"/>
        <v>-9.8030155469153754E-4</v>
      </c>
      <c r="U354" s="2">
        <f t="shared" ca="1" si="37"/>
        <v>-9.8030155469153754E-4</v>
      </c>
      <c r="V354" s="2">
        <f t="shared" ca="1" si="38"/>
        <v>-9.8030155469153754E-4</v>
      </c>
      <c r="W354" s="2">
        <f t="shared" ca="1" si="39"/>
        <v>4.8238614197483973E-2</v>
      </c>
      <c r="X354" s="2">
        <v>2.8502001946763222E-2</v>
      </c>
      <c r="Y354" s="2">
        <f t="shared" ca="1" si="42"/>
        <v>-9.8030155469153754E-4</v>
      </c>
      <c r="Z354" s="2">
        <f t="shared" ca="1" si="40"/>
        <v>8.6075778270125781E-3</v>
      </c>
    </row>
    <row r="355" spans="1:26">
      <c r="A355" s="22">
        <v>42916</v>
      </c>
      <c r="B355" s="25" t="s">
        <v>45</v>
      </c>
      <c r="C355" s="25" t="s">
        <v>46</v>
      </c>
      <c r="D355" s="25" t="s">
        <v>32</v>
      </c>
      <c r="E355" s="25" t="s">
        <v>41</v>
      </c>
      <c r="F355" s="25" t="s">
        <v>39</v>
      </c>
      <c r="H355" s="23">
        <f ca="1">'Index Data'!E464</f>
        <v>-1.0032915871776235E-3</v>
      </c>
      <c r="I355" s="23">
        <f ca="1">'Index Data'!D464</f>
        <v>4.9619088561222713E-3</v>
      </c>
      <c r="J355" s="23">
        <f ca="1">'Index Data'!B464</f>
        <v>-1.4878493651734629E-3</v>
      </c>
      <c r="K355" s="23">
        <f ca="1">'Index Data'!C464</f>
        <v>1.0744328735493027E-2</v>
      </c>
      <c r="L355" s="23">
        <f ca="1">'Index Data'!AH464</f>
        <v>-2.3300000000000001E-2</v>
      </c>
      <c r="M355" s="23">
        <f ca="1">'Index Data'!V464</f>
        <v>-2.6349113067690197E-3</v>
      </c>
      <c r="N355" s="23">
        <f ca="1">'Index Data'!W464</f>
        <v>1.6347750103000762E-2</v>
      </c>
      <c r="O355" s="23">
        <f ca="1">'Index Data'!R464</f>
        <v>4.0310497162799044E-3</v>
      </c>
      <c r="P355" s="23">
        <f ca="1">'Index Data'!S464</f>
        <v>-3.9417202651959504E-3</v>
      </c>
      <c r="Q355" s="23">
        <f ca="1">'Index Data'!U464</f>
        <v>6.9821550291998833E-3</v>
      </c>
      <c r="R355" s="24"/>
      <c r="S355" s="23">
        <f t="shared" ca="1" si="41"/>
        <v>3.7688687674622928E-3</v>
      </c>
      <c r="T355" s="2">
        <f t="shared" ca="1" si="36"/>
        <v>-2.6349113067690197E-3</v>
      </c>
      <c r="U355" s="2">
        <f t="shared" ca="1" si="37"/>
        <v>-2.6349113067690197E-3</v>
      </c>
      <c r="V355" s="2">
        <f t="shared" ca="1" si="38"/>
        <v>1.0744328735493027E-2</v>
      </c>
      <c r="W355" s="2">
        <f t="shared" ca="1" si="39"/>
        <v>4.0310497162799044E-3</v>
      </c>
      <c r="X355" s="2">
        <v>1.350893893386429E-2</v>
      </c>
      <c r="Y355" s="2">
        <f t="shared" ca="1" si="42"/>
        <v>-1.2969873025428149E-3</v>
      </c>
      <c r="Z355" s="2">
        <f t="shared" ca="1" si="40"/>
        <v>2.4317298223125164E-3</v>
      </c>
    </row>
    <row r="356" spans="1:26">
      <c r="A356" s="22">
        <v>42947</v>
      </c>
      <c r="B356" s="25" t="s">
        <v>45</v>
      </c>
      <c r="C356" s="25" t="s">
        <v>46</v>
      </c>
      <c r="D356" s="25" t="s">
        <v>32</v>
      </c>
      <c r="E356" s="25" t="s">
        <v>41</v>
      </c>
      <c r="F356" s="25" t="s">
        <v>39</v>
      </c>
      <c r="H356" s="23">
        <f ca="1">'Index Data'!E465</f>
        <v>4.3041393947489725E-3</v>
      </c>
      <c r="I356" s="23">
        <f ca="1">'Index Data'!D465</f>
        <v>2.8310515271727069E-2</v>
      </c>
      <c r="J356" s="23">
        <f ca="1">'Index Data'!B465</f>
        <v>2.8898527048719536E-2</v>
      </c>
      <c r="K356" s="23">
        <f ca="1">'Index Data'!C465</f>
        <v>6.0413874419097395E-2</v>
      </c>
      <c r="L356" s="23">
        <f ca="1">'Index Data'!AH465</f>
        <v>1.9599999999999999E-2</v>
      </c>
      <c r="M356" s="23">
        <f ca="1">'Index Data'!V465</f>
        <v>2.6580059781898528E-2</v>
      </c>
      <c r="N356" s="23">
        <f ca="1">'Index Data'!W465</f>
        <v>1.3290578692926195E-2</v>
      </c>
      <c r="O356" s="23">
        <f ca="1">'Index Data'!R465</f>
        <v>3.4280405145189659E-2</v>
      </c>
      <c r="P356" s="23">
        <f ca="1">'Index Data'!S465</f>
        <v>2.0150224712078724E-2</v>
      </c>
      <c r="Q356" s="23">
        <f ca="1">'Index Data'!U465</f>
        <v>1.9803621085981344E-2</v>
      </c>
      <c r="R356" s="24"/>
      <c r="S356" s="23">
        <f t="shared" ca="1" si="41"/>
        <v>2.350924009633145E-2</v>
      </c>
      <c r="T356" s="2">
        <f t="shared" ca="1" si="36"/>
        <v>2.6580059781898528E-2</v>
      </c>
      <c r="U356" s="2">
        <f t="shared" ca="1" si="37"/>
        <v>2.6580059781898528E-2</v>
      </c>
      <c r="V356" s="2">
        <f t="shared" ca="1" si="38"/>
        <v>6.0413874419097395E-2</v>
      </c>
      <c r="W356" s="2">
        <f t="shared" ca="1" si="39"/>
        <v>3.4280405145189659E-2</v>
      </c>
      <c r="X356" s="2">
        <v>1.7852399653603745E-2</v>
      </c>
      <c r="Y356" s="2">
        <f t="shared" ca="1" si="42"/>
        <v>2.9963441245618415E-2</v>
      </c>
      <c r="Z356" s="2">
        <f t="shared" ca="1" si="40"/>
        <v>2.8795435122206291E-2</v>
      </c>
    </row>
    <row r="357" spans="1:26">
      <c r="A357" s="22">
        <v>42978</v>
      </c>
      <c r="B357" s="25" t="s">
        <v>45</v>
      </c>
      <c r="C357" s="25" t="s">
        <v>46</v>
      </c>
      <c r="D357" s="25" t="s">
        <v>32</v>
      </c>
      <c r="E357" s="25" t="s">
        <v>41</v>
      </c>
      <c r="F357" s="25" t="s">
        <v>39</v>
      </c>
      <c r="H357" s="23">
        <f ca="1">'Index Data'!E466</f>
        <v>8.9654730764873302E-3</v>
      </c>
      <c r="I357" s="23">
        <f ca="1">'Index Data'!D466</f>
        <v>4.3205850716923856E-3</v>
      </c>
      <c r="J357" s="23">
        <f ca="1">'Index Data'!B466</f>
        <v>-2.3874131688501673E-4</v>
      </c>
      <c r="K357" s="23">
        <f ca="1">'Index Data'!C466</f>
        <v>2.2681075070796832E-2</v>
      </c>
      <c r="L357" s="23">
        <f ca="1">'Index Data'!AH466</f>
        <v>4.0999999999999995E-2</v>
      </c>
      <c r="M357" s="23">
        <f ca="1">'Index Data'!V466</f>
        <v>1.8331165287117552E-2</v>
      </c>
      <c r="N357" s="23">
        <f ca="1">'Index Data'!W466</f>
        <v>-1.1648683606856357E-2</v>
      </c>
      <c r="O357" s="23">
        <f ca="1">'Index Data'!R466</f>
        <v>1.5005887856122318E-2</v>
      </c>
      <c r="P357" s="23">
        <f ca="1">'Index Data'!S466</f>
        <v>8.2818387130012168E-3</v>
      </c>
      <c r="Q357" s="23">
        <f ca="1">'Index Data'!U466</f>
        <v>3.1279481567622327E-3</v>
      </c>
      <c r="R357" s="24"/>
      <c r="S357" s="23">
        <f t="shared" ca="1" si="41"/>
        <v>5.2495626726513749E-3</v>
      </c>
      <c r="T357" s="2">
        <f t="shared" ca="1" si="36"/>
        <v>1.8331165287117552E-2</v>
      </c>
      <c r="U357" s="2">
        <f t="shared" ca="1" si="37"/>
        <v>1.8331165287117552E-2</v>
      </c>
      <c r="V357" s="2">
        <f t="shared" ca="1" si="38"/>
        <v>2.2681075070796832E-2</v>
      </c>
      <c r="W357" s="2">
        <f t="shared" ca="1" si="39"/>
        <v>1.5005887856122318E-2</v>
      </c>
      <c r="X357" s="2">
        <v>3.4584932228345355E-3</v>
      </c>
      <c r="Y357" s="2">
        <f t="shared" ca="1" si="42"/>
        <v>1.876615626548548E-2</v>
      </c>
      <c r="Z357" s="2">
        <f t="shared" ca="1" si="40"/>
        <v>1.5542226045304235E-2</v>
      </c>
    </row>
    <row r="358" spans="1:26">
      <c r="A358" s="22">
        <v>43008</v>
      </c>
      <c r="B358" s="25" t="s">
        <v>45</v>
      </c>
      <c r="C358" s="25" t="s">
        <v>46</v>
      </c>
      <c r="D358" s="25" t="s">
        <v>32</v>
      </c>
      <c r="E358" s="25" t="s">
        <v>41</v>
      </c>
      <c r="F358" s="25" t="s">
        <v>39</v>
      </c>
      <c r="H358" s="23">
        <f ca="1">'Index Data'!E467</f>
        <v>-4.7602540755098356E-3</v>
      </c>
      <c r="I358" s="23">
        <f ca="1">'Index Data'!D467</f>
        <v>1.9693213839276288E-2</v>
      </c>
      <c r="J358" s="23">
        <f ca="1">'Index Data'!B467</f>
        <v>2.5286732130965658E-2</v>
      </c>
      <c r="K358" s="23">
        <f ca="1">'Index Data'!C467</f>
        <v>-3.7501380288628662E-3</v>
      </c>
      <c r="L358" s="23">
        <f ca="1">'Index Data'!AH467</f>
        <v>-2.81E-2</v>
      </c>
      <c r="M358" s="23">
        <f ca="1">'Index Data'!V467</f>
        <v>1.3001413288264653E-2</v>
      </c>
      <c r="N358" s="23">
        <f ca="1">'Index Data'!W467</f>
        <v>2.9617688120137375E-2</v>
      </c>
      <c r="O358" s="23">
        <f ca="1">'Index Data'!R467</f>
        <v>2.8508802098379932E-2</v>
      </c>
      <c r="P358" s="23">
        <f ca="1">'Index Data'!S467</f>
        <v>5.360797408257411E-3</v>
      </c>
      <c r="Q358" s="23">
        <f ca="1">'Index Data'!U467</f>
        <v>2.1295192815094784E-2</v>
      </c>
      <c r="R358" s="24"/>
      <c r="S358" s="23">
        <f t="shared" ca="1" si="41"/>
        <v>1.4802520256319063E-2</v>
      </c>
      <c r="T358" s="2">
        <f t="shared" ca="1" si="36"/>
        <v>1.3001413288264653E-2</v>
      </c>
      <c r="U358" s="2">
        <f t="shared" ca="1" si="37"/>
        <v>1.3001413288264653E-2</v>
      </c>
      <c r="V358" s="2">
        <f t="shared" ca="1" si="38"/>
        <v>-3.7501380288628662E-3</v>
      </c>
      <c r="W358" s="2">
        <f t="shared" ca="1" si="39"/>
        <v>2.8508802098379932E-2</v>
      </c>
      <c r="X358" s="2">
        <v>4.7252872517023148E-2</v>
      </c>
      <c r="Y358" s="2">
        <f t="shared" ca="1" si="42"/>
        <v>1.1326258156551902E-2</v>
      </c>
      <c r="Z358" s="2">
        <f t="shared" ca="1" si="40"/>
        <v>1.9339604163062248E-2</v>
      </c>
    </row>
    <row r="359" spans="1:26">
      <c r="A359" s="22">
        <v>43039</v>
      </c>
      <c r="B359" s="25" t="s">
        <v>45</v>
      </c>
      <c r="C359" s="25" t="s">
        <v>46</v>
      </c>
      <c r="D359" s="25" t="s">
        <v>32</v>
      </c>
      <c r="E359" s="25" t="s">
        <v>41</v>
      </c>
      <c r="F359" s="25" t="s">
        <v>39</v>
      </c>
      <c r="H359" s="23">
        <f ca="1">'Index Data'!E468</f>
        <v>5.7886836141011534E-4</v>
      </c>
      <c r="I359" s="23">
        <f ca="1">'Index Data'!D468</f>
        <v>2.0995875624629817E-2</v>
      </c>
      <c r="J359" s="23">
        <f ca="1">'Index Data'!B468</f>
        <v>1.5268794985884493E-2</v>
      </c>
      <c r="K359" s="23">
        <f ca="1">'Index Data'!C468</f>
        <v>3.5118831930086372E-2</v>
      </c>
      <c r="L359" s="23">
        <f ca="1">'Index Data'!AH468</f>
        <v>-8.6E-3</v>
      </c>
      <c r="M359" s="23">
        <f ca="1">'Index Data'!V468</f>
        <v>3.8747892786291267E-2</v>
      </c>
      <c r="N359" s="23">
        <f ca="1">'Index Data'!W468</f>
        <v>7.2610241072246715E-3</v>
      </c>
      <c r="O359" s="23">
        <f ca="1">'Index Data'!R468</f>
        <v>5.0006687770297313E-2</v>
      </c>
      <c r="P359" s="23">
        <f ca="1">'Index Data'!S468</f>
        <v>1.9339915497755607E-2</v>
      </c>
      <c r="Q359" s="23">
        <f ca="1">'Index Data'!U468</f>
        <v>2.2935970587118205E-2</v>
      </c>
      <c r="R359" s="24"/>
      <c r="S359" s="23">
        <f t="shared" ca="1" si="41"/>
        <v>1.6912474171985881E-2</v>
      </c>
      <c r="T359" s="2">
        <f t="shared" ca="1" si="36"/>
        <v>3.8747892786291267E-2</v>
      </c>
      <c r="U359" s="2">
        <f t="shared" ca="1" si="37"/>
        <v>3.8747892786291267E-2</v>
      </c>
      <c r="V359" s="2">
        <f t="shared" ca="1" si="38"/>
        <v>3.5118831930086372E-2</v>
      </c>
      <c r="W359" s="2">
        <f t="shared" ca="1" si="39"/>
        <v>5.0006687770297313E-2</v>
      </c>
      <c r="X359" s="2">
        <v>2.5418251524806479E-2</v>
      </c>
      <c r="Y359" s="2">
        <f t="shared" ca="1" si="42"/>
        <v>3.8384986700670781E-2</v>
      </c>
      <c r="Z359" s="2">
        <f t="shared" ca="1" si="40"/>
        <v>3.6563468072174268E-2</v>
      </c>
    </row>
    <row r="360" spans="1:26">
      <c r="A360" s="22">
        <v>43069</v>
      </c>
      <c r="B360" s="25" t="s">
        <v>45</v>
      </c>
      <c r="C360" s="25" t="s">
        <v>46</v>
      </c>
      <c r="D360" s="25" t="s">
        <v>32</v>
      </c>
      <c r="E360" s="25" t="s">
        <v>41</v>
      </c>
      <c r="F360" s="25" t="s">
        <v>39</v>
      </c>
      <c r="H360" s="23">
        <f ca="1">'Index Data'!E469</f>
        <v>-1.2845404090918585E-3</v>
      </c>
      <c r="I360" s="23">
        <f ca="1">'Index Data'!D469</f>
        <v>1.981521805490552E-2</v>
      </c>
      <c r="J360" s="23">
        <f ca="1">'Index Data'!B469</f>
        <v>1.0624139806144831E-2</v>
      </c>
      <c r="K360" s="23">
        <f ca="1">'Index Data'!C469</f>
        <v>2.0633162145353681E-3</v>
      </c>
      <c r="L360" s="23">
        <f ca="1">'Index Data'!AH469</f>
        <v>2.0999999999999999E-3</v>
      </c>
      <c r="M360" s="23">
        <f ca="1">'Index Data'!V469</f>
        <v>3.0379720601903012E-2</v>
      </c>
      <c r="N360" s="23">
        <f ca="1">'Index Data'!W469</f>
        <v>3.0621056172307263E-2</v>
      </c>
      <c r="O360" s="23">
        <f ca="1">'Index Data'!R469</f>
        <v>2.807571781610655E-2</v>
      </c>
      <c r="P360" s="23">
        <f ca="1">'Index Data'!S469</f>
        <v>3.132158661542532E-2</v>
      </c>
      <c r="Q360" s="23">
        <f ca="1">'Index Data'!U469</f>
        <v>3.0496043890841304E-2</v>
      </c>
      <c r="R360" s="24"/>
      <c r="S360" s="23">
        <f t="shared" ca="1" si="41"/>
        <v>1.5595266362106047E-2</v>
      </c>
      <c r="T360" s="2">
        <f t="shared" ca="1" si="36"/>
        <v>3.0379720601903012E-2</v>
      </c>
      <c r="U360" s="2">
        <f t="shared" ca="1" si="37"/>
        <v>3.0379720601903012E-2</v>
      </c>
      <c r="V360" s="2">
        <f t="shared" ca="1" si="38"/>
        <v>2.0633162145353681E-3</v>
      </c>
      <c r="W360" s="2">
        <f t="shared" ca="1" si="39"/>
        <v>2.807571781610655E-2</v>
      </c>
      <c r="X360" s="2">
        <v>3.8147952113463113E-2</v>
      </c>
      <c r="Y360" s="2">
        <f t="shared" ca="1" si="42"/>
        <v>2.7548080163166247E-2</v>
      </c>
      <c r="Z360" s="2">
        <f t="shared" ca="1" si="40"/>
        <v>2.892892625654353E-2</v>
      </c>
    </row>
    <row r="361" spans="1:26">
      <c r="A361" s="22">
        <v>43100</v>
      </c>
      <c r="B361" s="25" t="s">
        <v>45</v>
      </c>
      <c r="C361" s="25" t="s">
        <v>46</v>
      </c>
      <c r="D361" s="25" t="s">
        <v>32</v>
      </c>
      <c r="E361" s="25" t="s">
        <v>41</v>
      </c>
      <c r="F361" s="25" t="s">
        <v>39</v>
      </c>
      <c r="H361" s="23">
        <f ca="1">'Index Data'!E470</f>
        <v>4.5900383894119396E-3</v>
      </c>
      <c r="I361" s="23">
        <f ca="1">'Index Data'!D470</f>
        <v>1.6458901635713084E-2</v>
      </c>
      <c r="J361" s="23">
        <f ca="1">'Index Data'!B470</f>
        <v>1.6247405710790593E-2</v>
      </c>
      <c r="K361" s="23">
        <f ca="1">'Index Data'!C470</f>
        <v>3.6413852059478662E-2</v>
      </c>
      <c r="L361" s="23">
        <f ca="1">'Index Data'!AH470</f>
        <v>2.8399999999999998E-2</v>
      </c>
      <c r="M361" s="23">
        <f ca="1">'Index Data'!V470</f>
        <v>7.7846808188033753E-3</v>
      </c>
      <c r="N361" s="23">
        <f ca="1">'Index Data'!W470</f>
        <v>1.4597279770294611E-2</v>
      </c>
      <c r="O361" s="23">
        <f ca="1">'Index Data'!R470</f>
        <v>9.6647089435735703E-4</v>
      </c>
      <c r="P361" s="23">
        <f ca="1">'Index Data'!S470</f>
        <v>2.0644095788603508E-3</v>
      </c>
      <c r="Q361" s="23">
        <f ca="1">'Index Data'!U470</f>
        <v>1.1148044615629972E-2</v>
      </c>
      <c r="R361" s="24"/>
      <c r="S361" s="23">
        <f t="shared" ca="1" si="41"/>
        <v>1.4085128986452856E-2</v>
      </c>
      <c r="T361" s="2">
        <f t="shared" ca="1" si="36"/>
        <v>7.7846808188033753E-3</v>
      </c>
      <c r="U361" s="2">
        <f t="shared" ca="1" si="37"/>
        <v>7.7846808188033753E-3</v>
      </c>
      <c r="V361" s="2">
        <f t="shared" ca="1" si="38"/>
        <v>3.6413852059478662E-2</v>
      </c>
      <c r="W361" s="2">
        <f t="shared" ca="1" si="39"/>
        <v>9.6647089435735703E-4</v>
      </c>
      <c r="X361" s="2">
        <v>1.4095431935422065E-2</v>
      </c>
      <c r="Y361" s="2">
        <f t="shared" ca="1" si="42"/>
        <v>1.0647597942870905E-2</v>
      </c>
      <c r="Z361" s="2">
        <f t="shared" ca="1" si="40"/>
        <v>1.139838242186119E-2</v>
      </c>
    </row>
    <row r="362" spans="1:26">
      <c r="A362" s="22">
        <v>43131</v>
      </c>
      <c r="B362" s="25" t="s">
        <v>45</v>
      </c>
      <c r="C362" s="25" t="s">
        <v>46</v>
      </c>
      <c r="D362" s="25" t="s">
        <v>32</v>
      </c>
      <c r="E362" s="25" t="s">
        <v>41</v>
      </c>
      <c r="F362" s="25" t="s">
        <v>39</v>
      </c>
      <c r="H362" s="23">
        <f ca="1">'Index Data'!E471</f>
        <v>-1.1517956185831466E-2</v>
      </c>
      <c r="I362" s="23">
        <f ca="1">'Index Data'!D471</f>
        <v>5.6624294478527529E-2</v>
      </c>
      <c r="J362" s="23">
        <f ca="1">'Index Data'!B471</f>
        <v>5.0214053331087929E-2</v>
      </c>
      <c r="K362" s="23">
        <f ca="1">'Index Data'!C471</f>
        <v>8.3422557440497591E-2</v>
      </c>
      <c r="L362" s="23">
        <f ca="1">'Index Data'!AH471</f>
        <v>2.2700000000000001E-2</v>
      </c>
      <c r="M362" s="23">
        <f ca="1">'Index Data'!V471</f>
        <v>7.0826648653212892E-2</v>
      </c>
      <c r="N362" s="23">
        <f ca="1">'Index Data'!W471</f>
        <v>3.8662148110567632E-2</v>
      </c>
      <c r="O362" s="23">
        <f ca="1">'Index Data'!R471</f>
        <v>8.2099590678021972E-2</v>
      </c>
      <c r="P362" s="23">
        <f ca="1">'Index Data'!S471</f>
        <v>3.5119150068063418E-2</v>
      </c>
      <c r="Q362" s="23">
        <f ca="1">'Index Data'!U471</f>
        <v>5.4893266247549574E-2</v>
      </c>
      <c r="R362" s="24"/>
      <c r="S362" s="23">
        <f t="shared" ca="1" si="41"/>
        <v>4.2995844345655732E-2</v>
      </c>
      <c r="T362" s="2">
        <f t="shared" ca="1" si="36"/>
        <v>7.0826648653212892E-2</v>
      </c>
      <c r="U362" s="2">
        <f t="shared" ca="1" si="37"/>
        <v>7.0826648653212892E-2</v>
      </c>
      <c r="V362" s="2">
        <f t="shared" ca="1" si="38"/>
        <v>8.3422557440497591E-2</v>
      </c>
      <c r="W362" s="2">
        <f t="shared" ca="1" si="39"/>
        <v>8.2099590678021972E-2</v>
      </c>
      <c r="X362" s="2">
        <v>3.6901120811136057E-2</v>
      </c>
      <c r="Y362" s="2">
        <f t="shared" ca="1" si="42"/>
        <v>7.2086239531941362E-2</v>
      </c>
      <c r="Z362" s="2">
        <f t="shared" ca="1" si="40"/>
        <v>6.6146604615386684E-2</v>
      </c>
    </row>
    <row r="363" spans="1:26">
      <c r="A363" s="22">
        <v>43159</v>
      </c>
      <c r="B363" s="25" t="s">
        <v>45</v>
      </c>
      <c r="C363" s="25" t="s">
        <v>46</v>
      </c>
      <c r="D363" s="25" t="s">
        <v>32</v>
      </c>
      <c r="E363" s="25" t="s">
        <v>41</v>
      </c>
      <c r="F363" s="25" t="s">
        <v>39</v>
      </c>
      <c r="H363" s="23">
        <f ca="1">'Index Data'!E472</f>
        <v>-9.4769626260628077E-3</v>
      </c>
      <c r="I363" s="23">
        <f ca="1">'Index Data'!D472</f>
        <v>-4.1610462674975514E-2</v>
      </c>
      <c r="J363" s="23">
        <f ca="1">'Index Data'!B472</f>
        <v>-4.4985625290218732E-2</v>
      </c>
      <c r="K363" s="23">
        <f ca="1">'Index Data'!C472</f>
        <v>-4.5979115042952275E-2</v>
      </c>
      <c r="L363" s="23">
        <f ca="1">'Index Data'!AH472</f>
        <v>-1.5800000000000002E-2</v>
      </c>
      <c r="M363" s="23">
        <f ca="1">'Index Data'!V472</f>
        <v>-2.6220826123048185E-2</v>
      </c>
      <c r="N363" s="23">
        <f ca="1">'Index Data'!W472</f>
        <v>-4.7751157982804271E-2</v>
      </c>
      <c r="O363" s="23">
        <f ca="1">'Index Data'!R472</f>
        <v>-1.414304725661478E-2</v>
      </c>
      <c r="P363" s="23">
        <f ca="1">'Index Data'!S472</f>
        <v>-4.2077630229786889E-2</v>
      </c>
      <c r="Q363" s="23">
        <f ca="1">'Index Data'!U472</f>
        <v>-3.6713386409966353E-2</v>
      </c>
      <c r="R363" s="24"/>
      <c r="S363" s="23">
        <f t="shared" ca="1" si="41"/>
        <v>-3.5183762665192977E-2</v>
      </c>
      <c r="T363" s="2">
        <f t="shared" ca="1" si="36"/>
        <v>-2.6220826123048185E-2</v>
      </c>
      <c r="U363" s="2">
        <f t="shared" ca="1" si="37"/>
        <v>-2.6220826123048185E-2</v>
      </c>
      <c r="V363" s="2">
        <f t="shared" ca="1" si="38"/>
        <v>-4.5979115042952275E-2</v>
      </c>
      <c r="W363" s="2">
        <f t="shared" ca="1" si="39"/>
        <v>-1.414304725661478E-2</v>
      </c>
      <c r="X363" s="2">
        <v>-3.7562253108254784E-2</v>
      </c>
      <c r="Y363" s="2">
        <f t="shared" ca="1" si="42"/>
        <v>-2.8196655015038593E-2</v>
      </c>
      <c r="Z363" s="2">
        <f t="shared" ca="1" si="40"/>
        <v>-2.955910699709741E-2</v>
      </c>
    </row>
    <row r="364" spans="1:26">
      <c r="A364" s="22">
        <v>43190</v>
      </c>
      <c r="B364" s="25" t="s">
        <v>45</v>
      </c>
      <c r="C364" s="25" t="s">
        <v>46</v>
      </c>
      <c r="D364" s="25" t="s">
        <v>32</v>
      </c>
      <c r="E364" s="25" t="s">
        <v>41</v>
      </c>
      <c r="F364" s="25" t="s">
        <v>39</v>
      </c>
      <c r="H364" s="23">
        <f ca="1">'Index Data'!E473</f>
        <v>6.4133597520499835E-3</v>
      </c>
      <c r="I364" s="23">
        <f ca="1">'Index Data'!D473</f>
        <v>-2.0807545231159952E-2</v>
      </c>
      <c r="J364" s="23">
        <f ca="1">'Index Data'!B473</f>
        <v>-1.7046969221373019E-2</v>
      </c>
      <c r="K364" s="23">
        <f ca="1">'Index Data'!C473</f>
        <v>-1.8335002244397627E-2</v>
      </c>
      <c r="L364" s="23">
        <f ca="1">'Index Data'!AH473</f>
        <v>3.7000000000000002E-3</v>
      </c>
      <c r="M364" s="23">
        <f ca="1">'Index Data'!V473</f>
        <v>-2.7423771734809671E-2</v>
      </c>
      <c r="N364" s="23">
        <f ca="1">'Index Data'!W473</f>
        <v>-1.7591427845164157E-2</v>
      </c>
      <c r="O364" s="23">
        <f ca="1">'Index Data'!R473</f>
        <v>-3.6392821226889513E-2</v>
      </c>
      <c r="P364" s="23">
        <f ca="1">'Index Data'!S473</f>
        <v>-2.3038626519141688E-3</v>
      </c>
      <c r="Q364" s="23">
        <f ca="1">'Index Data'!U473</f>
        <v>-2.2697705182442764E-2</v>
      </c>
      <c r="R364" s="24"/>
      <c r="S364" s="23">
        <f t="shared" ca="1" si="41"/>
        <v>-1.5363364234517965E-2</v>
      </c>
      <c r="T364" s="2">
        <f t="shared" ca="1" si="36"/>
        <v>-2.7423771734809671E-2</v>
      </c>
      <c r="U364" s="2">
        <f t="shared" ca="1" si="37"/>
        <v>-2.7423771734809671E-2</v>
      </c>
      <c r="V364" s="2">
        <f t="shared" ca="1" si="38"/>
        <v>-1.8335002244397627E-2</v>
      </c>
      <c r="W364" s="2">
        <f t="shared" ca="1" si="39"/>
        <v>-3.6392821226889513E-2</v>
      </c>
      <c r="X364" s="2">
        <v>4.0507755340213336E-4</v>
      </c>
      <c r="Y364" s="2">
        <f t="shared" ca="1" si="42"/>
        <v>-2.6514894785768468E-2</v>
      </c>
      <c r="Z364" s="2">
        <f t="shared" ca="1" si="40"/>
        <v>-2.1621803640032092E-2</v>
      </c>
    </row>
    <row r="365" spans="1:26">
      <c r="A365" s="22">
        <v>43220</v>
      </c>
      <c r="B365" s="25" t="s">
        <v>45</v>
      </c>
      <c r="C365" s="25" t="s">
        <v>46</v>
      </c>
      <c r="D365" s="25" t="s">
        <v>32</v>
      </c>
      <c r="E365" s="25" t="s">
        <v>41</v>
      </c>
      <c r="F365" s="25" t="s">
        <v>39</v>
      </c>
      <c r="H365" s="23">
        <f ca="1">'Index Data'!E474</f>
        <v>-7.4387050702213768E-3</v>
      </c>
      <c r="I365" s="23">
        <f ca="1">'Index Data'!D474</f>
        <v>1.0114049094269417E-2</v>
      </c>
      <c r="J365" s="23">
        <f ca="1">'Index Data'!B474</f>
        <v>2.3912905774360494E-2</v>
      </c>
      <c r="K365" s="23">
        <f ca="1">'Index Data'!C474</f>
        <v>-4.2365263610425969E-3</v>
      </c>
      <c r="L365" s="23">
        <f ca="1">'Index Data'!AH474</f>
        <v>-2.7000000000000001E-3</v>
      </c>
      <c r="M365" s="23">
        <f ca="1">'Index Data'!V474</f>
        <v>3.4938807887269253E-3</v>
      </c>
      <c r="N365" s="23">
        <f ca="1">'Index Data'!W474</f>
        <v>3.3013109707553424E-3</v>
      </c>
      <c r="O365" s="23">
        <f ca="1">'Index Data'!R474</f>
        <v>7.6987608928635286E-3</v>
      </c>
      <c r="P365" s="23">
        <f ca="1">'Index Data'!S474</f>
        <v>7.3809492427929699E-4</v>
      </c>
      <c r="Q365" s="23">
        <f ca="1">'Index Data'!U474</f>
        <v>3.3987594321290043E-3</v>
      </c>
      <c r="R365" s="24"/>
      <c r="S365" s="23">
        <f t="shared" ca="1" si="41"/>
        <v>6.603498261371259E-3</v>
      </c>
      <c r="T365" s="2">
        <f t="shared" ca="1" si="36"/>
        <v>3.4938807887269253E-3</v>
      </c>
      <c r="U365" s="2">
        <f t="shared" ca="1" si="37"/>
        <v>3.4938807887269253E-3</v>
      </c>
      <c r="V365" s="2">
        <f t="shared" ca="1" si="38"/>
        <v>-4.2365263610425969E-3</v>
      </c>
      <c r="W365" s="2">
        <f t="shared" ca="1" si="39"/>
        <v>7.6987608928635286E-3</v>
      </c>
      <c r="X365" s="2">
        <v>-5.2588007951439586E-3</v>
      </c>
      <c r="Y365" s="2">
        <f t="shared" ca="1" si="42"/>
        <v>2.7208400737499731E-3</v>
      </c>
      <c r="Z365" s="2">
        <f t="shared" ca="1" si="40"/>
        <v>1.2856697647860415E-3</v>
      </c>
    </row>
    <row r="366" spans="1:26">
      <c r="A366" s="22">
        <v>43251</v>
      </c>
      <c r="B366" s="25" t="s">
        <v>45</v>
      </c>
      <c r="C366" s="25" t="s">
        <v>46</v>
      </c>
      <c r="D366" s="25" t="s">
        <v>32</v>
      </c>
      <c r="E366" s="25" t="s">
        <v>41</v>
      </c>
      <c r="F366" s="25" t="s">
        <v>39</v>
      </c>
      <c r="H366" s="23">
        <f ca="1">'Index Data'!E475</f>
        <v>7.1347203069728263E-3</v>
      </c>
      <c r="I366" s="23">
        <f ca="1">'Index Data'!D475</f>
        <v>2.1109451624663333E-3</v>
      </c>
      <c r="J366" s="23">
        <f ca="1">'Index Data'!B475</f>
        <v>-2.1124756332671416E-2</v>
      </c>
      <c r="K366" s="23">
        <f ca="1">'Index Data'!C475</f>
        <v>-3.5198166304271146E-2</v>
      </c>
      <c r="L366" s="23">
        <f ca="1">'Index Data'!AH475</f>
        <v>-1.4499999999999999E-2</v>
      </c>
      <c r="M366" s="23">
        <f ca="1">'Index Data'!V475</f>
        <v>4.3831456580752735E-2</v>
      </c>
      <c r="N366" s="23">
        <f ca="1">'Index Data'!W475</f>
        <v>5.9361642473231124E-3</v>
      </c>
      <c r="O366" s="23">
        <f ca="1">'Index Data'!R475</f>
        <v>3.4969268947496475E-2</v>
      </c>
      <c r="P366" s="23">
        <f ca="1">'Index Data'!S475</f>
        <v>1.0989503075322416E-2</v>
      </c>
      <c r="Q366" s="23">
        <f ca="1">'Index Data'!U475</f>
        <v>2.5526182793750178E-2</v>
      </c>
      <c r="R366" s="24"/>
      <c r="S366" s="23">
        <f t="shared" ca="1" si="41"/>
        <v>3.1157001913676317E-3</v>
      </c>
      <c r="T366" s="2">
        <f t="shared" ca="1" si="36"/>
        <v>4.3831456580752735E-2</v>
      </c>
      <c r="U366" s="2">
        <f t="shared" ca="1" si="37"/>
        <v>4.3831456580752735E-2</v>
      </c>
      <c r="V366" s="2">
        <f t="shared" ca="1" si="38"/>
        <v>-3.5198166304271146E-2</v>
      </c>
      <c r="W366" s="2">
        <f t="shared" ca="1" si="39"/>
        <v>3.4969268947496475E-2</v>
      </c>
      <c r="X366" s="2">
        <v>2.1771180036988191E-2</v>
      </c>
      <c r="Y366" s="2">
        <f t="shared" ca="1" si="42"/>
        <v>3.5928494292250347E-2</v>
      </c>
      <c r="Z366" s="2">
        <f t="shared" ca="1" si="40"/>
        <v>3.0851774911003216E-2</v>
      </c>
    </row>
    <row r="367" spans="1:26">
      <c r="A367" s="22">
        <v>43281</v>
      </c>
      <c r="B367" s="25" t="s">
        <v>45</v>
      </c>
      <c r="C367" s="25" t="s">
        <v>46</v>
      </c>
      <c r="D367" s="25" t="s">
        <v>32</v>
      </c>
      <c r="E367" s="25" t="s">
        <v>41</v>
      </c>
      <c r="F367" s="25" t="s">
        <v>39</v>
      </c>
      <c r="H367" s="23">
        <f ca="1">'Index Data'!E476</f>
        <v>-1.2303051950629134E-3</v>
      </c>
      <c r="I367" s="23">
        <f ca="1">'Index Data'!D476</f>
        <v>-5.0168695907290553E-3</v>
      </c>
      <c r="J367" s="23">
        <f ca="1">'Index Data'!B476</f>
        <v>-1.1917461937535317E-2</v>
      </c>
      <c r="K367" s="23">
        <f ca="1">'Index Data'!C476</f>
        <v>-4.0879837928874119E-2</v>
      </c>
      <c r="L367" s="23">
        <f ca="1">'Index Data'!AH476</f>
        <v>-3.5099999999999999E-2</v>
      </c>
      <c r="M367" s="23">
        <f ca="1">'Index Data'!V476</f>
        <v>9.6286276261043444E-3</v>
      </c>
      <c r="N367" s="23">
        <f ca="1">'Index Data'!W476</f>
        <v>2.4769381153314641E-3</v>
      </c>
      <c r="O367" s="23">
        <f ca="1">'Index Data'!R476</f>
        <v>-1.3893806672106651E-3</v>
      </c>
      <c r="P367" s="23">
        <f ca="1">'Index Data'!S476</f>
        <v>1.6802715948380249E-2</v>
      </c>
      <c r="Q367" s="23">
        <f ca="1">'Index Data'!U476</f>
        <v>6.4666236472556609E-3</v>
      </c>
      <c r="R367" s="24"/>
      <c r="S367" s="23">
        <f t="shared" ca="1" si="41"/>
        <v>-4.2595567115958268E-3</v>
      </c>
      <c r="T367" s="2">
        <f t="shared" ca="1" si="36"/>
        <v>9.6286276261043444E-3</v>
      </c>
      <c r="U367" s="2">
        <f t="shared" ca="1" si="37"/>
        <v>9.6286276261043444E-3</v>
      </c>
      <c r="V367" s="2">
        <f t="shared" ca="1" si="38"/>
        <v>-4.0879837928874119E-2</v>
      </c>
      <c r="W367" s="2">
        <f t="shared" ca="1" si="39"/>
        <v>-1.3893806672106651E-3</v>
      </c>
      <c r="X367" s="2">
        <v>1.4364972668960974E-2</v>
      </c>
      <c r="Y367" s="2">
        <f t="shared" ca="1" si="42"/>
        <v>4.5777810706064976E-3</v>
      </c>
      <c r="Z367" s="2">
        <f t="shared" ca="1" si="40"/>
        <v>4.6986994571791979E-3</v>
      </c>
    </row>
    <row r="368" spans="1:26">
      <c r="A368" s="22">
        <v>43312</v>
      </c>
      <c r="B368" s="25" t="s">
        <v>45</v>
      </c>
      <c r="C368" s="25" t="s">
        <v>46</v>
      </c>
      <c r="D368" s="25" t="s">
        <v>32</v>
      </c>
      <c r="E368" s="25" t="s">
        <v>41</v>
      </c>
      <c r="F368" s="25" t="s">
        <v>39</v>
      </c>
      <c r="H368" s="23">
        <f ca="1">'Index Data'!E477</f>
        <v>2.384169117062794E-4</v>
      </c>
      <c r="I368" s="23">
        <f ca="1">'Index Data'!D477</f>
        <v>3.0482003499046641E-2</v>
      </c>
      <c r="J368" s="23">
        <f ca="1">'Index Data'!B477</f>
        <v>2.468345218303547E-2</v>
      </c>
      <c r="K368" s="23">
        <f ca="1">'Index Data'!C477</f>
        <v>2.2848635740915852E-2</v>
      </c>
      <c r="L368" s="23">
        <f ca="1">'Index Data'!AH477</f>
        <v>-2.46E-2</v>
      </c>
      <c r="M368" s="23">
        <f ca="1">'Index Data'!V477</f>
        <v>2.9356171079837914E-2</v>
      </c>
      <c r="N368" s="23">
        <f ca="1">'Index Data'!W477</f>
        <v>3.9578990440006234E-2</v>
      </c>
      <c r="O368" s="23">
        <f ca="1">'Index Data'!R477</f>
        <v>1.8672894818994253E-2</v>
      </c>
      <c r="P368" s="23">
        <f ca="1">'Index Data'!S477</f>
        <v>3.3629207494567728E-2</v>
      </c>
      <c r="Q368" s="23">
        <f ca="1">'Index Data'!U477</f>
        <v>3.4511436025309129E-2</v>
      </c>
      <c r="R368" s="24"/>
      <c r="S368" s="23">
        <f t="shared" ca="1" si="41"/>
        <v>2.443328618157857E-2</v>
      </c>
      <c r="T368" s="2">
        <f t="shared" ca="1" si="36"/>
        <v>2.9356171079837914E-2</v>
      </c>
      <c r="U368" s="2">
        <f t="shared" ca="1" si="37"/>
        <v>2.9356171079837914E-2</v>
      </c>
      <c r="V368" s="2">
        <f t="shared" ca="1" si="38"/>
        <v>2.2848635740915852E-2</v>
      </c>
      <c r="W368" s="2">
        <f t="shared" ca="1" si="39"/>
        <v>1.8672894818994253E-2</v>
      </c>
      <c r="X368" s="2">
        <v>3.736176343592823E-2</v>
      </c>
      <c r="Y368" s="2">
        <f t="shared" ca="1" si="42"/>
        <v>2.8705417545945709E-2</v>
      </c>
      <c r="Z368" s="2">
        <f t="shared" ca="1" si="40"/>
        <v>2.9505290297600496E-2</v>
      </c>
    </row>
    <row r="369" spans="1:26">
      <c r="A369" s="22">
        <v>43343</v>
      </c>
      <c r="B369" s="25" t="s">
        <v>45</v>
      </c>
      <c r="C369" s="25" t="s">
        <v>46</v>
      </c>
      <c r="D369" s="25" t="s">
        <v>41</v>
      </c>
      <c r="E369" s="25" t="s">
        <v>41</v>
      </c>
      <c r="F369" s="25" t="s">
        <v>39</v>
      </c>
      <c r="H369" s="23">
        <f ca="1">'Index Data'!E478</f>
        <v>6.435722231050392E-3</v>
      </c>
      <c r="I369" s="23">
        <f ca="1">'Index Data'!D478</f>
        <v>8.3047748401663315E-3</v>
      </c>
      <c r="J369" s="23">
        <f ca="1">'Index Data'!B478</f>
        <v>-1.918745544209189E-2</v>
      </c>
      <c r="K369" s="23">
        <f ca="1">'Index Data'!C478</f>
        <v>-2.6746172601967193E-2</v>
      </c>
      <c r="L369" s="23">
        <f ca="1">'Index Data'!AH478</f>
        <v>-1.8100000000000002E-2</v>
      </c>
      <c r="M369" s="23">
        <f ca="1">'Index Data'!V478</f>
        <v>5.4676701181169095E-2</v>
      </c>
      <c r="N369" s="23">
        <f ca="1">'Index Data'!W478</f>
        <v>1.4780248511535886E-2</v>
      </c>
      <c r="O369" s="23">
        <f ca="1">'Index Data'!R478</f>
        <v>5.8661733103302229E-2</v>
      </c>
      <c r="P369" s="23">
        <f ca="1">'Index Data'!S478</f>
        <v>3.0804700282611983E-2</v>
      </c>
      <c r="Q369" s="23">
        <f ca="1">'Index Data'!U478</f>
        <v>3.4457390694843416E-2</v>
      </c>
      <c r="R369" s="24"/>
      <c r="S369" s="23">
        <f t="shared" ca="1" si="41"/>
        <v>7.9309643183431439E-3</v>
      </c>
      <c r="T369" s="2">
        <f t="shared" ca="1" si="36"/>
        <v>5.4676701181169095E-2</v>
      </c>
      <c r="U369" s="2">
        <f t="shared" ca="1" si="37"/>
        <v>5.4676701181169095E-2</v>
      </c>
      <c r="V369" s="2">
        <f t="shared" ca="1" si="38"/>
        <v>5.4676701181169095E-2</v>
      </c>
      <c r="W369" s="2">
        <f t="shared" ca="1" si="39"/>
        <v>5.8661733103302229E-2</v>
      </c>
      <c r="X369" s="2">
        <v>3.3959729214657619E-2</v>
      </c>
      <c r="Y369" s="2">
        <f t="shared" ca="1" si="42"/>
        <v>5.4676701181169095E-2</v>
      </c>
      <c r="Z369" s="2">
        <f t="shared" ca="1" si="40"/>
        <v>5.0832184182026785E-2</v>
      </c>
    </row>
    <row r="370" spans="1:26">
      <c r="A370" s="22">
        <v>43373</v>
      </c>
      <c r="B370" s="25" t="s">
        <v>45</v>
      </c>
      <c r="C370" s="25" t="s">
        <v>46</v>
      </c>
      <c r="D370" s="25" t="s">
        <v>41</v>
      </c>
      <c r="E370" s="25" t="s">
        <v>41</v>
      </c>
      <c r="F370" s="25" t="s">
        <v>39</v>
      </c>
      <c r="H370" s="23">
        <f ca="1">'Index Data'!E479</f>
        <v>-6.4389752901239218E-3</v>
      </c>
      <c r="I370" s="23">
        <f ca="1">'Index Data'!D479</f>
        <v>4.7619047619046461E-3</v>
      </c>
      <c r="J370" s="23">
        <f ca="1">'Index Data'!B479</f>
        <v>9.1080917844892119E-3</v>
      </c>
      <c r="K370" s="23">
        <f ca="1">'Index Data'!C479</f>
        <v>-4.9764386083013794E-3</v>
      </c>
      <c r="L370" s="23">
        <f ca="1">'Index Data'!AH479</f>
        <v>-8.3999999999999995E-3</v>
      </c>
      <c r="M370" s="23">
        <f ca="1">'Index Data'!V479</f>
        <v>5.5884668073947399E-3</v>
      </c>
      <c r="N370" s="23">
        <f ca="1">'Index Data'!W479</f>
        <v>1.9834770333747708E-3</v>
      </c>
      <c r="O370" s="23">
        <f ca="1">'Index Data'!R479</f>
        <v>9.3382460679658878E-3</v>
      </c>
      <c r="P370" s="23">
        <f ca="1">'Index Data'!S479</f>
        <v>1.2529881723688319E-2</v>
      </c>
      <c r="Q370" s="23">
        <f ca="1">'Index Data'!U479</f>
        <v>3.7971599495599845E-3</v>
      </c>
      <c r="R370" s="24"/>
      <c r="S370" s="23">
        <f t="shared" ca="1" si="41"/>
        <v>2.5217287514989325E-3</v>
      </c>
      <c r="T370" s="2">
        <f t="shared" ca="1" si="36"/>
        <v>5.5884668073947399E-3</v>
      </c>
      <c r="U370" s="2">
        <f t="shared" ca="1" si="37"/>
        <v>5.5884668073947399E-3</v>
      </c>
      <c r="V370" s="2">
        <f t="shared" ca="1" si="38"/>
        <v>5.5884668073947399E-3</v>
      </c>
      <c r="W370" s="2">
        <f t="shared" ca="1" si="39"/>
        <v>9.3382460679658878E-3</v>
      </c>
      <c r="X370" s="2">
        <v>1.6727498921260686E-2</v>
      </c>
      <c r="Y370" s="2">
        <f t="shared" ca="1" si="42"/>
        <v>5.5884668073947399E-3</v>
      </c>
      <c r="Z370" s="2">
        <f t="shared" ca="1" si="40"/>
        <v>8.0975066747107655E-3</v>
      </c>
    </row>
    <row r="371" spans="1:26">
      <c r="A371" s="22">
        <v>43404</v>
      </c>
      <c r="B371" s="25" t="s">
        <v>45</v>
      </c>
      <c r="C371" s="25" t="s">
        <v>46</v>
      </c>
      <c r="D371" s="25" t="s">
        <v>41</v>
      </c>
      <c r="E371" s="25" t="s">
        <v>41</v>
      </c>
      <c r="F371" s="25" t="s">
        <v>39</v>
      </c>
      <c r="H371" s="23">
        <f ca="1">'Index Data'!E480</f>
        <v>-7.9009966876400217E-3</v>
      </c>
      <c r="I371" s="23">
        <f ca="1">'Index Data'!D480</f>
        <v>-7.4719396257110424E-2</v>
      </c>
      <c r="J371" s="23">
        <f ca="1">'Index Data'!B480</f>
        <v>-7.9522051041393177E-2</v>
      </c>
      <c r="K371" s="23">
        <f ca="1">'Index Data'!C480</f>
        <v>-8.7000830699929046E-2</v>
      </c>
      <c r="L371" s="23">
        <f ca="1">'Index Data'!AH480</f>
        <v>1.9699999999999999E-2</v>
      </c>
      <c r="M371" s="23">
        <f ca="1">'Index Data'!V480</f>
        <v>-8.9426630329675044E-2</v>
      </c>
      <c r="N371" s="23">
        <f ca="1">'Index Data'!W480</f>
        <v>-5.1781595576129269E-2</v>
      </c>
      <c r="O371" s="23">
        <f ca="1">'Index Data'!R480</f>
        <v>-9.7978260099847836E-2</v>
      </c>
      <c r="P371" s="23">
        <f ca="1">'Index Data'!S480</f>
        <v>-4.0219374085545427E-2</v>
      </c>
      <c r="Q371" s="23">
        <f ca="1">'Index Data'!U480</f>
        <v>-7.0763290817193888E-2</v>
      </c>
      <c r="R371" s="24"/>
      <c r="S371" s="23">
        <f t="shared" ca="1" si="41"/>
        <v>-6.1355716343216342E-2</v>
      </c>
      <c r="T371" s="2">
        <f t="shared" ca="1" si="36"/>
        <v>-8.9426630329675044E-2</v>
      </c>
      <c r="U371" s="2">
        <f t="shared" ca="1" si="37"/>
        <v>-8.9426630329675044E-2</v>
      </c>
      <c r="V371" s="2">
        <f t="shared" ca="1" si="38"/>
        <v>-8.9426630329675044E-2</v>
      </c>
      <c r="W371" s="2">
        <f t="shared" ca="1" si="39"/>
        <v>-9.7978260099847836E-2</v>
      </c>
      <c r="X371" s="2">
        <v>-5.0973485716181433E-2</v>
      </c>
      <c r="Y371" s="2">
        <f t="shared" ca="1" si="42"/>
        <v>-8.9426630329675044E-2</v>
      </c>
      <c r="Z371" s="2">
        <f t="shared" ca="1" si="40"/>
        <v>-8.2377373639739293E-2</v>
      </c>
    </row>
    <row r="372" spans="1:26">
      <c r="A372" s="22">
        <v>43434</v>
      </c>
      <c r="B372" s="25" t="s">
        <v>45</v>
      </c>
      <c r="C372" s="25" t="s">
        <v>46</v>
      </c>
      <c r="D372" s="25" t="s">
        <v>41</v>
      </c>
      <c r="E372" s="25" t="s">
        <v>41</v>
      </c>
      <c r="F372" s="25" t="s">
        <v>39</v>
      </c>
      <c r="H372" s="23">
        <f ca="1">'Index Data'!E481</f>
        <v>5.9666826846067958E-3</v>
      </c>
      <c r="I372" s="23">
        <f ca="1">'Index Data'!D481</f>
        <v>1.5099576825202082E-2</v>
      </c>
      <c r="J372" s="23">
        <f ca="1">'Index Data'!B481</f>
        <v>-1.1186493987697648E-3</v>
      </c>
      <c r="K372" s="23">
        <f ca="1">'Index Data'!C481</f>
        <v>4.1285995685207862E-2</v>
      </c>
      <c r="L372" s="23">
        <f ca="1">'Index Data'!AH481</f>
        <v>4.3E-3</v>
      </c>
      <c r="M372" s="23">
        <f ca="1">'Index Data'!V481</f>
        <v>1.0621738529415104E-2</v>
      </c>
      <c r="N372" s="23">
        <f ca="1">'Index Data'!W481</f>
        <v>2.9855853179990195E-2</v>
      </c>
      <c r="O372" s="23">
        <f ca="1">'Index Data'!R481</f>
        <v>1.3840585967859781E-2</v>
      </c>
      <c r="P372" s="23">
        <f ca="1">'Index Data'!S481</f>
        <v>3.733391407210887E-2</v>
      </c>
      <c r="Q372" s="23">
        <f ca="1">'Index Data'!U481</f>
        <v>2.0350671517801892E-2</v>
      </c>
      <c r="R372" s="24"/>
      <c r="S372" s="23">
        <f t="shared" ca="1" si="41"/>
        <v>1.3272997997083025E-2</v>
      </c>
      <c r="T372" s="2">
        <f t="shared" ca="1" si="36"/>
        <v>1.0621738529415104E-2</v>
      </c>
      <c r="U372" s="2">
        <f t="shared" ca="1" si="37"/>
        <v>1.0621738529415104E-2</v>
      </c>
      <c r="V372" s="2">
        <f t="shared" ca="1" si="38"/>
        <v>1.0621738529415104E-2</v>
      </c>
      <c r="W372" s="2">
        <f t="shared" ca="1" si="39"/>
        <v>1.3840585967859781E-2</v>
      </c>
      <c r="X372" s="2">
        <v>2.2718729834399376E-2</v>
      </c>
      <c r="Y372" s="2">
        <f t="shared" ca="1" si="42"/>
        <v>1.0621738529415104E-2</v>
      </c>
      <c r="Z372" s="2">
        <f t="shared" ca="1" si="40"/>
        <v>1.328255034829531E-2</v>
      </c>
    </row>
    <row r="373" spans="1:26">
      <c r="A373" s="22">
        <v>43465</v>
      </c>
      <c r="B373" s="25" t="s">
        <v>45</v>
      </c>
      <c r="C373" s="25" t="s">
        <v>46</v>
      </c>
      <c r="D373" s="25" t="s">
        <v>41</v>
      </c>
      <c r="E373" s="25" t="s">
        <v>41</v>
      </c>
      <c r="F373" s="25" t="s">
        <v>39</v>
      </c>
      <c r="H373" s="23">
        <f ca="1">'Index Data'!E482</f>
        <v>1.8371083953664189E-2</v>
      </c>
      <c r="I373" s="23">
        <f ca="1">'Index Data'!D482</f>
        <v>-7.0029639682894496E-2</v>
      </c>
      <c r="J373" s="23">
        <f ca="1">'Index Data'!B482</f>
        <v>-4.8329976597366112E-2</v>
      </c>
      <c r="K373" s="23">
        <f ca="1">'Index Data'!C482</f>
        <v>-2.5889209676474966E-2</v>
      </c>
      <c r="L373" s="23">
        <f ca="1">'Index Data'!AH482</f>
        <v>5.0099999999999999E-2</v>
      </c>
      <c r="M373" s="23">
        <f ca="1">'Index Data'!V482</f>
        <v>-8.5977956781271112E-2</v>
      </c>
      <c r="N373" s="23">
        <f ca="1">'Index Data'!W482</f>
        <v>-9.6025400439349276E-2</v>
      </c>
      <c r="O373" s="23">
        <f ca="1">'Index Data'!R482</f>
        <v>-7.6830155952362533E-2</v>
      </c>
      <c r="P373" s="23">
        <f ca="1">'Index Data'!S482</f>
        <v>-7.1000002385672528E-2</v>
      </c>
      <c r="Q373" s="23">
        <f ca="1">'Index Data'!U482</f>
        <v>-9.1077026751057916E-2</v>
      </c>
      <c r="R373" s="24"/>
      <c r="S373" s="23">
        <f t="shared" ca="1" si="41"/>
        <v>-5.2349494955582762E-2</v>
      </c>
      <c r="T373" s="2">
        <f t="shared" ca="1" si="36"/>
        <v>-8.5977956781271112E-2</v>
      </c>
      <c r="U373" s="2">
        <f t="shared" ca="1" si="37"/>
        <v>-8.5977956781271112E-2</v>
      </c>
      <c r="V373" s="2">
        <f t="shared" ca="1" si="38"/>
        <v>-8.5977956781271112E-2</v>
      </c>
      <c r="W373" s="2">
        <f t="shared" ca="1" si="39"/>
        <v>-7.6830155952362533E-2</v>
      </c>
      <c r="X373" s="2">
        <v>-0.10054011508855387</v>
      </c>
      <c r="Y373" s="2">
        <f t="shared" ca="1" si="42"/>
        <v>-8.5977956781271112E-2</v>
      </c>
      <c r="Z373" s="2">
        <f t="shared" ca="1" si="40"/>
        <v>-8.8204303380559526E-2</v>
      </c>
    </row>
    <row r="374" spans="1:26">
      <c r="A374" s="22">
        <v>43496</v>
      </c>
      <c r="B374" s="25" t="s">
        <v>45</v>
      </c>
      <c r="C374" s="25" t="s">
        <v>46</v>
      </c>
      <c r="D374" s="25" t="s">
        <v>41</v>
      </c>
      <c r="E374" s="25" t="s">
        <v>41</v>
      </c>
      <c r="F374" s="25" t="s">
        <v>39</v>
      </c>
      <c r="H374" s="23">
        <f ca="1">'Index Data'!E483</f>
        <v>1.0622495846770368E-2</v>
      </c>
      <c r="I374" s="23">
        <f ca="1">'Index Data'!D483</f>
        <v>7.9267372578100084E-2</v>
      </c>
      <c r="J374" s="23">
        <f ca="1">'Index Data'!B483</f>
        <v>6.5873191987822988E-2</v>
      </c>
      <c r="K374" s="23">
        <f ca="1">'Index Data'!C483</f>
        <v>8.7633799560744519E-2</v>
      </c>
      <c r="L374" s="23">
        <f ca="1">'Index Data'!AH483</f>
        <v>0.03</v>
      </c>
      <c r="M374" s="23">
        <f ca="1">'Index Data'!V483</f>
        <v>8.9886283037544562E-2</v>
      </c>
      <c r="N374" s="23">
        <f ca="1">'Index Data'!W483</f>
        <v>7.7834106823107319E-2</v>
      </c>
      <c r="O374" s="23">
        <f ca="1">'Index Data'!R483</f>
        <v>6.6675054521053517E-2</v>
      </c>
      <c r="P374" s="23">
        <f ca="1">'Index Data'!S483</f>
        <v>5.7656750760128307E-2</v>
      </c>
      <c r="Q374" s="23">
        <f ca="1">'Index Data'!U483</f>
        <v>8.3803352063037281E-2</v>
      </c>
      <c r="R374" s="24"/>
      <c r="S374" s="23">
        <f t="shared" ca="1" si="41"/>
        <v>6.5538397231834147E-2</v>
      </c>
      <c r="T374" s="2">
        <f t="shared" ca="1" si="36"/>
        <v>8.9886283037544562E-2</v>
      </c>
      <c r="U374" s="2">
        <f t="shared" ca="1" si="37"/>
        <v>8.9886283037544562E-2</v>
      </c>
      <c r="V374" s="2">
        <f t="shared" ca="1" si="38"/>
        <v>8.9886283037544562E-2</v>
      </c>
      <c r="W374" s="2">
        <f t="shared" ca="1" si="39"/>
        <v>6.6675054521053517E-2</v>
      </c>
      <c r="X374" s="2">
        <v>6.8603455803760927E-2</v>
      </c>
      <c r="Y374" s="2">
        <f t="shared" ca="1" si="42"/>
        <v>8.9886283037544562E-2</v>
      </c>
      <c r="Z374" s="2">
        <f t="shared" ca="1" si="40"/>
        <v>8.3888875452051009E-2</v>
      </c>
    </row>
    <row r="375" spans="1:26">
      <c r="A375" s="22">
        <v>43524</v>
      </c>
      <c r="B375" s="25" t="s">
        <v>45</v>
      </c>
      <c r="C375" s="25" t="s">
        <v>46</v>
      </c>
      <c r="D375" s="25" t="s">
        <v>41</v>
      </c>
      <c r="E375" s="25" t="s">
        <v>41</v>
      </c>
      <c r="F375" s="25" t="s">
        <v>39</v>
      </c>
      <c r="H375" s="23">
        <f ca="1">'Index Data'!E484</f>
        <v>-5.8017540636465606E-4</v>
      </c>
      <c r="I375" s="23">
        <f ca="1">'Index Data'!D484</f>
        <v>2.7200904399861465E-2</v>
      </c>
      <c r="J375" s="23">
        <f ca="1">'Index Data'!B484</f>
        <v>2.5608627711884113E-2</v>
      </c>
      <c r="K375" s="23">
        <f ca="1">'Index Data'!C484</f>
        <v>2.3381570221232164E-3</v>
      </c>
      <c r="L375" s="23">
        <f ca="1">'Index Data'!AH484</f>
        <v>-2.7000000000000001E-3</v>
      </c>
      <c r="M375" s="23">
        <f ca="1">'Index Data'!V484</f>
        <v>3.5779695137431247E-2</v>
      </c>
      <c r="N375" s="23">
        <f ca="1">'Index Data'!W484</f>
        <v>3.1951856403769914E-2</v>
      </c>
      <c r="O375" s="23">
        <f ca="1">'Index Data'!R484</f>
        <v>3.5952158151750839E-2</v>
      </c>
      <c r="P375" s="23">
        <f ca="1">'Index Data'!S484</f>
        <v>3.7857524401495667E-2</v>
      </c>
      <c r="Q375" s="23">
        <f ca="1">'Index Data'!U484</f>
        <v>3.3858394727582265E-2</v>
      </c>
      <c r="R375" s="24"/>
      <c r="S375" s="23">
        <f t="shared" ca="1" si="41"/>
        <v>2.1644688438616243E-2</v>
      </c>
      <c r="T375" s="2">
        <f t="shared" ca="1" si="36"/>
        <v>3.5779695137431247E-2</v>
      </c>
      <c r="U375" s="2">
        <f t="shared" ca="1" si="37"/>
        <v>3.5779695137431247E-2</v>
      </c>
      <c r="V375" s="2">
        <f t="shared" ca="1" si="38"/>
        <v>3.5779695137431247E-2</v>
      </c>
      <c r="W375" s="2">
        <f t="shared" ca="1" si="39"/>
        <v>3.5952158151750839E-2</v>
      </c>
      <c r="X375" s="2">
        <v>4.877826059339796E-2</v>
      </c>
      <c r="Y375" s="2">
        <f t="shared" ca="1" si="42"/>
        <v>3.5779695137431247E-2</v>
      </c>
      <c r="Z375" s="2">
        <f t="shared" ca="1" si="40"/>
        <v>3.8392342954698559E-2</v>
      </c>
    </row>
    <row r="376" spans="1:26">
      <c r="A376" s="22">
        <v>43555</v>
      </c>
      <c r="B376" s="25" t="s">
        <v>45</v>
      </c>
      <c r="C376" s="25" t="s">
        <v>46</v>
      </c>
      <c r="D376" s="25" t="s">
        <v>41</v>
      </c>
      <c r="E376" s="25" t="s">
        <v>41</v>
      </c>
      <c r="F376" s="25" t="s">
        <v>39</v>
      </c>
      <c r="H376" s="23">
        <f ca="1">'Index Data'!E485</f>
        <v>1.9200441189276031E-2</v>
      </c>
      <c r="I376" s="23">
        <f ca="1">'Index Data'!D485</f>
        <v>1.319801198564194E-2</v>
      </c>
      <c r="J376" s="23">
        <f ca="1">'Index Data'!B485</f>
        <v>7.3972722217981995E-3</v>
      </c>
      <c r="K376" s="23">
        <f ca="1">'Index Data'!C485</f>
        <v>8.5885875696629869E-3</v>
      </c>
      <c r="L376" s="23">
        <f ca="1">'Index Data'!AH485</f>
        <v>-1.7600000000000001E-2</v>
      </c>
      <c r="M376" s="23">
        <f ca="1">'Index Data'!V485</f>
        <v>2.8463089810800809E-2</v>
      </c>
      <c r="N376" s="23">
        <f ca="1">'Index Data'!W485</f>
        <v>6.3579173224342315E-3</v>
      </c>
      <c r="O376" s="23">
        <f ca="1">'Index Data'!R485</f>
        <v>2.1576426473155625E-2</v>
      </c>
      <c r="P376" s="23">
        <f ca="1">'Index Data'!S485</f>
        <v>2.6737505029804504E-2</v>
      </c>
      <c r="Q376" s="23">
        <f ca="1">'Index Data'!U485</f>
        <v>1.7409519479010916E-2</v>
      </c>
      <c r="R376" s="24"/>
      <c r="S376" s="23">
        <f t="shared" ca="1" si="41"/>
        <v>1.439849782636876E-2</v>
      </c>
      <c r="T376" s="2">
        <f t="shared" ca="1" si="36"/>
        <v>2.8463089810800809E-2</v>
      </c>
      <c r="U376" s="2">
        <f t="shared" ca="1" si="37"/>
        <v>2.8463089810800809E-2</v>
      </c>
      <c r="V376" s="2">
        <f t="shared" ca="1" si="38"/>
        <v>2.8463089810800809E-2</v>
      </c>
      <c r="W376" s="2">
        <f t="shared" ca="1" si="39"/>
        <v>2.1576426473155625E-2</v>
      </c>
      <c r="X376" s="2">
        <v>2.6774944758074515E-2</v>
      </c>
      <c r="Y376" s="2">
        <f t="shared" ca="1" si="42"/>
        <v>2.8463089810800809E-2</v>
      </c>
      <c r="Z376" s="2">
        <f t="shared" ca="1" si="40"/>
        <v>2.7608961049932164E-2</v>
      </c>
    </row>
    <row r="377" spans="1:26">
      <c r="A377" s="22">
        <v>43585</v>
      </c>
      <c r="B377" s="25" t="s">
        <v>45</v>
      </c>
      <c r="C377" s="25" t="s">
        <v>46</v>
      </c>
      <c r="D377" s="25" t="s">
        <v>41</v>
      </c>
      <c r="E377" s="25" t="s">
        <v>41</v>
      </c>
      <c r="F377" s="25" t="s">
        <v>39</v>
      </c>
      <c r="H377" s="23">
        <f ca="1">'Index Data'!E486</f>
        <v>2.563092418467383E-4</v>
      </c>
      <c r="I377" s="23">
        <f ca="1">'Index Data'!D486</f>
        <v>3.4294849343513692E-2</v>
      </c>
      <c r="J377" s="23">
        <f ca="1">'Index Data'!B486</f>
        <v>2.9094559637895041E-2</v>
      </c>
      <c r="K377" s="23">
        <f ca="1">'Index Data'!C486</f>
        <v>2.1240270307775661E-2</v>
      </c>
      <c r="L377" s="23">
        <f ca="1">'Index Data'!AH486</f>
        <v>-5.6000000000000008E-3</v>
      </c>
      <c r="M377" s="23">
        <f ca="1">'Index Data'!V486</f>
        <v>4.5180156714053211E-2</v>
      </c>
      <c r="N377" s="23">
        <f ca="1">'Index Data'!W486</f>
        <v>3.5471184959449141E-2</v>
      </c>
      <c r="O377" s="23">
        <f ca="1">'Index Data'!R486</f>
        <v>2.3160342835488807E-2</v>
      </c>
      <c r="P377" s="23">
        <f ca="1">'Index Data'!S486</f>
        <v>2.2010522214449803E-2</v>
      </c>
      <c r="Q377" s="23">
        <f ca="1">'Index Data'!U486</f>
        <v>4.0384113529162748E-2</v>
      </c>
      <c r="R377" s="24"/>
      <c r="S377" s="23">
        <f t="shared" ca="1" si="41"/>
        <v>2.7487141323180302E-2</v>
      </c>
      <c r="T377" s="2">
        <f t="shared" ca="1" si="36"/>
        <v>4.5180156714053211E-2</v>
      </c>
      <c r="U377" s="2">
        <f t="shared" ca="1" si="37"/>
        <v>4.5180156714053211E-2</v>
      </c>
      <c r="V377" s="2">
        <f t="shared" ca="1" si="38"/>
        <v>4.5180156714053211E-2</v>
      </c>
      <c r="W377" s="2">
        <f t="shared" ca="1" si="39"/>
        <v>2.3160342835488807E-2</v>
      </c>
      <c r="X377" s="2">
        <v>2.6869245372503903E-2</v>
      </c>
      <c r="Y377" s="2">
        <f t="shared" ca="1" si="42"/>
        <v>4.5180156714053218E-2</v>
      </c>
      <c r="Z377" s="2">
        <f t="shared" ca="1" si="40"/>
        <v>3.9866488404851019E-2</v>
      </c>
    </row>
    <row r="378" spans="1:26">
      <c r="A378" s="22">
        <v>43616</v>
      </c>
      <c r="B378" s="25" t="s">
        <v>45</v>
      </c>
      <c r="C378" s="25" t="s">
        <v>46</v>
      </c>
      <c r="D378" s="25" t="s">
        <v>41</v>
      </c>
      <c r="E378" s="25" t="s">
        <v>41</v>
      </c>
      <c r="F378" s="25" t="s">
        <v>39</v>
      </c>
      <c r="H378" s="23">
        <f ca="1">'Index Data'!E487</f>
        <v>1.775198470131031E-2</v>
      </c>
      <c r="I378" s="23">
        <f ca="1">'Index Data'!D487</f>
        <v>-5.84861566094153E-2</v>
      </c>
      <c r="J378" s="23">
        <f ca="1">'Index Data'!B487</f>
        <v>-4.6598268555439415E-2</v>
      </c>
      <c r="K378" s="23">
        <f ca="1">'Index Data'!C487</f>
        <v>-7.2245052583033348E-2</v>
      </c>
      <c r="L378" s="23">
        <f ca="1">'Index Data'!AH487</f>
        <v>1.5600000000000001E-2</v>
      </c>
      <c r="M378" s="23">
        <f ca="1">'Index Data'!V487</f>
        <v>-6.3173296542085158E-2</v>
      </c>
      <c r="N378" s="23">
        <f ca="1">'Index Data'!W487</f>
        <v>-6.4297073993838674E-2</v>
      </c>
      <c r="O378" s="23">
        <f ca="1">'Index Data'!R487</f>
        <v>-2.267965621039867E-2</v>
      </c>
      <c r="P378" s="23">
        <f ca="1">'Index Data'!S487</f>
        <v>-1.6025290887566601E-2</v>
      </c>
      <c r="Q378" s="23">
        <f ca="1">'Index Data'!U487</f>
        <v>-6.3724198215551767E-2</v>
      </c>
      <c r="R378" s="24"/>
      <c r="S378" s="23">
        <f t="shared" ca="1" si="41"/>
        <v>-4.3238528347270183E-2</v>
      </c>
      <c r="T378" s="2">
        <f t="shared" ca="1" si="36"/>
        <v>-6.3173296542085158E-2</v>
      </c>
      <c r="U378" s="2">
        <f t="shared" ca="1" si="37"/>
        <v>-6.3173296542085158E-2</v>
      </c>
      <c r="V378" s="2">
        <f t="shared" ca="1" si="38"/>
        <v>-6.3173296542085158E-2</v>
      </c>
      <c r="W378" s="2">
        <f t="shared" ca="1" si="39"/>
        <v>-2.267965621039867E-2</v>
      </c>
      <c r="X378" s="2">
        <v>-5.0997160185709989E-2</v>
      </c>
      <c r="Y378" s="2">
        <f t="shared" ca="1" si="42"/>
        <v>-6.3173296542085158E-2</v>
      </c>
      <c r="Z378" s="2">
        <f t="shared" ca="1" si="40"/>
        <v>-5.770104624593364E-2</v>
      </c>
    </row>
    <row r="379" spans="1:26">
      <c r="A379" s="22">
        <v>43646</v>
      </c>
      <c r="B379" s="25" t="s">
        <v>45</v>
      </c>
      <c r="C379" s="25" t="s">
        <v>46</v>
      </c>
      <c r="D379" s="25" t="s">
        <v>41</v>
      </c>
      <c r="E379" s="25" t="s">
        <v>41</v>
      </c>
      <c r="F379" s="25" t="s">
        <v>39</v>
      </c>
      <c r="H379" s="23">
        <f ca="1">'Index Data'!E488</f>
        <v>1.2556066356456062E-2</v>
      </c>
      <c r="I379" s="23">
        <f ca="1">'Index Data'!D488</f>
        <v>6.5946486040136407E-2</v>
      </c>
      <c r="J379" s="23">
        <f ca="1">'Index Data'!B488</f>
        <v>5.9650227225454239E-2</v>
      </c>
      <c r="K379" s="23">
        <f ca="1">'Index Data'!C488</f>
        <v>6.3224283095659653E-2</v>
      </c>
      <c r="L379" s="23">
        <f ca="1">'Index Data'!AH488</f>
        <v>8.2599999999999993E-2</v>
      </c>
      <c r="M379" s="23">
        <f ca="1">'Index Data'!V488</f>
        <v>6.867630462833324E-2</v>
      </c>
      <c r="N379" s="23">
        <f ca="1">'Index Data'!W488</f>
        <v>7.1784078840537585E-2</v>
      </c>
      <c r="O379" s="23">
        <f ca="1">'Index Data'!R488</f>
        <v>6.2369266779365003E-2</v>
      </c>
      <c r="P379" s="23">
        <f ca="1">'Index Data'!S488</f>
        <v>5.0438084707705756E-2</v>
      </c>
      <c r="Q379" s="23">
        <f ca="1">'Index Data'!U488</f>
        <v>7.020415447041245E-2</v>
      </c>
      <c r="R379" s="24"/>
      <c r="S379" s="23">
        <f t="shared" ca="1" si="41"/>
        <v>5.5268402103400338E-2</v>
      </c>
      <c r="T379" s="2">
        <f t="shared" ca="1" si="36"/>
        <v>6.867630462833324E-2</v>
      </c>
      <c r="U379" s="2">
        <f t="shared" ca="1" si="37"/>
        <v>6.867630462833324E-2</v>
      </c>
      <c r="V379" s="2">
        <f t="shared" ca="1" si="38"/>
        <v>6.867630462833324E-2</v>
      </c>
      <c r="W379" s="2">
        <f t="shared" ca="1" si="39"/>
        <v>6.2369266779365003E-2</v>
      </c>
      <c r="X379" s="2">
        <v>6.4522259300231699E-2</v>
      </c>
      <c r="Y379" s="2">
        <f t="shared" ca="1" si="42"/>
        <v>6.867630462833324E-2</v>
      </c>
      <c r="Z379" s="2">
        <f t="shared" ca="1" si="40"/>
        <v>6.7372467724040319E-2</v>
      </c>
    </row>
    <row r="380" spans="1:26">
      <c r="A380" s="22">
        <v>43677</v>
      </c>
      <c r="B380" s="25" t="s">
        <v>45</v>
      </c>
      <c r="C380" s="25" t="s">
        <v>46</v>
      </c>
      <c r="D380" s="25" t="s">
        <v>41</v>
      </c>
      <c r="E380" s="25" t="s">
        <v>41</v>
      </c>
      <c r="F380" s="25" t="s">
        <v>39</v>
      </c>
      <c r="H380" s="23">
        <f ca="1">'Index Data'!E489</f>
        <v>2.2010305243332423E-3</v>
      </c>
      <c r="I380" s="23">
        <f ca="1">'Index Data'!D489</f>
        <v>3.2742846630917713E-3</v>
      </c>
      <c r="J380" s="23">
        <f ca="1">'Index Data'!B489</f>
        <v>-1.2588106896487103E-2</v>
      </c>
      <c r="K380" s="23">
        <f ca="1">'Index Data'!C489</f>
        <v>-1.1400352321397241E-2</v>
      </c>
      <c r="L380" s="23">
        <f ca="1">'Index Data'!AH489</f>
        <v>8.8000000000000005E-3</v>
      </c>
      <c r="M380" s="23">
        <f ca="1">'Index Data'!V489</f>
        <v>2.2580924549546012E-2</v>
      </c>
      <c r="N380" s="23">
        <f ca="1">'Index Data'!W489</f>
        <v>8.289355393945411E-3</v>
      </c>
      <c r="O380" s="23">
        <f ca="1">'Index Data'!R489</f>
        <v>1.82729364696337E-2</v>
      </c>
      <c r="P380" s="23">
        <f ca="1">'Index Data'!S489</f>
        <v>1.6403732415328109E-2</v>
      </c>
      <c r="Q380" s="23">
        <f ca="1">'Index Data'!U489</f>
        <v>1.5529817471589149E-2</v>
      </c>
      <c r="R380" s="24"/>
      <c r="S380" s="23">
        <f t="shared" ca="1" si="41"/>
        <v>3.0596338353400658E-3</v>
      </c>
      <c r="T380" s="2">
        <f t="shared" ca="1" si="36"/>
        <v>2.2580924549546012E-2</v>
      </c>
      <c r="U380" s="2">
        <f t="shared" ca="1" si="37"/>
        <v>2.2580924549546012E-2</v>
      </c>
      <c r="V380" s="2">
        <f t="shared" ca="1" si="38"/>
        <v>2.2580924549546012E-2</v>
      </c>
      <c r="W380" s="2">
        <f t="shared" ca="1" si="39"/>
        <v>1.82729364696337E-2</v>
      </c>
      <c r="X380" s="2">
        <v>1.4757241976174784E-2</v>
      </c>
      <c r="Y380" s="2">
        <f t="shared" ca="1" si="42"/>
        <v>2.2580924549546012E-2</v>
      </c>
      <c r="Z380" s="2">
        <f t="shared" ca="1" si="40"/>
        <v>2.0693088928878344E-2</v>
      </c>
    </row>
    <row r="381" spans="1:26">
      <c r="A381" s="22">
        <v>43708</v>
      </c>
      <c r="B381" s="25" t="s">
        <v>45</v>
      </c>
      <c r="C381" s="25" t="s">
        <v>46</v>
      </c>
      <c r="D381" s="25" t="s">
        <v>41</v>
      </c>
      <c r="E381" s="25" t="s">
        <v>41</v>
      </c>
      <c r="F381" s="25" t="s">
        <v>39</v>
      </c>
      <c r="H381" s="23">
        <f ca="1">'Index Data'!E490</f>
        <v>2.5913282395048955E-2</v>
      </c>
      <c r="I381" s="23">
        <f ca="1">'Index Data'!D490</f>
        <v>-2.3265349371835567E-2</v>
      </c>
      <c r="J381" s="23">
        <f ca="1">'Index Data'!B490</f>
        <v>-2.5772149166292259E-2</v>
      </c>
      <c r="K381" s="23">
        <f ca="1">'Index Data'!C490</f>
        <v>-4.8470798866664125E-2</v>
      </c>
      <c r="L381" s="23">
        <f ca="1">'Index Data'!AH490</f>
        <v>6.7900000000000002E-2</v>
      </c>
      <c r="M381" s="23">
        <f ca="1">'Index Data'!V490</f>
        <v>-7.6585637009051414E-3</v>
      </c>
      <c r="N381" s="23">
        <f ca="1">'Index Data'!W490</f>
        <v>-2.9405310116563499E-2</v>
      </c>
      <c r="O381" s="23">
        <f ca="1">'Index Data'!R490</f>
        <v>2.7853431192408919E-3</v>
      </c>
      <c r="P381" s="23">
        <f ca="1">'Index Data'!S490</f>
        <v>1.667377588764473E-2</v>
      </c>
      <c r="Q381" s="23">
        <f ca="1">'Index Data'!U490</f>
        <v>-1.8315455349330302E-2</v>
      </c>
      <c r="R381" s="24"/>
      <c r="S381" s="23">
        <f t="shared" ca="1" si="41"/>
        <v>-1.3429623018458663E-2</v>
      </c>
      <c r="T381" s="2">
        <f t="shared" ca="1" si="36"/>
        <v>-7.6585637009051414E-3</v>
      </c>
      <c r="U381" s="2">
        <f t="shared" ca="1" si="37"/>
        <v>-7.6585637009051414E-3</v>
      </c>
      <c r="V381" s="2">
        <f t="shared" ca="1" si="38"/>
        <v>-7.6585637009051414E-3</v>
      </c>
      <c r="W381" s="2">
        <f t="shared" ca="1" si="39"/>
        <v>2.7853431192408919E-3</v>
      </c>
      <c r="X381" s="2">
        <v>-1.1839012496480783E-2</v>
      </c>
      <c r="Y381" s="2">
        <f t="shared" ca="1" si="42"/>
        <v>-7.6585637009051414E-3</v>
      </c>
      <c r="Z381" s="2">
        <f t="shared" ca="1" si="40"/>
        <v>-7.7113604485093178E-3</v>
      </c>
    </row>
    <row r="382" spans="1:26">
      <c r="A382" s="22">
        <v>43738</v>
      </c>
      <c r="B382" s="25" t="s">
        <v>45</v>
      </c>
      <c r="C382" s="25" t="s">
        <v>46</v>
      </c>
      <c r="D382" s="25" t="s">
        <v>41</v>
      </c>
      <c r="E382" s="25" t="s">
        <v>41</v>
      </c>
      <c r="F382" s="25" t="s">
        <v>39</v>
      </c>
      <c r="H382" s="23">
        <f ca="1">'Index Data'!E491</f>
        <v>-5.324937636874129E-3</v>
      </c>
      <c r="I382" s="23">
        <f ca="1">'Index Data'!D491</f>
        <v>2.1500771186400626E-2</v>
      </c>
      <c r="J382" s="23">
        <f ca="1">'Index Data'!B491</f>
        <v>2.9154413038714636E-2</v>
      </c>
      <c r="K382" s="23">
        <f ca="1">'Index Data'!C491</f>
        <v>1.9419199091167176E-2</v>
      </c>
      <c r="L382" s="23">
        <f ca="1">'Index Data'!AH491</f>
        <v>-3.7599999999999995E-2</v>
      </c>
      <c r="M382" s="23">
        <f ca="1">'Index Data'!V491</f>
        <v>1.2391769588962479E-4</v>
      </c>
      <c r="N382" s="23">
        <f ca="1">'Index Data'!W491</f>
        <v>3.567759444350746E-2</v>
      </c>
      <c r="O382" s="23">
        <f ca="1">'Index Data'!R491</f>
        <v>-1.2100226729411251E-2</v>
      </c>
      <c r="P382" s="23">
        <f ca="1">'Index Data'!S491</f>
        <v>9.1092018802860966E-3</v>
      </c>
      <c r="Q382" s="23">
        <f ca="1">'Index Data'!U491</f>
        <v>1.7333440842149495E-2</v>
      </c>
      <c r="R382" s="24"/>
      <c r="S382" s="23">
        <f t="shared" ca="1" si="41"/>
        <v>1.6135629421745679E-2</v>
      </c>
      <c r="T382" s="2">
        <f t="shared" ca="1" si="36"/>
        <v>1.2391769588962479E-4</v>
      </c>
      <c r="U382" s="2">
        <f t="shared" ca="1" si="37"/>
        <v>1.2391769588962479E-4</v>
      </c>
      <c r="V382" s="2">
        <f t="shared" ca="1" si="38"/>
        <v>1.2391769588962479E-4</v>
      </c>
      <c r="W382" s="2">
        <f t="shared" ca="1" si="39"/>
        <v>-1.2100226729411251E-2</v>
      </c>
      <c r="X382" s="2">
        <v>4.6367252006300541E-2</v>
      </c>
      <c r="Y382" s="2">
        <f t="shared" ca="1" si="42"/>
        <v>1.2391769588962479E-4</v>
      </c>
      <c r="Z382" s="2">
        <f t="shared" ca="1" si="40"/>
        <v>8.4557737260742439E-3</v>
      </c>
    </row>
    <row r="383" spans="1:26">
      <c r="A383" s="22">
        <v>43769</v>
      </c>
      <c r="B383" s="25" t="s">
        <v>45</v>
      </c>
      <c r="C383" s="25" t="s">
        <v>46</v>
      </c>
      <c r="D383" s="25" t="s">
        <v>41</v>
      </c>
      <c r="E383" s="25" t="s">
        <v>41</v>
      </c>
      <c r="F383" s="25" t="s">
        <v>39</v>
      </c>
      <c r="H383" s="23">
        <f ca="1">'Index Data'!E492</f>
        <v>3.0121566861774219E-3</v>
      </c>
      <c r="I383" s="23">
        <f ca="1">'Index Data'!D492</f>
        <v>2.762624821419828E-2</v>
      </c>
      <c r="J383" s="23">
        <f ca="1">'Index Data'!B492</f>
        <v>3.6030243148595931E-2</v>
      </c>
      <c r="K383" s="23">
        <f ca="1">'Index Data'!C492</f>
        <v>4.2273202159150335E-2</v>
      </c>
      <c r="L383" s="23">
        <f ca="1">'Index Data'!AH492</f>
        <v>3.3500000000000002E-2</v>
      </c>
      <c r="M383" s="23">
        <f ca="1">'Index Data'!V492</f>
        <v>2.8191575778609274E-2</v>
      </c>
      <c r="N383" s="23">
        <f ca="1">'Index Data'!W492</f>
        <v>1.3977575514279694E-2</v>
      </c>
      <c r="O383" s="23">
        <f ca="1">'Index Data'!R492</f>
        <v>6.2542252422472105E-3</v>
      </c>
      <c r="P383" s="23">
        <f ca="1">'Index Data'!S492</f>
        <v>-1.7023829223894514E-3</v>
      </c>
      <c r="Q383" s="23">
        <f ca="1">'Index Data'!U492</f>
        <v>2.1193515132977413E-2</v>
      </c>
      <c r="R383" s="24"/>
      <c r="S383" s="23">
        <f t="shared" ca="1" si="41"/>
        <v>2.2703429908594107E-2</v>
      </c>
      <c r="T383" s="2">
        <f t="shared" ca="1" si="36"/>
        <v>2.8191575778609274E-2</v>
      </c>
      <c r="U383" s="2">
        <f t="shared" ca="1" si="37"/>
        <v>2.8191575778609274E-2</v>
      </c>
      <c r="V383" s="2">
        <f t="shared" ca="1" si="38"/>
        <v>2.8191575778609274E-2</v>
      </c>
      <c r="W383" s="2">
        <f t="shared" ca="1" si="39"/>
        <v>6.2542252422472105E-3</v>
      </c>
      <c r="X383" s="2">
        <v>7.5570719788591312E-3</v>
      </c>
      <c r="Y383" s="2">
        <f t="shared" ca="1" si="42"/>
        <v>2.8191575778609274E-2</v>
      </c>
      <c r="Z383" s="2">
        <f t="shared" ca="1" si="40"/>
        <v>2.2419373728432092E-2</v>
      </c>
    </row>
    <row r="384" spans="1:26">
      <c r="A384" s="22">
        <v>43799</v>
      </c>
      <c r="B384" s="25" t="s">
        <v>45</v>
      </c>
      <c r="C384" s="25" t="s">
        <v>46</v>
      </c>
      <c r="D384" s="25" t="s">
        <v>41</v>
      </c>
      <c r="E384" s="25" t="s">
        <v>41</v>
      </c>
      <c r="F384" s="25" t="s">
        <v>39</v>
      </c>
      <c r="H384" s="23">
        <f ca="1">'Index Data'!E493</f>
        <v>-5.1174086160995136E-4</v>
      </c>
      <c r="I384" s="23">
        <f ca="1">'Index Data'!D493</f>
        <v>2.4839094074024907E-2</v>
      </c>
      <c r="J384" s="23">
        <f ca="1">'Index Data'!B493</f>
        <v>1.1424424912539069E-2</v>
      </c>
      <c r="K384" s="23">
        <f ca="1">'Index Data'!C493</f>
        <v>-1.3114425450337979E-3</v>
      </c>
      <c r="L384" s="23">
        <f ca="1">'Index Data'!AH493</f>
        <v>-3.2500000000000001E-2</v>
      </c>
      <c r="M384" s="23">
        <f ca="1">'Index Data'!V493</f>
        <v>4.4363096661700921E-2</v>
      </c>
      <c r="N384" s="23">
        <f ca="1">'Index Data'!W493</f>
        <v>3.0916451752569594E-2</v>
      </c>
      <c r="O384" s="23">
        <f ca="1">'Index Data'!R493</f>
        <v>3.370554248248931E-2</v>
      </c>
      <c r="P384" s="23">
        <f ca="1">'Index Data'!S493</f>
        <v>1.3283825476516509E-2</v>
      </c>
      <c r="Q384" s="23">
        <f ca="1">'Index Data'!U493</f>
        <v>3.7791818877645052E-2</v>
      </c>
      <c r="R384" s="24"/>
      <c r="S384" s="23">
        <f t="shared" ca="1" si="41"/>
        <v>1.9768927086897939E-2</v>
      </c>
      <c r="T384" s="2">
        <f t="shared" ca="1" si="36"/>
        <v>4.4363096661700921E-2</v>
      </c>
      <c r="U384" s="2">
        <f t="shared" ca="1" si="37"/>
        <v>4.4363096661700921E-2</v>
      </c>
      <c r="V384" s="2">
        <f t="shared" ca="1" si="38"/>
        <v>4.4363096661700921E-2</v>
      </c>
      <c r="W384" s="2">
        <f t="shared" ca="1" si="39"/>
        <v>3.370554248248931E-2</v>
      </c>
      <c r="X384" s="2">
        <v>4.1796424279846978E-2</v>
      </c>
      <c r="Y384" s="2">
        <f t="shared" ca="1" si="42"/>
        <v>4.4363096661700921E-2</v>
      </c>
      <c r="Z384" s="2">
        <f t="shared" ca="1" si="40"/>
        <v>4.3050445621889262E-2</v>
      </c>
    </row>
    <row r="385" spans="1:26">
      <c r="A385" s="22">
        <v>43830</v>
      </c>
      <c r="B385" s="25" t="s">
        <v>45</v>
      </c>
      <c r="C385" s="25" t="s">
        <v>46</v>
      </c>
      <c r="D385" s="25" t="s">
        <v>41</v>
      </c>
      <c r="E385" s="25" t="s">
        <v>41</v>
      </c>
      <c r="F385" s="25" t="s">
        <v>39</v>
      </c>
      <c r="H385" s="23">
        <f ca="1">'Index Data'!E494</f>
        <v>-6.9614425905557115E-4</v>
      </c>
      <c r="I385" s="23">
        <f ca="1">'Index Data'!D494</f>
        <v>3.5631294929331946E-2</v>
      </c>
      <c r="J385" s="23">
        <f ca="1">'Index Data'!B494</f>
        <v>3.2665319697359516E-2</v>
      </c>
      <c r="K385" s="23">
        <f ca="1">'Index Data'!C494</f>
        <v>7.526441030959731E-2</v>
      </c>
      <c r="L385" s="23">
        <f ca="1">'Index Data'!AH494</f>
        <v>3.9199999999999999E-2</v>
      </c>
      <c r="M385" s="23">
        <f ca="1">'Index Data'!V494</f>
        <v>3.0171142494332243E-2</v>
      </c>
      <c r="N385" s="23">
        <f ca="1">'Index Data'!W494</f>
        <v>2.7509345439750567E-2</v>
      </c>
      <c r="O385" s="23">
        <f ca="1">'Index Data'!R494</f>
        <v>1.7961417448805417E-2</v>
      </c>
      <c r="P385" s="23">
        <f ca="1">'Index Data'!S494</f>
        <v>1.8945745437889148E-2</v>
      </c>
      <c r="Q385" s="23">
        <f ca="1">'Index Data'!U494</f>
        <v>2.8878747399105186E-2</v>
      </c>
      <c r="R385" s="24"/>
      <c r="S385" s="23">
        <f t="shared" ca="1" si="41"/>
        <v>2.8365807091654444E-2</v>
      </c>
      <c r="T385" s="2">
        <f t="shared" ca="1" si="36"/>
        <v>3.0171142494332243E-2</v>
      </c>
      <c r="U385" s="2">
        <f t="shared" ca="1" si="37"/>
        <v>3.0171142494332243E-2</v>
      </c>
      <c r="V385" s="2">
        <f t="shared" ca="1" si="38"/>
        <v>3.0171142494332243E-2</v>
      </c>
      <c r="W385" s="2">
        <f t="shared" ca="1" si="39"/>
        <v>1.7961417448805417E-2</v>
      </c>
      <c r="X385" s="2">
        <v>3.5897081245129581E-2</v>
      </c>
      <c r="Y385" s="2">
        <f t="shared" ca="1" si="42"/>
        <v>3.0171142494332243E-2</v>
      </c>
      <c r="Z385" s="2">
        <f t="shared" ca="1" si="40"/>
        <v>3.0400600866077199E-2</v>
      </c>
    </row>
    <row r="386" spans="1:26">
      <c r="A386" s="22">
        <v>43861</v>
      </c>
      <c r="B386" s="25" t="s">
        <v>45</v>
      </c>
      <c r="C386" s="25" t="s">
        <v>46</v>
      </c>
      <c r="D386" s="25" t="s">
        <v>41</v>
      </c>
      <c r="E386" s="25" t="s">
        <v>41</v>
      </c>
      <c r="F386" s="25" t="s">
        <v>39</v>
      </c>
      <c r="H386" s="23">
        <f ca="1">'Index Data'!E495</f>
        <v>1.9244943820224791E-2</v>
      </c>
      <c r="I386" s="23">
        <f ca="1">'Index Data'!D495</f>
        <v>-1.0794759854907068E-2</v>
      </c>
      <c r="J386" s="23">
        <f ca="1">'Index Data'!B495</f>
        <v>-2.0799459562004727E-2</v>
      </c>
      <c r="K386" s="23">
        <f ca="1">'Index Data'!C495</f>
        <v>-4.6574671157541013E-2</v>
      </c>
      <c r="L386" s="23">
        <f ca="1">'Index Data'!AH495</f>
        <v>3.9300000000000002E-2</v>
      </c>
      <c r="M386" s="23">
        <f ca="1">'Index Data'!V495</f>
        <v>2.2355081139246752E-2</v>
      </c>
      <c r="N386" s="23">
        <f ca="1">'Index Data'!W495</f>
        <v>-2.1513127350516494E-2</v>
      </c>
      <c r="O386" s="23">
        <f ca="1">'Index Data'!R495</f>
        <v>3.6912982407889365E-2</v>
      </c>
      <c r="P386" s="23">
        <f ca="1">'Index Data'!S495</f>
        <v>2.3323626862107105E-2</v>
      </c>
      <c r="Q386" s="23">
        <f ca="1">'Index Data'!U495</f>
        <v>1.0792109982991607E-3</v>
      </c>
      <c r="R386" s="24"/>
      <c r="S386" s="23">
        <f t="shared" ca="1" si="41"/>
        <v>-4.7868191198806968E-3</v>
      </c>
      <c r="T386" s="2">
        <f t="shared" ref="T386:T449" ca="1" si="43">IF(C386="R1G",M386,N386)</f>
        <v>2.2355081139246752E-2</v>
      </c>
      <c r="U386" s="2">
        <f t="shared" ref="U386:U449" ca="1" si="44">IF(E386="EAFE",J386,T386)</f>
        <v>2.2355081139246752E-2</v>
      </c>
      <c r="V386" s="2">
        <f t="shared" ref="V386:V449" ca="1" si="45">IF(D386="EM",K386,T386)</f>
        <v>2.2355081139246752E-2</v>
      </c>
      <c r="W386" s="2">
        <f t="shared" ref="W386:W449" ca="1" si="46">IF(F386="MTM",O386,IF(F386="MVL",P386,Y386))</f>
        <v>3.6912982407889365E-2</v>
      </c>
      <c r="X386" s="2">
        <v>-4.9319727979001304E-2</v>
      </c>
      <c r="Y386" s="2">
        <f t="shared" ca="1" si="42"/>
        <v>2.2355081139246752E-2</v>
      </c>
      <c r="Z386" s="2">
        <f t="shared" ref="Z386:Z449" ca="1" si="47">0.2*X386+0.075*W386+0.1*V386+0.25*U386+0.375*T386</f>
        <v>9.1119619107453351E-3</v>
      </c>
    </row>
    <row r="387" spans="1:26">
      <c r="A387" s="22">
        <v>43890</v>
      </c>
      <c r="B387" s="25" t="s">
        <v>45</v>
      </c>
      <c r="C387" s="25" t="s">
        <v>46</v>
      </c>
      <c r="D387" s="25" t="s">
        <v>41</v>
      </c>
      <c r="E387" s="25" t="s">
        <v>41</v>
      </c>
      <c r="F387" s="25" t="s">
        <v>39</v>
      </c>
      <c r="H387" s="23">
        <f ca="1">'Index Data'!E496</f>
        <v>1.7999664876400995E-2</v>
      </c>
      <c r="I387" s="23">
        <f ca="1">'Index Data'!D496</f>
        <v>-8.0382645702639921E-2</v>
      </c>
      <c r="J387" s="23">
        <f ca="1">'Index Data'!B496</f>
        <v>-9.0258489276827239E-2</v>
      </c>
      <c r="K387" s="23">
        <f ca="1">'Index Data'!C496</f>
        <v>-5.2676236747314649E-2</v>
      </c>
      <c r="L387" s="23">
        <f ca="1">'Index Data'!AH496</f>
        <v>-1.0200000000000001E-2</v>
      </c>
      <c r="M387" s="23">
        <f ca="1">'Index Data'!V496</f>
        <v>-6.8101834979307038E-2</v>
      </c>
      <c r="N387" s="23">
        <f ca="1">'Index Data'!W496</f>
        <v>-9.6846639764349429E-2</v>
      </c>
      <c r="O387" s="23">
        <f ca="1">'Index Data'!R496</f>
        <v>-7.3455532926001252E-2</v>
      </c>
      <c r="P387" s="23">
        <f ca="1">'Index Data'!S496</f>
        <v>-8.1054685584852279E-2</v>
      </c>
      <c r="Q387" s="23">
        <f ca="1">'Index Data'!U496</f>
        <v>-8.1717451256436535E-2</v>
      </c>
      <c r="R387" s="24"/>
      <c r="S387" s="23">
        <f t="shared" ref="S387:S450" ca="1" si="48">IF(B387="OW",0.8*I387+0.2*H387,IF(B387="NW",0.6*I387+0.4*H387,0.4*I387+0.6*H387))</f>
        <v>-6.070618358683174E-2</v>
      </c>
      <c r="T387" s="2">
        <f t="shared" ca="1" si="43"/>
        <v>-6.8101834979307038E-2</v>
      </c>
      <c r="U387" s="2">
        <f t="shared" ca="1" si="44"/>
        <v>-6.8101834979307038E-2</v>
      </c>
      <c r="V387" s="2">
        <f t="shared" ca="1" si="45"/>
        <v>-6.8101834979307038E-2</v>
      </c>
      <c r="W387" s="2">
        <f t="shared" ca="1" si="46"/>
        <v>-7.3455532926001252E-2</v>
      </c>
      <c r="X387" s="2">
        <v>-7.5723504546282072E-2</v>
      </c>
      <c r="Y387" s="2">
        <f t="shared" ref="Y387:Y450" ca="1" si="49">0.25*U387+0.1*V387+0.65*T387</f>
        <v>-6.8101834979307038E-2</v>
      </c>
      <c r="Z387" s="2">
        <f t="shared" ca="1" si="47"/>
        <v>-7.0027696238704112E-2</v>
      </c>
    </row>
    <row r="388" spans="1:26">
      <c r="A388" s="22">
        <v>43921</v>
      </c>
      <c r="B388" s="25" t="s">
        <v>45</v>
      </c>
      <c r="C388" s="25" t="s">
        <v>46</v>
      </c>
      <c r="D388" s="25" t="s">
        <v>41</v>
      </c>
      <c r="E388" s="25" t="s">
        <v>41</v>
      </c>
      <c r="F388" s="25" t="s">
        <v>39</v>
      </c>
      <c r="H388" s="23">
        <f ca="1">'Index Data'!E497</f>
        <v>-5.8865825767550123E-3</v>
      </c>
      <c r="I388" s="23">
        <f ca="1">'Index Data'!D497</f>
        <v>-0.13439788826454774</v>
      </c>
      <c r="J388" s="23">
        <f ca="1">'Index Data'!B497</f>
        <v>-0.13245996521746362</v>
      </c>
      <c r="K388" s="23">
        <f ca="1">'Index Data'!C497</f>
        <v>-0.15377261805310349</v>
      </c>
      <c r="L388" s="23">
        <f ca="1">'Index Data'!AH497</f>
        <v>1.0700000000000001E-2</v>
      </c>
      <c r="M388" s="23">
        <f ca="1">'Index Data'!V497</f>
        <v>-9.8375277490032581E-2</v>
      </c>
      <c r="N388" s="23">
        <f ca="1">'Index Data'!W497</f>
        <v>-0.17089436074940317</v>
      </c>
      <c r="O388" s="23">
        <f ca="1">'Index Data'!R497</f>
        <v>-0.11406390577714777</v>
      </c>
      <c r="P388" s="23">
        <f ca="1">'Index Data'!S497</f>
        <v>-0.11895839379919076</v>
      </c>
      <c r="Q388" s="23">
        <f ca="1">'Index Data'!U497</f>
        <v>-0.13214946623178206</v>
      </c>
      <c r="R388" s="24"/>
      <c r="S388" s="23">
        <f t="shared" ca="1" si="48"/>
        <v>-0.10869562712698919</v>
      </c>
      <c r="T388" s="2">
        <f t="shared" ca="1" si="43"/>
        <v>-9.8375277490032581E-2</v>
      </c>
      <c r="U388" s="2">
        <f t="shared" ca="1" si="44"/>
        <v>-9.8375277490032581E-2</v>
      </c>
      <c r="V388" s="2">
        <f t="shared" ca="1" si="45"/>
        <v>-9.8375277490032581E-2</v>
      </c>
      <c r="W388" s="2">
        <f t="shared" ca="1" si="46"/>
        <v>-0.11406390577714777</v>
      </c>
      <c r="X388" s="2">
        <v>-0.11130279115526021</v>
      </c>
      <c r="Y388" s="2">
        <f t="shared" ca="1" si="49"/>
        <v>-9.8375277490032581E-2</v>
      </c>
      <c r="Z388" s="2">
        <f t="shared" ca="1" si="47"/>
        <v>-0.10213742734461174</v>
      </c>
    </row>
    <row r="389" spans="1:26">
      <c r="A389" s="22">
        <v>43951</v>
      </c>
      <c r="B389" s="25" t="s">
        <v>45</v>
      </c>
      <c r="C389" s="25" t="s">
        <v>46</v>
      </c>
      <c r="D389" s="25" t="s">
        <v>41</v>
      </c>
      <c r="E389" s="25" t="s">
        <v>41</v>
      </c>
      <c r="F389" s="25" t="s">
        <v>39</v>
      </c>
      <c r="H389" s="23">
        <f ca="1">'Index Data'!E498</f>
        <v>1.7777390470795722E-2</v>
      </c>
      <c r="I389" s="23">
        <f ca="1">'Index Data'!D498</f>
        <v>0.10763099970644628</v>
      </c>
      <c r="J389" s="23">
        <f ca="1">'Index Data'!B498</f>
        <v>6.5423494196456225E-2</v>
      </c>
      <c r="K389" s="23">
        <f ca="1">'Index Data'!C498</f>
        <v>9.1768609171772222E-2</v>
      </c>
      <c r="L389" s="23">
        <f ca="1">'Index Data'!AH498</f>
        <v>7.0000000000000007E-2</v>
      </c>
      <c r="M389" s="23">
        <f ca="1">'Index Data'!V498</f>
        <v>0.14797148422531625</v>
      </c>
      <c r="N389" s="23">
        <f ca="1">'Index Data'!W498</f>
        <v>0.11242202599765042</v>
      </c>
      <c r="O389" s="23">
        <f ca="1">'Index Data'!R498</f>
        <v>0.11732868650033475</v>
      </c>
      <c r="P389" s="23">
        <f ca="1">'Index Data'!S498</f>
        <v>9.2953236347077084E-2</v>
      </c>
      <c r="Q389" s="23">
        <f ca="1">'Index Data'!U498</f>
        <v>0.13214283510410527</v>
      </c>
      <c r="R389" s="24"/>
      <c r="S389" s="23">
        <f t="shared" ca="1" si="48"/>
        <v>8.966027785931617E-2</v>
      </c>
      <c r="T389" s="2">
        <f t="shared" ca="1" si="43"/>
        <v>0.14797148422531625</v>
      </c>
      <c r="U389" s="2">
        <f t="shared" ca="1" si="44"/>
        <v>0.14797148422531625</v>
      </c>
      <c r="V389" s="2">
        <f t="shared" ca="1" si="45"/>
        <v>0.14797148422531625</v>
      </c>
      <c r="W389" s="2">
        <f t="shared" ca="1" si="46"/>
        <v>0.11732868650033475</v>
      </c>
      <c r="X389" s="2">
        <v>0.13395692295195771</v>
      </c>
      <c r="Y389" s="2">
        <f t="shared" ca="1" si="49"/>
        <v>0.14797148422531625</v>
      </c>
      <c r="Z389" s="2">
        <f t="shared" ca="1" si="47"/>
        <v>0.14287036214127091</v>
      </c>
    </row>
    <row r="390" spans="1:26">
      <c r="A390" s="22">
        <v>43982</v>
      </c>
      <c r="B390" s="25" t="s">
        <v>45</v>
      </c>
      <c r="C390" s="25" t="s">
        <v>46</v>
      </c>
      <c r="D390" s="25" t="s">
        <v>41</v>
      </c>
      <c r="E390" s="25" t="s">
        <v>41</v>
      </c>
      <c r="F390" s="25" t="s">
        <v>39</v>
      </c>
      <c r="H390" s="23">
        <f ca="1">'Index Data'!E499</f>
        <v>4.6535522400838625E-3</v>
      </c>
      <c r="I390" s="23">
        <f ca="1">'Index Data'!D499</f>
        <v>4.4096660641233E-2</v>
      </c>
      <c r="J390" s="23">
        <f ca="1">'Index Data'!B499</f>
        <v>4.4166997868926007E-2</v>
      </c>
      <c r="K390" s="23">
        <f ca="1">'Index Data'!C499</f>
        <v>7.8955954323001887E-3</v>
      </c>
      <c r="L390" s="23">
        <f ca="1">'Index Data'!AH499</f>
        <v>2.52E-2</v>
      </c>
      <c r="M390" s="23">
        <f ca="1">'Index Data'!V499</f>
        <v>6.7133984007825706E-2</v>
      </c>
      <c r="N390" s="23">
        <f ca="1">'Index Data'!W499</f>
        <v>3.4268509219349853E-2</v>
      </c>
      <c r="O390" s="23">
        <f ca="1">'Index Data'!R499</f>
        <v>5.9863046239968638E-2</v>
      </c>
      <c r="P390" s="23">
        <f ca="1">'Index Data'!S499</f>
        <v>4.3661918766358582E-2</v>
      </c>
      <c r="Q390" s="23">
        <f ca="1">'Index Data'!U499</f>
        <v>5.2761425700019168E-2</v>
      </c>
      <c r="R390" s="24"/>
      <c r="S390" s="23">
        <f t="shared" ca="1" si="48"/>
        <v>3.6208038961003171E-2</v>
      </c>
      <c r="T390" s="2">
        <f t="shared" ca="1" si="43"/>
        <v>6.7133984007825706E-2</v>
      </c>
      <c r="U390" s="2">
        <f t="shared" ca="1" si="44"/>
        <v>6.7133984007825706E-2</v>
      </c>
      <c r="V390" s="2">
        <f t="shared" ca="1" si="45"/>
        <v>6.7133984007825706E-2</v>
      </c>
      <c r="W390" s="2">
        <f t="shared" ca="1" si="46"/>
        <v>5.9863046239968638E-2</v>
      </c>
      <c r="X390" s="2">
        <v>6.5852004428267996E-2</v>
      </c>
      <c r="Y390" s="2">
        <f t="shared" ca="1" si="49"/>
        <v>6.713398400782572E-2</v>
      </c>
      <c r="Z390" s="2">
        <f t="shared" ca="1" si="47"/>
        <v>6.6332267759324881E-2</v>
      </c>
    </row>
    <row r="391" spans="1:26">
      <c r="A391" s="22">
        <v>44012</v>
      </c>
      <c r="B391" s="25" t="s">
        <v>45</v>
      </c>
      <c r="C391" s="25" t="s">
        <v>46</v>
      </c>
      <c r="D391" s="25" t="s">
        <v>41</v>
      </c>
      <c r="E391" s="25" t="s">
        <v>41</v>
      </c>
      <c r="F391" s="25" t="s">
        <v>39</v>
      </c>
      <c r="H391" s="23">
        <f ca="1">'Index Data'!E500</f>
        <v>6.3024135815096909E-3</v>
      </c>
      <c r="I391" s="23">
        <f ca="1">'Index Data'!D500</f>
        <v>3.2387696524689501E-2</v>
      </c>
      <c r="J391" s="23">
        <f ca="1">'Index Data'!B500</f>
        <v>3.4425274891461542E-2</v>
      </c>
      <c r="K391" s="23">
        <f ca="1">'Index Data'!C500</f>
        <v>7.40228630620966E-2</v>
      </c>
      <c r="L391" s="23">
        <f ca="1">'Index Data'!AH500</f>
        <v>3.6600000000000001E-2</v>
      </c>
      <c r="M391" s="23">
        <f ca="1">'Index Data'!V500</f>
        <v>4.3544725866712979E-2</v>
      </c>
      <c r="N391" s="23">
        <f ca="1">'Index Data'!W500</f>
        <v>-6.6378167143070913E-3</v>
      </c>
      <c r="O391" s="23">
        <f ca="1">'Index Data'!R500</f>
        <v>4.3582772185245332E-2</v>
      </c>
      <c r="P391" s="23">
        <f ca="1">'Index Data'!S500</f>
        <v>-1.0558101410436692E-2</v>
      </c>
      <c r="Q391" s="23">
        <f ca="1">'Index Data'!U500</f>
        <v>2.2114103144057567E-2</v>
      </c>
      <c r="R391" s="24"/>
      <c r="S391" s="23">
        <f t="shared" ca="1" si="48"/>
        <v>2.717063993605354E-2</v>
      </c>
      <c r="T391" s="2">
        <f t="shared" ca="1" si="43"/>
        <v>4.3544725866712979E-2</v>
      </c>
      <c r="U391" s="2">
        <f t="shared" ca="1" si="44"/>
        <v>4.3544725866712979E-2</v>
      </c>
      <c r="V391" s="2">
        <f t="shared" ca="1" si="45"/>
        <v>4.3544725866712979E-2</v>
      </c>
      <c r="W391" s="2">
        <f t="shared" ca="1" si="46"/>
        <v>4.3582772185245332E-2</v>
      </c>
      <c r="X391" s="2">
        <v>-5.0590712153564921E-2</v>
      </c>
      <c r="Y391" s="2">
        <f t="shared" ca="1" si="49"/>
        <v>4.3544725866712979E-2</v>
      </c>
      <c r="Z391" s="2">
        <f t="shared" ca="1" si="47"/>
        <v>2.4720491736547324E-2</v>
      </c>
    </row>
    <row r="392" spans="1:26">
      <c r="A392" s="22">
        <v>44043</v>
      </c>
      <c r="B392" s="25" t="s">
        <v>45</v>
      </c>
      <c r="C392" s="25" t="s">
        <v>46</v>
      </c>
      <c r="D392" s="25" t="s">
        <v>41</v>
      </c>
      <c r="E392" s="25" t="s">
        <v>41</v>
      </c>
      <c r="F392" s="25" t="s">
        <v>39</v>
      </c>
      <c r="H392" s="23">
        <f ca="1">'Index Data'!E501</f>
        <v>1.4935359155794376E-2</v>
      </c>
      <c r="I392" s="23">
        <f ca="1">'Index Data'!D501</f>
        <v>5.3287569325986522E-2</v>
      </c>
      <c r="J392" s="23">
        <f ca="1">'Index Data'!B501</f>
        <v>2.3525509706370094E-2</v>
      </c>
      <c r="K392" s="23">
        <f ca="1">'Index Data'!C501</f>
        <v>9.025580083616426E-2</v>
      </c>
      <c r="L392" s="23">
        <f ca="1">'Index Data'!AH501</f>
        <v>9.01E-2</v>
      </c>
      <c r="M392" s="23">
        <f ca="1">'Index Data'!V501</f>
        <v>7.6939048981981367E-2</v>
      </c>
      <c r="N392" s="23">
        <f ca="1">'Index Data'!W501</f>
        <v>3.9533309061054116E-2</v>
      </c>
      <c r="O392" s="23">
        <f ca="1">'Index Data'!R501</f>
        <v>6.8394611352515663E-2</v>
      </c>
      <c r="P392" s="23">
        <f ca="1">'Index Data'!S501</f>
        <v>4.5061015654174523E-2</v>
      </c>
      <c r="Q392" s="23">
        <f ca="1">'Index Data'!U501</f>
        <v>5.8555127037461102E-2</v>
      </c>
      <c r="R392" s="24"/>
      <c r="S392" s="23">
        <f t="shared" ca="1" si="48"/>
        <v>4.5617127291948098E-2</v>
      </c>
      <c r="T392" s="2">
        <f t="shared" ca="1" si="43"/>
        <v>7.6939048981981367E-2</v>
      </c>
      <c r="U392" s="2">
        <f t="shared" ca="1" si="44"/>
        <v>7.6939048981981367E-2</v>
      </c>
      <c r="V392" s="2">
        <f t="shared" ca="1" si="45"/>
        <v>7.6939048981981367E-2</v>
      </c>
      <c r="W392" s="2">
        <f t="shared" ca="1" si="46"/>
        <v>6.8394611352515663E-2</v>
      </c>
      <c r="X392" s="2">
        <v>2.269274683601985E-2</v>
      </c>
      <c r="Y392" s="2">
        <f t="shared" ca="1" si="49"/>
        <v>7.6939048981981367E-2</v>
      </c>
      <c r="Z392" s="2">
        <f t="shared" ca="1" si="47"/>
        <v>6.5448955730579142E-2</v>
      </c>
    </row>
    <row r="393" spans="1:26">
      <c r="A393" s="22">
        <v>44074</v>
      </c>
      <c r="B393" s="25" t="s">
        <v>45</v>
      </c>
      <c r="C393" s="25" t="s">
        <v>46</v>
      </c>
      <c r="D393" s="25" t="s">
        <v>41</v>
      </c>
      <c r="E393" s="25" t="s">
        <v>41</v>
      </c>
      <c r="F393" s="25" t="s">
        <v>39</v>
      </c>
      <c r="H393" s="23">
        <f ca="1">'Index Data'!E502</f>
        <v>-8.0733317200578948E-3</v>
      </c>
      <c r="I393" s="23">
        <f ca="1">'Index Data'!D502</f>
        <v>6.1582675004125655E-2</v>
      </c>
      <c r="J393" s="23">
        <f ca="1">'Index Data'!B502</f>
        <v>5.1538672685128628E-2</v>
      </c>
      <c r="K393" s="23">
        <f ca="1">'Index Data'!C502</f>
        <v>2.2352722806490945E-2</v>
      </c>
      <c r="L393" s="23">
        <f ca="1">'Index Data'!AH502</f>
        <v>3.9000000000000003E-3</v>
      </c>
      <c r="M393" s="23">
        <f ca="1">'Index Data'!V502</f>
        <v>0.10319245527726147</v>
      </c>
      <c r="N393" s="23">
        <f ca="1">'Index Data'!W502</f>
        <v>4.1350426314429478E-2</v>
      </c>
      <c r="O393" s="23">
        <f ca="1">'Index Data'!R502</f>
        <v>9.6745435422924478E-2</v>
      </c>
      <c r="P393" s="23">
        <f ca="1">'Index Data'!S502</f>
        <v>2.8699516574869285E-2</v>
      </c>
      <c r="Q393" s="23">
        <f ca="1">'Index Data'!U502</f>
        <v>7.3397611523535744E-2</v>
      </c>
      <c r="R393" s="24"/>
      <c r="S393" s="23">
        <f t="shared" ca="1" si="48"/>
        <v>4.765147365928895E-2</v>
      </c>
      <c r="T393" s="2">
        <f t="shared" ca="1" si="43"/>
        <v>0.10319245527726147</v>
      </c>
      <c r="U393" s="2">
        <f t="shared" ca="1" si="44"/>
        <v>0.10319245527726147</v>
      </c>
      <c r="V393" s="2">
        <f t="shared" ca="1" si="45"/>
        <v>0.10319245527726147</v>
      </c>
      <c r="W393" s="2">
        <f t="shared" ca="1" si="46"/>
        <v>9.6745435422924478E-2</v>
      </c>
      <c r="X393" s="2">
        <v>5.8994950496598753E-2</v>
      </c>
      <c r="Y393" s="2">
        <f t="shared" ca="1" si="49"/>
        <v>0.10319245527726148</v>
      </c>
      <c r="Z393" s="2">
        <f t="shared" ca="1" si="47"/>
        <v>9.3869427832053653E-2</v>
      </c>
    </row>
    <row r="394" spans="1:26">
      <c r="A394" s="22">
        <v>44104</v>
      </c>
      <c r="B394" s="25" t="s">
        <v>45</v>
      </c>
      <c r="C394" s="25" t="s">
        <v>46</v>
      </c>
      <c r="D394" s="25" t="s">
        <v>41</v>
      </c>
      <c r="E394" s="25" t="s">
        <v>41</v>
      </c>
      <c r="F394" s="25" t="s">
        <v>39</v>
      </c>
      <c r="H394" s="23">
        <f ca="1">'Index Data'!E503</f>
        <v>-5.4680894915927166E-4</v>
      </c>
      <c r="I394" s="23">
        <f ca="1">'Index Data'!D503</f>
        <v>-3.1872975267453911E-2</v>
      </c>
      <c r="J394" s="23">
        <f ca="1">'Index Data'!B503</f>
        <v>-2.5543211076096584E-2</v>
      </c>
      <c r="K394" s="23">
        <f ca="1">'Index Data'!C503</f>
        <v>-1.5806978711569022E-2</v>
      </c>
      <c r="L394" s="23">
        <f ca="1">'Index Data'!AH503</f>
        <v>-4.2099999999999999E-2</v>
      </c>
      <c r="M394" s="23">
        <f ca="1">'Index Data'!V503</f>
        <v>-4.7050253895376586E-2</v>
      </c>
      <c r="N394" s="23">
        <f ca="1">'Index Data'!W503</f>
        <v>-2.4563780920676057E-2</v>
      </c>
      <c r="O394" s="23">
        <f ca="1">'Index Data'!R503</f>
        <v>-3.8741074464467909E-2</v>
      </c>
      <c r="P394" s="23">
        <f ca="1">'Index Data'!S503</f>
        <v>-1.6160361896282182E-2</v>
      </c>
      <c r="Q394" s="23">
        <f ca="1">'Index Data'!U503</f>
        <v>-3.6547757449672695E-2</v>
      </c>
      <c r="R394" s="24"/>
      <c r="S394" s="23">
        <f t="shared" ca="1" si="48"/>
        <v>-2.5607742003794984E-2</v>
      </c>
      <c r="T394" s="2">
        <f t="shared" ca="1" si="43"/>
        <v>-4.7050253895376586E-2</v>
      </c>
      <c r="U394" s="2">
        <f t="shared" ca="1" si="44"/>
        <v>-4.7050253895376586E-2</v>
      </c>
      <c r="V394" s="2">
        <f t="shared" ca="1" si="45"/>
        <v>-4.7050253895376586E-2</v>
      </c>
      <c r="W394" s="2">
        <f t="shared" ca="1" si="46"/>
        <v>-3.8741074464467909E-2</v>
      </c>
      <c r="X394" s="2">
        <v>-3.6151713722755274E-2</v>
      </c>
      <c r="Y394" s="2">
        <f t="shared" ca="1" si="49"/>
        <v>-4.7050253895376586E-2</v>
      </c>
      <c r="Z394" s="2">
        <f t="shared" ca="1" si="47"/>
        <v>-4.4247357403534172E-2</v>
      </c>
    </row>
    <row r="395" spans="1:26">
      <c r="A395" s="22">
        <v>44135</v>
      </c>
      <c r="B395" s="25" t="s">
        <v>45</v>
      </c>
      <c r="C395" s="25" t="s">
        <v>46</v>
      </c>
      <c r="D395" s="25" t="s">
        <v>41</v>
      </c>
      <c r="E395" s="25" t="s">
        <v>41</v>
      </c>
      <c r="F395" s="25" t="s">
        <v>39</v>
      </c>
      <c r="H395" s="23">
        <f ca="1">'Index Data'!E504</f>
        <v>-4.4652439050052511E-3</v>
      </c>
      <c r="I395" s="23">
        <f ca="1">'Index Data'!D504</f>
        <v>-2.4065040920969286E-2</v>
      </c>
      <c r="J395" s="23">
        <f ca="1">'Index Data'!B504</f>
        <v>-3.9822048530369983E-2</v>
      </c>
      <c r="K395" s="23">
        <f ca="1">'Index Data'!C504</f>
        <v>2.075900479235103E-2</v>
      </c>
      <c r="L395" s="23">
        <f ca="1">'Index Data'!AH504</f>
        <v>-4.0000000000000001E-3</v>
      </c>
      <c r="M395" s="23">
        <f ca="1">'Index Data'!V504</f>
        <v>-3.3961509645570744E-2</v>
      </c>
      <c r="N395" s="23">
        <f ca="1">'Index Data'!W504</f>
        <v>-1.3142606640012258E-2</v>
      </c>
      <c r="O395" s="23">
        <f ca="1">'Index Data'!R504</f>
        <v>-4.1833395971967273E-2</v>
      </c>
      <c r="P395" s="23">
        <f ca="1">'Index Data'!S504</f>
        <v>-3.4371436340098517E-2</v>
      </c>
      <c r="Q395" s="23">
        <f ca="1">'Index Data'!U504</f>
        <v>-2.4114520154708823E-2</v>
      </c>
      <c r="R395" s="24"/>
      <c r="S395" s="23">
        <f t="shared" ca="1" si="48"/>
        <v>-2.014508151777648E-2</v>
      </c>
      <c r="T395" s="2">
        <f t="shared" ca="1" si="43"/>
        <v>-3.3961509645570744E-2</v>
      </c>
      <c r="U395" s="2">
        <f t="shared" ca="1" si="44"/>
        <v>-3.3961509645570744E-2</v>
      </c>
      <c r="V395" s="2">
        <f t="shared" ca="1" si="45"/>
        <v>-3.3961509645570744E-2</v>
      </c>
      <c r="W395" s="2">
        <f t="shared" ca="1" si="46"/>
        <v>-4.1833395971967273E-2</v>
      </c>
      <c r="X395" s="2">
        <v>1.7731465834534221E-2</v>
      </c>
      <c r="Y395" s="2">
        <f t="shared" ca="1" si="49"/>
        <v>-3.396150964557075E-2</v>
      </c>
      <c r="Z395" s="2">
        <f t="shared" ca="1" si="47"/>
        <v>-2.4213306024029491E-2</v>
      </c>
    </row>
    <row r="396" spans="1:26">
      <c r="A396" s="22">
        <v>44165</v>
      </c>
      <c r="B396" s="25" t="s">
        <v>45</v>
      </c>
      <c r="C396" s="25" t="s">
        <v>46</v>
      </c>
      <c r="D396" s="25" t="s">
        <v>41</v>
      </c>
      <c r="E396" s="25" t="s">
        <v>41</v>
      </c>
      <c r="F396" s="25" t="s">
        <v>39</v>
      </c>
      <c r="H396" s="23">
        <f ca="1">'Index Data'!E505</f>
        <v>9.8117961378470855E-3</v>
      </c>
      <c r="I396" s="23">
        <f ca="1">'Index Data'!D505</f>
        <v>0.1236332357509551</v>
      </c>
      <c r="J396" s="23">
        <f ca="1">'Index Data'!B505</f>
        <v>0.15513113544635229</v>
      </c>
      <c r="K396" s="23">
        <f ca="1">'Index Data'!C505</f>
        <v>9.254816011073945E-2</v>
      </c>
      <c r="L396" s="23">
        <f ca="1">'Index Data'!AH505</f>
        <v>-5.5399999999999998E-2</v>
      </c>
      <c r="M396" s="23">
        <f ca="1">'Index Data'!V505</f>
        <v>0.10239170433020911</v>
      </c>
      <c r="N396" s="23">
        <f ca="1">'Index Data'!W505</f>
        <v>0.13451409660790434</v>
      </c>
      <c r="O396" s="23">
        <f ca="1">'Index Data'!R505</f>
        <v>0.10334096664224776</v>
      </c>
      <c r="P396" s="23">
        <f ca="1">'Index Data'!S505</f>
        <v>8.2154647255733043E-2</v>
      </c>
      <c r="Q396" s="23">
        <f ca="1">'Index Data'!U505</f>
        <v>0.11775720049831714</v>
      </c>
      <c r="R396" s="24"/>
      <c r="S396" s="23">
        <f t="shared" ca="1" si="48"/>
        <v>0.1008689478283335</v>
      </c>
      <c r="T396" s="2">
        <f t="shared" ca="1" si="43"/>
        <v>0.10239170433020911</v>
      </c>
      <c r="U396" s="2">
        <f t="shared" ca="1" si="44"/>
        <v>0.10239170433020911</v>
      </c>
      <c r="V396" s="2">
        <f t="shared" ca="1" si="45"/>
        <v>0.10239170433020911</v>
      </c>
      <c r="W396" s="2">
        <f t="shared" ca="1" si="46"/>
        <v>0.10334096664224776</v>
      </c>
      <c r="X396" s="2">
        <v>0.19751868639123016</v>
      </c>
      <c r="Y396" s="2">
        <f t="shared" ca="1" si="49"/>
        <v>0.10239170433020911</v>
      </c>
      <c r="Z396" s="2">
        <f t="shared" ca="1" si="47"/>
        <v>0.12148829541581621</v>
      </c>
    </row>
    <row r="397" spans="1:26">
      <c r="A397" s="22">
        <v>44196</v>
      </c>
      <c r="B397" s="25" t="s">
        <v>45</v>
      </c>
      <c r="C397" s="25" t="s">
        <v>46</v>
      </c>
      <c r="D397" s="25" t="s">
        <v>41</v>
      </c>
      <c r="E397" s="25" t="s">
        <v>41</v>
      </c>
      <c r="F397" s="25" t="s">
        <v>39</v>
      </c>
      <c r="H397" s="23">
        <f ca="1">'Index Data'!E506</f>
        <v>1.3773009088511319E-3</v>
      </c>
      <c r="I397" s="23">
        <f ca="1">'Index Data'!D506</f>
        <v>4.6797126970048994E-2</v>
      </c>
      <c r="J397" s="23">
        <f ca="1">'Index Data'!B506</f>
        <v>4.6657916711579289E-2</v>
      </c>
      <c r="K397" s="23">
        <f ca="1">'Index Data'!C506</f>
        <v>7.3988435237682976E-2</v>
      </c>
      <c r="L397" s="23">
        <f ca="1">'Index Data'!AH506</f>
        <v>6.7199999999999996E-2</v>
      </c>
      <c r="M397" s="23">
        <f ca="1">'Index Data'!V506</f>
        <v>4.5991190035745699E-2</v>
      </c>
      <c r="N397" s="23">
        <f ca="1">'Index Data'!W506</f>
        <v>3.8339292586031457E-2</v>
      </c>
      <c r="O397" s="23">
        <f ca="1">'Index Data'!R506</f>
        <v>3.4805270848527053E-2</v>
      </c>
      <c r="P397" s="23">
        <f ca="1">'Index Data'!S506</f>
        <v>2.3290270088683149E-2</v>
      </c>
      <c r="Q397" s="23">
        <f ca="1">'Index Data'!U506</f>
        <v>4.2275439539143103E-2</v>
      </c>
      <c r="R397" s="24"/>
      <c r="S397" s="23">
        <f t="shared" ca="1" si="48"/>
        <v>3.7713161757809428E-2</v>
      </c>
      <c r="T397" s="2">
        <f t="shared" ca="1" si="43"/>
        <v>4.5991190035745699E-2</v>
      </c>
      <c r="U397" s="2">
        <f t="shared" ca="1" si="44"/>
        <v>4.5991190035745699E-2</v>
      </c>
      <c r="V397" s="2">
        <f t="shared" ca="1" si="45"/>
        <v>4.5991190035745699E-2</v>
      </c>
      <c r="W397" s="2">
        <f t="shared" ca="1" si="46"/>
        <v>3.4805270848527053E-2</v>
      </c>
      <c r="X397" s="2">
        <v>6.0746595415571258E-2</v>
      </c>
      <c r="Y397" s="2">
        <f t="shared" ca="1" si="49"/>
        <v>4.5991190035745699E-2</v>
      </c>
      <c r="Z397" s="2">
        <f t="shared" ca="1" si="47"/>
        <v>4.8103327172669415E-2</v>
      </c>
    </row>
    <row r="398" spans="1:26">
      <c r="A398" s="22">
        <v>44227</v>
      </c>
      <c r="B398" s="25" t="s">
        <v>45</v>
      </c>
      <c r="C398" s="25" t="s">
        <v>46</v>
      </c>
      <c r="D398" s="25" t="s">
        <v>32</v>
      </c>
      <c r="E398" s="25" t="s">
        <v>41</v>
      </c>
      <c r="F398" s="25" t="s">
        <v>39</v>
      </c>
      <c r="H398" s="23">
        <f ca="1">'Index Data'!E507</f>
        <v>-7.1696724943771765E-3</v>
      </c>
      <c r="I398" s="23">
        <f ca="1">'Index Data'!D507</f>
        <v>-4.3066334621506257E-3</v>
      </c>
      <c r="J398" s="23">
        <f ca="1">'Index Data'!B507</f>
        <v>-1.0573834319082756E-2</v>
      </c>
      <c r="K398" s="23">
        <f ca="1">'Index Data'!C507</f>
        <v>3.0918004207601182E-2</v>
      </c>
      <c r="L398" s="23">
        <f ca="1">'Index Data'!AH507</f>
        <v>-2.52E-2</v>
      </c>
      <c r="M398" s="23">
        <f ca="1">'Index Data'!V507</f>
        <v>-7.3988644428672982E-3</v>
      </c>
      <c r="N398" s="23">
        <f ca="1">'Index Data'!W507</f>
        <v>-9.1577129866537692E-3</v>
      </c>
      <c r="O398" s="23">
        <f ca="1">'Index Data'!R507</f>
        <v>1.6778150513297247E-2</v>
      </c>
      <c r="P398" s="23">
        <f ca="1">'Index Data'!S507</f>
        <v>-2.6748998525540992E-2</v>
      </c>
      <c r="Q398" s="23">
        <f ca="1">'Index Data'!U507</f>
        <v>-8.2363146382318647E-3</v>
      </c>
      <c r="R398" s="24"/>
      <c r="S398" s="23">
        <f t="shared" ca="1" si="48"/>
        <v>-4.8792412685959366E-3</v>
      </c>
      <c r="T398" s="2">
        <f t="shared" ca="1" si="43"/>
        <v>-7.3988644428672982E-3</v>
      </c>
      <c r="U398" s="2">
        <f t="shared" ca="1" si="44"/>
        <v>-7.3988644428672982E-3</v>
      </c>
      <c r="V398" s="2">
        <f t="shared" ca="1" si="45"/>
        <v>3.0918004207601182E-2</v>
      </c>
      <c r="W398" s="2">
        <f t="shared" ca="1" si="46"/>
        <v>1.6778150513297247E-2</v>
      </c>
      <c r="X398" s="2">
        <v>2.2532218706029727E-2</v>
      </c>
      <c r="Y398" s="2">
        <f t="shared" ca="1" si="49"/>
        <v>-3.5671775778204503E-3</v>
      </c>
      <c r="Z398" s="2">
        <f t="shared" ca="1" si="47"/>
        <v>4.2323151736712965E-3</v>
      </c>
    </row>
    <row r="399" spans="1:26">
      <c r="A399" s="22">
        <v>44255</v>
      </c>
      <c r="B399" s="25" t="s">
        <v>45</v>
      </c>
      <c r="C399" s="25" t="s">
        <v>46</v>
      </c>
      <c r="D399" s="25" t="s">
        <v>32</v>
      </c>
      <c r="E399" s="25" t="s">
        <v>41</v>
      </c>
      <c r="F399" s="25" t="s">
        <v>39</v>
      </c>
      <c r="H399" s="23">
        <f ca="1">'Index Data'!E508</f>
        <v>-1.4438685064866695E-2</v>
      </c>
      <c r="I399" s="23">
        <f ca="1">'Index Data'!D508</f>
        <v>2.3461373281214743E-2</v>
      </c>
      <c r="J399" s="23">
        <f ca="1">'Index Data'!B508</f>
        <v>2.2567958692154257E-2</v>
      </c>
      <c r="K399" s="23">
        <f ca="1">'Index Data'!C508</f>
        <v>7.7050957256427233E-3</v>
      </c>
      <c r="L399" s="23">
        <f ca="1">'Index Data'!AH508</f>
        <v>-6.4100000000000004E-2</v>
      </c>
      <c r="M399" s="23">
        <f ca="1">'Index Data'!V508</f>
        <v>-2.3154797511910544E-4</v>
      </c>
      <c r="N399" s="23">
        <f ca="1">'Index Data'!W508</f>
        <v>6.0432691023234279E-2</v>
      </c>
      <c r="O399" s="23">
        <f ca="1">'Index Data'!R508</f>
        <v>-5.8532125590662551E-3</v>
      </c>
      <c r="P399" s="23">
        <f ca="1">'Index Data'!S508</f>
        <v>-3.8020812007557364E-3</v>
      </c>
      <c r="Q399" s="23">
        <f ca="1">'Index Data'!U508</f>
        <v>2.8980807667920844E-2</v>
      </c>
      <c r="R399" s="24"/>
      <c r="S399" s="23">
        <f t="shared" ca="1" si="48"/>
        <v>1.5881361611998455E-2</v>
      </c>
      <c r="T399" s="2">
        <f t="shared" ca="1" si="43"/>
        <v>-2.3154797511910544E-4</v>
      </c>
      <c r="U399" s="2">
        <f t="shared" ca="1" si="44"/>
        <v>-2.3154797511910544E-4</v>
      </c>
      <c r="V399" s="2">
        <f t="shared" ca="1" si="45"/>
        <v>7.7050957256427233E-3</v>
      </c>
      <c r="W399" s="2">
        <f t="shared" ca="1" si="46"/>
        <v>-5.8532125590662551E-3</v>
      </c>
      <c r="X399" s="2">
        <v>4.3228013573038071E-2</v>
      </c>
      <c r="Y399" s="2">
        <f t="shared" ca="1" si="49"/>
        <v>5.6211639495707744E-4</v>
      </c>
      <c r="Z399" s="2">
        <f t="shared" ca="1" si="47"/>
        <v>8.8324038607924798E-3</v>
      </c>
    </row>
    <row r="400" spans="1:26">
      <c r="A400" s="22">
        <v>44286</v>
      </c>
      <c r="B400" s="25" t="s">
        <v>45</v>
      </c>
      <c r="C400" s="25" t="s">
        <v>46</v>
      </c>
      <c r="D400" s="25" t="s">
        <v>32</v>
      </c>
      <c r="E400" s="25" t="s">
        <v>41</v>
      </c>
      <c r="F400" s="25" t="s">
        <v>39</v>
      </c>
      <c r="H400" s="23">
        <f ca="1">'Index Data'!E509</f>
        <v>-1.2488357586581112E-2</v>
      </c>
      <c r="I400" s="23">
        <f ca="1">'Index Data'!D509</f>
        <v>2.7240702663758175E-2</v>
      </c>
      <c r="J400" s="23">
        <f ca="1">'Index Data'!B509</f>
        <v>2.3957095840948659E-2</v>
      </c>
      <c r="K400" s="23">
        <f ca="1">'Index Data'!C509</f>
        <v>-1.4857059942401264E-2</v>
      </c>
      <c r="L400" s="23">
        <f ca="1">'Index Data'!AH509</f>
        <v>-8.6999999999999994E-3</v>
      </c>
      <c r="M400" s="23">
        <f ca="1">'Index Data'!V509</f>
        <v>1.7180098727979033E-2</v>
      </c>
      <c r="N400" s="23">
        <f ca="1">'Index Data'!W509</f>
        <v>5.8844338046186648E-2</v>
      </c>
      <c r="O400" s="23">
        <f ca="1">'Index Data'!R509</f>
        <v>-1.2387606895276293E-2</v>
      </c>
      <c r="P400" s="23">
        <f ca="1">'Index Data'!S509</f>
        <v>5.5281870012741506E-2</v>
      </c>
      <c r="Q400" s="23">
        <f ca="1">'Index Data'!U509</f>
        <v>3.784314262143177E-2</v>
      </c>
      <c r="R400" s="24"/>
      <c r="S400" s="23">
        <f t="shared" ca="1" si="48"/>
        <v>1.9294890613690316E-2</v>
      </c>
      <c r="T400" s="2">
        <f t="shared" ca="1" si="43"/>
        <v>1.7180098727979033E-2</v>
      </c>
      <c r="U400" s="2">
        <f t="shared" ca="1" si="44"/>
        <v>1.7180098727979033E-2</v>
      </c>
      <c r="V400" s="2">
        <f t="shared" ca="1" si="45"/>
        <v>-1.4857059942401264E-2</v>
      </c>
      <c r="W400" s="2">
        <f t="shared" ca="1" si="46"/>
        <v>-1.2387606895276293E-2</v>
      </c>
      <c r="X400" s="2">
        <v>4.4550764367893514E-2</v>
      </c>
      <c r="Y400" s="2">
        <f t="shared" ca="1" si="49"/>
        <v>1.3976382860941005E-2</v>
      </c>
      <c r="Z400" s="2">
        <f t="shared" ca="1" si="47"/>
        <v>1.7232938067179751E-2</v>
      </c>
    </row>
    <row r="401" spans="1:26">
      <c r="A401" s="22">
        <v>44316</v>
      </c>
      <c r="B401" s="25" t="s">
        <v>45</v>
      </c>
      <c r="C401" s="25" t="s">
        <v>47</v>
      </c>
      <c r="D401" s="25" t="s">
        <v>32</v>
      </c>
      <c r="E401" s="25" t="s">
        <v>41</v>
      </c>
      <c r="F401" s="25" t="s">
        <v>39</v>
      </c>
      <c r="H401" s="23">
        <f ca="1">'Index Data'!E510</f>
        <v>7.9001449369417096E-3</v>
      </c>
      <c r="I401" s="23">
        <f ca="1">'Index Data'!D510</f>
        <v>4.4135587493647606E-2</v>
      </c>
      <c r="J401" s="23">
        <f ca="1">'Index Data'!B510</f>
        <v>3.0924616021576687E-2</v>
      </c>
      <c r="K401" s="23">
        <f ca="1">'Index Data'!C510</f>
        <v>2.5032739801031611E-2</v>
      </c>
      <c r="L401" s="23">
        <f ca="1">'Index Data'!AH510</f>
        <v>3.15E-2</v>
      </c>
      <c r="M401" s="23">
        <f ca="1">'Index Data'!V510</f>
        <v>6.8038801296646773E-2</v>
      </c>
      <c r="N401" s="23">
        <f ca="1">'Index Data'!W510</f>
        <v>3.9990967980032446E-2</v>
      </c>
      <c r="O401" s="23">
        <f ca="1">'Index Data'!R510</f>
        <v>7.1158726825083771E-2</v>
      </c>
      <c r="P401" s="23">
        <f ca="1">'Index Data'!S510</f>
        <v>4.0558485974790857E-2</v>
      </c>
      <c r="Q401" s="23">
        <f ca="1">'Index Data'!U510</f>
        <v>5.3830736762158556E-2</v>
      </c>
      <c r="R401" s="24"/>
      <c r="S401" s="23">
        <f t="shared" ca="1" si="48"/>
        <v>3.6888498982306429E-2</v>
      </c>
      <c r="T401" s="2">
        <f t="shared" ca="1" si="43"/>
        <v>3.9990967980032446E-2</v>
      </c>
      <c r="U401" s="2">
        <f t="shared" ca="1" si="44"/>
        <v>3.9990967980032446E-2</v>
      </c>
      <c r="V401" s="2">
        <f t="shared" ca="1" si="45"/>
        <v>2.5032739801031611E-2</v>
      </c>
      <c r="W401" s="2">
        <f t="shared" ca="1" si="46"/>
        <v>7.1158726825083771E-2</v>
      </c>
      <c r="X401" s="2">
        <v>5.2163006229453801E-2</v>
      </c>
      <c r="Y401" s="2">
        <f t="shared" ca="1" si="49"/>
        <v>3.8495145162132365E-2</v>
      </c>
      <c r="Z401" s="2">
        <f t="shared" ca="1" si="47"/>
        <v>4.3267134725395485E-2</v>
      </c>
    </row>
    <row r="402" spans="1:26">
      <c r="A402" s="22">
        <v>44347</v>
      </c>
      <c r="B402" s="25" t="s">
        <v>45</v>
      </c>
      <c r="C402" s="25" t="s">
        <v>47</v>
      </c>
      <c r="D402" s="25" t="s">
        <v>32</v>
      </c>
      <c r="E402" s="25" t="s">
        <v>41</v>
      </c>
      <c r="F402" s="25" t="s">
        <v>39</v>
      </c>
      <c r="H402" s="23">
        <f ca="1">'Index Data'!E511</f>
        <v>3.2666411974535104E-3</v>
      </c>
      <c r="I402" s="23">
        <f ca="1">'Index Data'!D511</f>
        <v>1.61000697581276E-2</v>
      </c>
      <c r="J402" s="23">
        <f ca="1">'Index Data'!B511</f>
        <v>3.3557205410699807E-2</v>
      </c>
      <c r="K402" s="23">
        <f ca="1">'Index Data'!C511</f>
        <v>2.3421808083616297E-2</v>
      </c>
      <c r="L402" s="23">
        <f ca="1">'Index Data'!AH511</f>
        <v>7.6299999999999993E-2</v>
      </c>
      <c r="M402" s="23">
        <f ca="1">'Index Data'!V511</f>
        <v>-1.3831382518216383E-2</v>
      </c>
      <c r="N402" s="23">
        <f ca="1">'Index Data'!W511</f>
        <v>2.3344593884750089E-2</v>
      </c>
      <c r="O402" s="23">
        <f ca="1">'Index Data'!R511</f>
        <v>-1.6346855710651163E-2</v>
      </c>
      <c r="P402" s="23">
        <f ca="1">'Index Data'!S511</f>
        <v>8.3095679452446884E-3</v>
      </c>
      <c r="Q402" s="23">
        <f ca="1">'Index Data'!U511</f>
        <v>4.7466719708551246E-3</v>
      </c>
      <c r="R402" s="24"/>
      <c r="S402" s="23">
        <f t="shared" ca="1" si="48"/>
        <v>1.3533384045992783E-2</v>
      </c>
      <c r="T402" s="2">
        <f t="shared" ca="1" si="43"/>
        <v>2.3344593884750089E-2</v>
      </c>
      <c r="U402" s="2">
        <f t="shared" ca="1" si="44"/>
        <v>2.3344593884750089E-2</v>
      </c>
      <c r="V402" s="2">
        <f t="shared" ca="1" si="45"/>
        <v>2.3421808083616297E-2</v>
      </c>
      <c r="W402" s="2">
        <f t="shared" ca="1" si="46"/>
        <v>-1.6346855710651163E-2</v>
      </c>
      <c r="X402" s="2">
        <v>8.9269056612804043E-3</v>
      </c>
      <c r="Y402" s="2">
        <f t="shared" ca="1" si="49"/>
        <v>2.335231530463671E-2</v>
      </c>
      <c r="Z402" s="2">
        <f t="shared" ca="1" si="47"/>
        <v>1.749191894028768E-2</v>
      </c>
    </row>
    <row r="403" spans="1:26">
      <c r="A403" s="22">
        <v>44377</v>
      </c>
      <c r="B403" s="25" t="s">
        <v>45</v>
      </c>
      <c r="C403" s="25" t="s">
        <v>47</v>
      </c>
      <c r="D403" s="25" t="s">
        <v>32</v>
      </c>
      <c r="E403" s="25" t="s">
        <v>41</v>
      </c>
      <c r="F403" s="25" t="s">
        <v>39</v>
      </c>
      <c r="H403" s="23">
        <f ca="1">'Index Data'!E512</f>
        <v>7.0254404805709667E-3</v>
      </c>
      <c r="I403" s="23">
        <f ca="1">'Index Data'!D512</f>
        <v>1.3506723015920744E-2</v>
      </c>
      <c r="J403" s="23">
        <f ca="1">'Index Data'!B512</f>
        <v>-1.0982438550411151E-2</v>
      </c>
      <c r="K403" s="23">
        <f ca="1">'Index Data'!C512</f>
        <v>2.0602697579869792E-3</v>
      </c>
      <c r="L403" s="23">
        <f ca="1">'Index Data'!AH512</f>
        <v>-6.88E-2</v>
      </c>
      <c r="M403" s="23">
        <f ca="1">'Index Data'!V512</f>
        <v>6.2737714894264357E-2</v>
      </c>
      <c r="N403" s="23">
        <f ca="1">'Index Data'!W512</f>
        <v>-1.1451426569061691E-2</v>
      </c>
      <c r="O403" s="23">
        <f ca="1">'Index Data'!R512</f>
        <v>1.9140111862786729E-2</v>
      </c>
      <c r="P403" s="23">
        <f ca="1">'Index Data'!S512</f>
        <v>1.8285245588666753E-2</v>
      </c>
      <c r="Q403" s="23">
        <f ca="1">'Index Data'!U512</f>
        <v>2.5057604096544398E-2</v>
      </c>
      <c r="R403" s="24"/>
      <c r="S403" s="23">
        <f t="shared" ca="1" si="48"/>
        <v>1.2210466508850789E-2</v>
      </c>
      <c r="T403" s="2">
        <f t="shared" ca="1" si="43"/>
        <v>-1.1451426569061691E-2</v>
      </c>
      <c r="U403" s="2">
        <f t="shared" ca="1" si="44"/>
        <v>-1.1451426569061691E-2</v>
      </c>
      <c r="V403" s="2">
        <f t="shared" ca="1" si="45"/>
        <v>2.0602697579869792E-3</v>
      </c>
      <c r="W403" s="2">
        <f t="shared" ca="1" si="46"/>
        <v>1.9140111862786729E-2</v>
      </c>
      <c r="X403" s="2">
        <v>2.5098634990339264E-3</v>
      </c>
      <c r="Y403" s="2">
        <f t="shared" ca="1" si="49"/>
        <v>-1.0100256936356824E-2</v>
      </c>
      <c r="Z403" s="2">
        <f t="shared" ca="1" si="47"/>
        <v>-5.0136335403490693E-3</v>
      </c>
    </row>
    <row r="404" spans="1:26">
      <c r="A404" s="22">
        <v>44408</v>
      </c>
      <c r="B404" s="25" t="s">
        <v>45</v>
      </c>
      <c r="C404" s="25" t="s">
        <v>47</v>
      </c>
      <c r="D404" s="25" t="s">
        <v>32</v>
      </c>
      <c r="E404" s="25" t="s">
        <v>41</v>
      </c>
      <c r="F404" s="25" t="s">
        <v>39</v>
      </c>
      <c r="H404" s="23">
        <f ca="1">'Index Data'!E513</f>
        <v>1.1182678744412979E-2</v>
      </c>
      <c r="I404" s="23">
        <f ca="1">'Index Data'!D513</f>
        <v>7.1800881494096047E-3</v>
      </c>
      <c r="J404" s="23">
        <f ca="1">'Index Data'!B513</f>
        <v>7.6276643005740788E-3</v>
      </c>
      <c r="K404" s="23">
        <f ca="1">'Index Data'!C513</f>
        <v>-6.6712965501276256E-2</v>
      </c>
      <c r="L404" s="23">
        <f ca="1">'Index Data'!AH513</f>
        <v>2.3099999999999999E-2</v>
      </c>
      <c r="M404" s="23">
        <f ca="1">'Index Data'!V513</f>
        <v>3.2956245683857854E-2</v>
      </c>
      <c r="N404" s="23">
        <f ca="1">'Index Data'!W513</f>
        <v>7.992268048374454E-3</v>
      </c>
      <c r="O404" s="23">
        <f ca="1">'Index Data'!R513</f>
        <v>9.3644034846704898E-3</v>
      </c>
      <c r="P404" s="23">
        <f ca="1">'Index Data'!S513</f>
        <v>3.4894782708325411E-2</v>
      </c>
      <c r="Q404" s="23">
        <f ca="1">'Index Data'!U513</f>
        <v>2.0774108900065601E-2</v>
      </c>
      <c r="R404" s="24"/>
      <c r="S404" s="23">
        <f t="shared" ca="1" si="48"/>
        <v>7.9806062684102796E-3</v>
      </c>
      <c r="T404" s="2">
        <f t="shared" ca="1" si="43"/>
        <v>7.992268048374454E-3</v>
      </c>
      <c r="U404" s="2">
        <f t="shared" ca="1" si="44"/>
        <v>7.992268048374454E-3</v>
      </c>
      <c r="V404" s="2">
        <f t="shared" ca="1" si="45"/>
        <v>-6.6712965501276256E-2</v>
      </c>
      <c r="W404" s="2">
        <f t="shared" ca="1" si="46"/>
        <v>9.3644034846704898E-3</v>
      </c>
      <c r="X404" s="2">
        <v>1.5852088419243682E-3</v>
      </c>
      <c r="Y404" s="2">
        <f t="shared" ca="1" si="49"/>
        <v>5.2174469340938306E-4</v>
      </c>
      <c r="Z404" s="2">
        <f t="shared" ca="1" si="47"/>
        <v>-6.5675699015843234E-4</v>
      </c>
    </row>
    <row r="405" spans="1:26">
      <c r="A405" s="22">
        <v>44439</v>
      </c>
      <c r="B405" s="25" t="s">
        <v>45</v>
      </c>
      <c r="C405" s="25" t="s">
        <v>47</v>
      </c>
      <c r="D405" s="25" t="s">
        <v>41</v>
      </c>
      <c r="E405" s="25" t="s">
        <v>41</v>
      </c>
      <c r="F405" s="25" t="s">
        <v>39</v>
      </c>
      <c r="H405" s="23">
        <f ca="1">'Index Data'!E514</f>
        <v>-1.9033933343418378E-3</v>
      </c>
      <c r="I405" s="23">
        <f ca="1">'Index Data'!D514</f>
        <v>2.5340814066779453E-2</v>
      </c>
      <c r="J405" s="23">
        <f ca="1">'Index Data'!B514</f>
        <v>1.7730809831286356E-2</v>
      </c>
      <c r="K405" s="23">
        <f ca="1">'Index Data'!C514</f>
        <v>2.6491514360313339E-2</v>
      </c>
      <c r="L405" s="23">
        <f ca="1">'Index Data'!AH514</f>
        <v>1.8E-3</v>
      </c>
      <c r="M405" s="23">
        <f ca="1">'Index Data'!V514</f>
        <v>3.7388943295233054E-2</v>
      </c>
      <c r="N405" s="23">
        <f ca="1">'Index Data'!W514</f>
        <v>1.9830945414417354E-2</v>
      </c>
      <c r="O405" s="23">
        <f ca="1">'Index Data'!R514</f>
        <v>4.1613458247635675E-2</v>
      </c>
      <c r="P405" s="23">
        <f ca="1">'Index Data'!S514</f>
        <v>1.9508611131147213E-2</v>
      </c>
      <c r="Q405" s="23">
        <f ca="1">'Index Data'!U514</f>
        <v>2.894207097291928E-2</v>
      </c>
      <c r="R405" s="24"/>
      <c r="S405" s="23">
        <f t="shared" ca="1" si="48"/>
        <v>1.9891972586555194E-2</v>
      </c>
      <c r="T405" s="2">
        <f t="shared" ca="1" si="43"/>
        <v>1.9830945414417354E-2</v>
      </c>
      <c r="U405" s="2">
        <f t="shared" ca="1" si="44"/>
        <v>1.9830945414417354E-2</v>
      </c>
      <c r="V405" s="2">
        <f t="shared" ca="1" si="45"/>
        <v>1.9830945414417354E-2</v>
      </c>
      <c r="W405" s="2">
        <f t="shared" ca="1" si="46"/>
        <v>4.1613458247635675E-2</v>
      </c>
      <c r="X405" s="2">
        <v>3.1224480009375721E-2</v>
      </c>
      <c r="Y405" s="2">
        <f t="shared" ca="1" si="49"/>
        <v>1.9830945414417354E-2</v>
      </c>
      <c r="Z405" s="2">
        <f t="shared" ca="1" si="47"/>
        <v>2.3743340795900403E-2</v>
      </c>
    </row>
    <row r="406" spans="1:26">
      <c r="A406" s="22">
        <v>44469</v>
      </c>
      <c r="B406" s="25" t="s">
        <v>45</v>
      </c>
      <c r="C406" s="25" t="s">
        <v>47</v>
      </c>
      <c r="D406" s="25" t="s">
        <v>41</v>
      </c>
      <c r="E406" s="25" t="s">
        <v>41</v>
      </c>
      <c r="F406" s="25" t="s">
        <v>39</v>
      </c>
      <c r="H406" s="23">
        <f ca="1">'Index Data'!E515</f>
        <v>-8.6594848090660263E-3</v>
      </c>
      <c r="I406" s="23">
        <f ca="1">'Index Data'!D515</f>
        <v>-4.0881412914304111E-2</v>
      </c>
      <c r="J406" s="23">
        <f ca="1">'Index Data'!B515</f>
        <v>-2.8281731427082814E-2</v>
      </c>
      <c r="K406" s="23">
        <f ca="1">'Index Data'!C515</f>
        <v>-3.939055758512254E-2</v>
      </c>
      <c r="L406" s="23">
        <f ca="1">'Index Data'!AH515</f>
        <v>-3.3300000000000003E-2</v>
      </c>
      <c r="M406" s="23">
        <f ca="1">'Index Data'!V515</f>
        <v>-5.6005848142550108E-2</v>
      </c>
      <c r="N406" s="23">
        <f ca="1">'Index Data'!W515</f>
        <v>-3.4807533520502421E-2</v>
      </c>
      <c r="O406" s="23">
        <f ca="1">'Index Data'!R515</f>
        <v>-3.4789274091605982E-2</v>
      </c>
      <c r="P406" s="23">
        <f ca="1">'Index Data'!S515</f>
        <v>-4.9722184287987324E-2</v>
      </c>
      <c r="Q406" s="23">
        <f ca="1">'Index Data'!U515</f>
        <v>-4.5933943476999403E-2</v>
      </c>
      <c r="R406" s="24"/>
      <c r="S406" s="23">
        <f t="shared" ca="1" si="48"/>
        <v>-3.4437027293256491E-2</v>
      </c>
      <c r="T406" s="2">
        <f t="shared" ca="1" si="43"/>
        <v>-3.4807533520502421E-2</v>
      </c>
      <c r="U406" s="2">
        <f t="shared" ca="1" si="44"/>
        <v>-3.4807533520502421E-2</v>
      </c>
      <c r="V406" s="2">
        <f t="shared" ca="1" si="45"/>
        <v>-3.4807533520502421E-2</v>
      </c>
      <c r="W406" s="2">
        <f t="shared" ca="1" si="46"/>
        <v>-3.4789274091605982E-2</v>
      </c>
      <c r="X406" s="2">
        <v>-3.7563848896575713E-2</v>
      </c>
      <c r="Y406" s="2">
        <f t="shared" ca="1" si="49"/>
        <v>-3.4807533520502421E-2</v>
      </c>
      <c r="Z406" s="2">
        <f t="shared" ca="1" si="47"/>
        <v>-3.5357427138549849E-2</v>
      </c>
    </row>
    <row r="407" spans="1:26">
      <c r="A407" s="22">
        <v>44500</v>
      </c>
      <c r="B407" s="25" t="s">
        <v>45</v>
      </c>
      <c r="C407" s="25" t="s">
        <v>47</v>
      </c>
      <c r="D407" s="25" t="s">
        <v>41</v>
      </c>
      <c r="E407" s="25" t="s">
        <v>41</v>
      </c>
      <c r="F407" s="25" t="s">
        <v>39</v>
      </c>
      <c r="H407" s="23">
        <f ca="1">'Index Data'!E516</f>
        <v>-2.7602490169270822E-4</v>
      </c>
      <c r="I407" s="23">
        <f ca="1">'Index Data'!D516</f>
        <v>5.1299936877018101E-2</v>
      </c>
      <c r="J407" s="23">
        <f ca="1">'Index Data'!B516</f>
        <v>2.4839151884613463E-2</v>
      </c>
      <c r="K407" s="23">
        <f ca="1">'Index Data'!C516</f>
        <v>1.0012312662182917E-2</v>
      </c>
      <c r="L407" s="23">
        <f ca="1">'Index Data'!AH516</f>
        <v>1.6299999999999999E-2</v>
      </c>
      <c r="M407" s="23">
        <f ca="1">'Index Data'!V516</f>
        <v>8.6615577511192476E-2</v>
      </c>
      <c r="N407" s="23">
        <f ca="1">'Index Data'!W516</f>
        <v>5.077743586880927E-2</v>
      </c>
      <c r="O407" s="23">
        <f ca="1">'Index Data'!R516</f>
        <v>8.5735516080343729E-2</v>
      </c>
      <c r="P407" s="23">
        <f ca="1">'Index Data'!S516</f>
        <v>5.4694168714083696E-2</v>
      </c>
      <c r="Q407" s="23">
        <f ca="1">'Index Data'!U516</f>
        <v>6.9386967606063221E-2</v>
      </c>
      <c r="R407" s="24"/>
      <c r="S407" s="23">
        <f t="shared" ca="1" si="48"/>
        <v>4.0984744521275943E-2</v>
      </c>
      <c r="T407" s="2">
        <f t="shared" ca="1" si="43"/>
        <v>5.077743586880927E-2</v>
      </c>
      <c r="U407" s="2">
        <f t="shared" ca="1" si="44"/>
        <v>5.077743586880927E-2</v>
      </c>
      <c r="V407" s="2">
        <f t="shared" ca="1" si="45"/>
        <v>5.077743586880927E-2</v>
      </c>
      <c r="W407" s="2">
        <f t="shared" ca="1" si="46"/>
        <v>8.5735516080343729E-2</v>
      </c>
      <c r="X407" s="2">
        <v>5.7377991036070775E-2</v>
      </c>
      <c r="Y407" s="2">
        <f t="shared" ca="1" si="49"/>
        <v>5.077743586880927E-2</v>
      </c>
      <c r="Z407" s="2">
        <f t="shared" ca="1" si="47"/>
        <v>5.4719402918126658E-2</v>
      </c>
    </row>
    <row r="408" spans="1:26">
      <c r="A408" s="22">
        <v>44530</v>
      </c>
      <c r="B408" s="25" t="s">
        <v>45</v>
      </c>
      <c r="C408" s="25" t="s">
        <v>47</v>
      </c>
      <c r="D408" s="25" t="s">
        <v>41</v>
      </c>
      <c r="E408" s="25" t="s">
        <v>41</v>
      </c>
      <c r="F408" s="25" t="s">
        <v>39</v>
      </c>
      <c r="H408" s="23">
        <f ca="1">'Index Data'!E517</f>
        <v>2.9606534676175022E-3</v>
      </c>
      <c r="I408" s="23">
        <f ca="1">'Index Data'!D517</f>
        <v>-2.377595567592973E-2</v>
      </c>
      <c r="J408" s="23">
        <f ca="1">'Index Data'!B517</f>
        <v>-4.6402088062342868E-2</v>
      </c>
      <c r="K408" s="23">
        <f ca="1">'Index Data'!C517</f>
        <v>-4.0671400903808948E-2</v>
      </c>
      <c r="L408" s="23">
        <f ca="1">'Index Data'!AH517</f>
        <v>-5.7999999999999996E-3</v>
      </c>
      <c r="M408" s="23">
        <f ca="1">'Index Data'!V517</f>
        <v>6.1142622484591418E-3</v>
      </c>
      <c r="N408" s="23">
        <f ca="1">'Index Data'!W517</f>
        <v>-3.524004017971983E-2</v>
      </c>
      <c r="O408" s="23">
        <f ca="1">'Index Data'!R517</f>
        <v>-3.945274738436011E-2</v>
      </c>
      <c r="P408" s="23">
        <f ca="1">'Index Data'!S517</f>
        <v>-1.9735826878942035E-2</v>
      </c>
      <c r="Q408" s="23">
        <f ca="1">'Index Data'!U517</f>
        <v>-1.3414214090382737E-2</v>
      </c>
      <c r="R408" s="24"/>
      <c r="S408" s="23">
        <f t="shared" ca="1" si="48"/>
        <v>-1.8428633847220287E-2</v>
      </c>
      <c r="T408" s="2">
        <f t="shared" ca="1" si="43"/>
        <v>-3.524004017971983E-2</v>
      </c>
      <c r="U408" s="2">
        <f t="shared" ca="1" si="44"/>
        <v>-3.524004017971983E-2</v>
      </c>
      <c r="V408" s="2">
        <f t="shared" ca="1" si="45"/>
        <v>-3.524004017971983E-2</v>
      </c>
      <c r="W408" s="2">
        <f t="shared" ca="1" si="46"/>
        <v>-3.945274738436011E-2</v>
      </c>
      <c r="X408" s="2">
        <v>-2.4686303950997912E-2</v>
      </c>
      <c r="Y408" s="2">
        <f t="shared" ca="1" si="49"/>
        <v>-3.5240040179719836E-2</v>
      </c>
      <c r="Z408" s="2">
        <f t="shared" ca="1" si="47"/>
        <v>-3.3445245974323468E-2</v>
      </c>
    </row>
    <row r="409" spans="1:26">
      <c r="A409" s="22">
        <v>44561</v>
      </c>
      <c r="B409" s="25" t="s">
        <v>45</v>
      </c>
      <c r="C409" s="25" t="s">
        <v>47</v>
      </c>
      <c r="D409" s="25" t="s">
        <v>41</v>
      </c>
      <c r="E409" s="25" t="s">
        <v>41</v>
      </c>
      <c r="F409" s="25" t="s">
        <v>39</v>
      </c>
      <c r="H409" s="23">
        <f ca="1">'Index Data'!E518</f>
        <v>-2.5580430123920937E-3</v>
      </c>
      <c r="I409" s="23">
        <f ca="1">'Index Data'!D518</f>
        <v>4.0320384106211943E-2</v>
      </c>
      <c r="J409" s="23">
        <f ca="1">'Index Data'!B518</f>
        <v>5.1302647174553288E-2</v>
      </c>
      <c r="K409" s="23">
        <f ca="1">'Index Data'!C518</f>
        <v>1.9249031570461331E-2</v>
      </c>
      <c r="L409" s="23">
        <f ca="1">'Index Data'!AH518</f>
        <v>3.1E-2</v>
      </c>
      <c r="M409" s="23">
        <f ca="1">'Index Data'!V518</f>
        <v>2.1142567112171228E-2</v>
      </c>
      <c r="N409" s="23">
        <f ca="1">'Index Data'!W518</f>
        <v>6.3085953004911335E-2</v>
      </c>
      <c r="O409" s="23">
        <f ca="1">'Index Data'!R518</f>
        <v>-5.0832173671026834E-3</v>
      </c>
      <c r="P409" s="23">
        <f ca="1">'Index Data'!S518</f>
        <v>6.7902144278240373E-2</v>
      </c>
      <c r="Q409" s="23">
        <f ca="1">'Index Data'!U518</f>
        <v>4.0505419808632349E-2</v>
      </c>
      <c r="R409" s="24"/>
      <c r="S409" s="23">
        <f t="shared" ca="1" si="48"/>
        <v>3.1744698682491135E-2</v>
      </c>
      <c r="T409" s="2">
        <f t="shared" ca="1" si="43"/>
        <v>6.3085953004911335E-2</v>
      </c>
      <c r="U409" s="2">
        <f t="shared" ca="1" si="44"/>
        <v>6.3085953004911335E-2</v>
      </c>
      <c r="V409" s="2">
        <f t="shared" ca="1" si="45"/>
        <v>6.3085953004911335E-2</v>
      </c>
      <c r="W409" s="2">
        <f t="shared" ca="1" si="46"/>
        <v>-5.0832173671026834E-3</v>
      </c>
      <c r="X409" s="2">
        <v>6.3475433388115343E-2</v>
      </c>
      <c r="Y409" s="2">
        <f t="shared" ca="1" si="49"/>
        <v>6.3085953004911349E-2</v>
      </c>
      <c r="Z409" s="2">
        <f t="shared" ca="1" si="47"/>
        <v>5.8051161303651094E-2</v>
      </c>
    </row>
    <row r="410" spans="1:26">
      <c r="A410" s="22">
        <v>44592</v>
      </c>
      <c r="B410" s="25" t="s">
        <v>45</v>
      </c>
      <c r="C410" s="25" t="s">
        <v>47</v>
      </c>
      <c r="D410" s="25" t="s">
        <v>41</v>
      </c>
      <c r="E410" s="25" t="s">
        <v>41</v>
      </c>
      <c r="F410" s="25" t="s">
        <v>39</v>
      </c>
      <c r="H410" s="23">
        <f ca="1">'Index Data'!E519</f>
        <v>-2.1544366789235367E-2</v>
      </c>
      <c r="I410" s="23">
        <f ca="1">'Index Data'!D519</f>
        <v>-4.8925799979907279E-2</v>
      </c>
      <c r="J410" s="23">
        <f ca="1">'Index Data'!B519</f>
        <v>-4.8247834942371906E-2</v>
      </c>
      <c r="K410" s="23">
        <f ca="1">'Index Data'!C519</f>
        <v>-1.8855340726664508E-2</v>
      </c>
      <c r="L410" s="23">
        <f ca="1">'Index Data'!AH519</f>
        <v>-1.84E-2</v>
      </c>
      <c r="M410" s="23">
        <f ca="1">'Index Data'!V519</f>
        <v>-8.5824809945813305E-2</v>
      </c>
      <c r="N410" s="23">
        <f ca="1">'Index Data'!W519</f>
        <v>-2.3293617855174125E-2</v>
      </c>
      <c r="O410" s="23">
        <f ca="1">'Index Data'!R519</f>
        <v>-9.0501788104072597E-2</v>
      </c>
      <c r="P410" s="23">
        <f ca="1">'Index Data'!S519</f>
        <v>-5.8961531826806905E-2</v>
      </c>
      <c r="Q410" s="23">
        <f ca="1">'Index Data'!U519</f>
        <v>-5.6380745150727087E-2</v>
      </c>
      <c r="R410" s="24"/>
      <c r="S410" s="23">
        <f t="shared" ca="1" si="48"/>
        <v>-4.3449513341772904E-2</v>
      </c>
      <c r="T410" s="2">
        <f t="shared" ca="1" si="43"/>
        <v>-2.3293617855174125E-2</v>
      </c>
      <c r="U410" s="2">
        <f t="shared" ca="1" si="44"/>
        <v>-2.3293617855174125E-2</v>
      </c>
      <c r="V410" s="2">
        <f t="shared" ca="1" si="45"/>
        <v>-2.3293617855174125E-2</v>
      </c>
      <c r="W410" s="2">
        <f t="shared" ca="1" si="46"/>
        <v>-9.0501788104072597E-2</v>
      </c>
      <c r="X410" s="2">
        <v>-5.9292715190823575E-2</v>
      </c>
      <c r="Y410" s="2">
        <f t="shared" ca="1" si="49"/>
        <v>-2.3293617855174125E-2</v>
      </c>
      <c r="Z410" s="2">
        <f t="shared" ca="1" si="47"/>
        <v>-3.5534050090971402E-2</v>
      </c>
    </row>
    <row r="411" spans="1:26">
      <c r="A411" s="22">
        <v>44620</v>
      </c>
      <c r="B411" s="25" t="s">
        <v>45</v>
      </c>
      <c r="C411" s="25" t="s">
        <v>47</v>
      </c>
      <c r="D411" s="25" t="s">
        <v>41</v>
      </c>
      <c r="E411" s="25" t="s">
        <v>41</v>
      </c>
      <c r="F411" s="25" t="s">
        <v>39</v>
      </c>
      <c r="H411" s="23">
        <f ca="1">'Index Data'!E520</f>
        <v>-1.1156917201874689E-2</v>
      </c>
      <c r="I411" s="23">
        <f ca="1">'Index Data'!D520</f>
        <v>-2.5527678725760714E-2</v>
      </c>
      <c r="J411" s="23">
        <f ca="1">'Index Data'!B520</f>
        <v>-1.7582108149818611E-2</v>
      </c>
      <c r="K411" s="23">
        <f ca="1">'Index Data'!C520</f>
        <v>-2.9769326150892766E-2</v>
      </c>
      <c r="L411" s="23">
        <f ca="1">'Index Data'!AH520</f>
        <v>5.8899999999999994E-2</v>
      </c>
      <c r="M411" s="23">
        <f ca="1">'Index Data'!V520</f>
        <v>-4.2473651181761468E-2</v>
      </c>
      <c r="N411" s="23">
        <f ca="1">'Index Data'!W520</f>
        <v>-1.1604391796935192E-2</v>
      </c>
      <c r="O411" s="23">
        <f ca="1">'Index Data'!R520</f>
        <v>-2.6562369279678696E-2</v>
      </c>
      <c r="P411" s="23">
        <f ca="1">'Index Data'!S520</f>
        <v>-3.052133743950735E-2</v>
      </c>
      <c r="Q411" s="23">
        <f ca="1">'Index Data'!U520</f>
        <v>-2.7441069447333148E-2</v>
      </c>
      <c r="R411" s="24"/>
      <c r="S411" s="23">
        <f t="shared" ca="1" si="48"/>
        <v>-2.2653526420983509E-2</v>
      </c>
      <c r="T411" s="2">
        <f t="shared" ca="1" si="43"/>
        <v>-1.1604391796935192E-2</v>
      </c>
      <c r="U411" s="2">
        <f t="shared" ca="1" si="44"/>
        <v>-1.1604391796935192E-2</v>
      </c>
      <c r="V411" s="2">
        <f t="shared" ca="1" si="45"/>
        <v>-1.1604391796935192E-2</v>
      </c>
      <c r="W411" s="2">
        <f t="shared" ca="1" si="46"/>
        <v>-2.6562369279678696E-2</v>
      </c>
      <c r="X411" s="2">
        <v>-3.9579095278709731E-2</v>
      </c>
      <c r="Y411" s="2">
        <f t="shared" ca="1" si="49"/>
        <v>-1.1604391796935192E-2</v>
      </c>
      <c r="Z411" s="2">
        <f t="shared" ca="1" si="47"/>
        <v>-1.8321180804495865E-2</v>
      </c>
    </row>
    <row r="412" spans="1:26">
      <c r="A412" s="22">
        <v>44651</v>
      </c>
      <c r="B412" s="25" t="s">
        <v>45</v>
      </c>
      <c r="C412" s="25" t="s">
        <v>47</v>
      </c>
      <c r="D412" s="25" t="s">
        <v>41</v>
      </c>
      <c r="E412" s="25" t="s">
        <v>41</v>
      </c>
      <c r="F412" s="25" t="s">
        <v>39</v>
      </c>
      <c r="H412" s="23">
        <f ca="1">'Index Data'!E521</f>
        <v>-2.7783507190534889E-2</v>
      </c>
      <c r="I412" s="23">
        <f ca="1">'Index Data'!D521</f>
        <v>2.2249376706051597E-2</v>
      </c>
      <c r="J412" s="23">
        <f ca="1">'Index Data'!B521</f>
        <v>7.5775216342179146E-3</v>
      </c>
      <c r="K412" s="23">
        <f ca="1">'Index Data'!C521</f>
        <v>-2.2240138573983607E-2</v>
      </c>
      <c r="L412" s="23">
        <f ca="1">'Index Data'!AH521</f>
        <v>2.5499999999999998E-2</v>
      </c>
      <c r="M412" s="23">
        <f ca="1">'Index Data'!V521</f>
        <v>3.9117575127068212E-2</v>
      </c>
      <c r="N412" s="23">
        <f ca="1">'Index Data'!W521</f>
        <v>2.8228853399007214E-2</v>
      </c>
      <c r="O412" s="23">
        <f ca="1">'Index Data'!R521</f>
        <v>4.6515860437252123E-2</v>
      </c>
      <c r="P412" s="23">
        <f ca="1">'Index Data'!S521</f>
        <v>5.4919837664179377E-2</v>
      </c>
      <c r="Q412" s="23">
        <f ca="1">'Index Data'!U521</f>
        <v>3.3745345522934567E-2</v>
      </c>
      <c r="R412" s="24"/>
      <c r="S412" s="23">
        <f t="shared" ca="1" si="48"/>
        <v>1.2242799926734299E-2</v>
      </c>
      <c r="T412" s="2">
        <f t="shared" ca="1" si="43"/>
        <v>2.8228853399007214E-2</v>
      </c>
      <c r="U412" s="2">
        <f t="shared" ca="1" si="44"/>
        <v>2.8228853399007214E-2</v>
      </c>
      <c r="V412" s="2">
        <f t="shared" ca="1" si="45"/>
        <v>2.8228853399007214E-2</v>
      </c>
      <c r="W412" s="2">
        <f t="shared" ca="1" si="46"/>
        <v>4.6515860437252123E-2</v>
      </c>
      <c r="X412" s="2">
        <v>4.2485827823775857E-2</v>
      </c>
      <c r="Y412" s="2">
        <f t="shared" ca="1" si="49"/>
        <v>2.8228853399007214E-2</v>
      </c>
      <c r="Z412" s="2">
        <f t="shared" ca="1" si="47"/>
        <v>3.2451773811829315E-2</v>
      </c>
    </row>
    <row r="413" spans="1:26">
      <c r="A413" s="22">
        <v>44681</v>
      </c>
      <c r="B413" s="25" t="s">
        <v>45</v>
      </c>
      <c r="C413" s="25" t="s">
        <v>47</v>
      </c>
      <c r="D413" s="25" t="s">
        <v>41</v>
      </c>
      <c r="E413" s="25" t="s">
        <v>41</v>
      </c>
      <c r="F413" s="25" t="s">
        <v>39</v>
      </c>
      <c r="H413" s="23">
        <f ca="1">'Index Data'!E522</f>
        <v>-3.7948342947936767E-2</v>
      </c>
      <c r="I413" s="23">
        <f ca="1">'Index Data'!D522</f>
        <v>-7.9667896726395848E-2</v>
      </c>
      <c r="J413" s="23">
        <f ca="1">'Index Data'!B522</f>
        <v>-6.3845412788378533E-2</v>
      </c>
      <c r="K413" s="23">
        <f ca="1">'Index Data'!C522</f>
        <v>-5.5473338158354285E-2</v>
      </c>
      <c r="L413" s="23">
        <f ca="1">'Index Data'!AH522</f>
        <v>-1.9199999999999998E-2</v>
      </c>
      <c r="M413" s="23">
        <f ca="1">'Index Data'!V522</f>
        <v>-0.12076163171446055</v>
      </c>
      <c r="N413" s="23">
        <f ca="1">'Index Data'!W522</f>
        <v>-5.6403610999982645E-2</v>
      </c>
      <c r="O413" s="23">
        <f ca="1">'Index Data'!R522</f>
        <v>-0.12579436678912781</v>
      </c>
      <c r="P413" s="23">
        <f ca="1">'Index Data'!S522</f>
        <v>-5.257557759647518E-2</v>
      </c>
      <c r="Q413" s="23">
        <f ca="1">'Index Data'!U522</f>
        <v>-8.9140761209031458E-2</v>
      </c>
      <c r="R413" s="24"/>
      <c r="S413" s="23">
        <f t="shared" ca="1" si="48"/>
        <v>-7.1323985970704037E-2</v>
      </c>
      <c r="T413" s="2">
        <f t="shared" ca="1" si="43"/>
        <v>-5.6403610999982645E-2</v>
      </c>
      <c r="U413" s="2">
        <f t="shared" ca="1" si="44"/>
        <v>-5.6403610999982645E-2</v>
      </c>
      <c r="V413" s="2">
        <f t="shared" ca="1" si="45"/>
        <v>-5.6403610999982645E-2</v>
      </c>
      <c r="W413" s="2">
        <f t="shared" ca="1" si="46"/>
        <v>-0.12579436678912781</v>
      </c>
      <c r="X413" s="2">
        <v>-4.8639467144536153E-2</v>
      </c>
      <c r="Y413" s="2">
        <f t="shared" ca="1" si="49"/>
        <v>-5.6403610999982645E-2</v>
      </c>
      <c r="Z413" s="2">
        <f t="shared" ca="1" si="47"/>
        <v>-6.005508891307923E-2</v>
      </c>
    </row>
    <row r="414" spans="1:26">
      <c r="A414" s="22">
        <v>44712</v>
      </c>
      <c r="B414" s="25" t="s">
        <v>45</v>
      </c>
      <c r="C414" s="25" t="s">
        <v>47</v>
      </c>
      <c r="D414" s="25" t="s">
        <v>41</v>
      </c>
      <c r="E414" s="25" t="s">
        <v>41</v>
      </c>
      <c r="F414" s="25" t="s">
        <v>39</v>
      </c>
      <c r="H414" s="23">
        <f ca="1">'Index Data'!E523</f>
        <v>6.4467393293327763E-3</v>
      </c>
      <c r="I414" s="23">
        <f ca="1">'Index Data'!D523</f>
        <v>1.8812100356340284E-3</v>
      </c>
      <c r="J414" s="23">
        <f ca="1">'Index Data'!B523</f>
        <v>8.9213038977156815E-3</v>
      </c>
      <c r="K414" s="23">
        <f ca="1">'Index Data'!C523</f>
        <v>4.6509322831883347E-3</v>
      </c>
      <c r="L414" s="23">
        <f ca="1">'Index Data'!AH523</f>
        <v>-3.61E-2</v>
      </c>
      <c r="M414" s="23">
        <f ca="1">'Index Data'!V523</f>
        <v>-2.324757625457341E-2</v>
      </c>
      <c r="N414" s="23">
        <f ca="1">'Index Data'!W523</f>
        <v>1.9439779679731897E-2</v>
      </c>
      <c r="O414" s="23">
        <f ca="1">'Index Data'!R523</f>
        <v>2.7104763641487544E-3</v>
      </c>
      <c r="P414" s="23">
        <f ca="1">'Index Data'!S523</f>
        <v>-1.2039054693422345E-4</v>
      </c>
      <c r="Q414" s="23">
        <f ca="1">'Index Data'!U523</f>
        <v>-1.5197413007409055E-3</v>
      </c>
      <c r="R414" s="24"/>
      <c r="S414" s="23">
        <f t="shared" ca="1" si="48"/>
        <v>2.7943158943737781E-3</v>
      </c>
      <c r="T414" s="2">
        <f t="shared" ca="1" si="43"/>
        <v>1.9439779679731897E-2</v>
      </c>
      <c r="U414" s="2">
        <f t="shared" ca="1" si="44"/>
        <v>1.9439779679731897E-2</v>
      </c>
      <c r="V414" s="2">
        <f t="shared" ca="1" si="45"/>
        <v>1.9439779679731897E-2</v>
      </c>
      <c r="W414" s="2">
        <f t="shared" ca="1" si="46"/>
        <v>2.7104763641487544E-3</v>
      </c>
      <c r="X414" s="2">
        <v>1.5630175471327501E-2</v>
      </c>
      <c r="Y414" s="2">
        <f t="shared" ca="1" si="49"/>
        <v>1.9439779679731897E-2</v>
      </c>
      <c r="Z414" s="2">
        <f t="shared" ca="1" si="47"/>
        <v>1.7423161089382279E-2</v>
      </c>
    </row>
    <row r="415" spans="1:26">
      <c r="A415" s="22">
        <v>44742</v>
      </c>
      <c r="B415" s="25" t="s">
        <v>45</v>
      </c>
      <c r="C415" s="25" t="s">
        <v>47</v>
      </c>
      <c r="D415" s="25" t="s">
        <v>41</v>
      </c>
      <c r="E415" s="25" t="s">
        <v>41</v>
      </c>
      <c r="F415" s="25" t="s">
        <v>39</v>
      </c>
      <c r="H415" s="23">
        <f ca="1">'Index Data'!E524</f>
        <v>-1.5687280016782868E-2</v>
      </c>
      <c r="I415" s="23">
        <f ca="1">'Index Data'!D524</f>
        <v>-8.3884241934663276E-2</v>
      </c>
      <c r="J415" s="23">
        <f ca="1">'Index Data'!B524</f>
        <v>-9.2568536446255192E-2</v>
      </c>
      <c r="K415" s="23">
        <f ca="1">'Index Data'!C524</f>
        <v>-6.5623660034986153E-2</v>
      </c>
      <c r="L415" s="23">
        <f ca="1">'Index Data'!AH524</f>
        <v>-1.9199999999999998E-2</v>
      </c>
      <c r="M415" s="23">
        <f ca="1">'Index Data'!V524</f>
        <v>-7.9211273669655538E-2</v>
      </c>
      <c r="N415" s="23">
        <f ca="1">'Index Data'!W524</f>
        <v>-8.7372039880385888E-2</v>
      </c>
      <c r="O415" s="23">
        <f ca="1">'Index Data'!R524</f>
        <v>-6.4737813783031617E-2</v>
      </c>
      <c r="P415" s="23">
        <f ca="1">'Index Data'!S524</f>
        <v>-4.0934274327408912E-2</v>
      </c>
      <c r="Q415" s="23">
        <f ca="1">'Index Data'!U524</f>
        <v>-8.3750295304889935E-2</v>
      </c>
      <c r="R415" s="24"/>
      <c r="S415" s="23">
        <f t="shared" ca="1" si="48"/>
        <v>-7.0244849551087202E-2</v>
      </c>
      <c r="T415" s="2">
        <f t="shared" ca="1" si="43"/>
        <v>-8.7372039880385888E-2</v>
      </c>
      <c r="U415" s="2">
        <f t="shared" ca="1" si="44"/>
        <v>-8.7372039880385888E-2</v>
      </c>
      <c r="V415" s="2">
        <f t="shared" ca="1" si="45"/>
        <v>-8.7372039880385888E-2</v>
      </c>
      <c r="W415" s="2">
        <f t="shared" ca="1" si="46"/>
        <v>-6.4737813783031617E-2</v>
      </c>
      <c r="X415" s="2">
        <v>-9.861146763520412E-2</v>
      </c>
      <c r="Y415" s="2">
        <f t="shared" ca="1" si="49"/>
        <v>-8.7372039880385888E-2</v>
      </c>
      <c r="Z415" s="2">
        <f t="shared" ca="1" si="47"/>
        <v>-8.7922358474047974E-2</v>
      </c>
    </row>
    <row r="416" spans="1:26">
      <c r="A416" s="22">
        <v>44773</v>
      </c>
      <c r="B416" s="25" t="s">
        <v>45</v>
      </c>
      <c r="C416" s="25" t="s">
        <v>47</v>
      </c>
      <c r="D416" s="25" t="s">
        <v>41</v>
      </c>
      <c r="E416" s="25" t="s">
        <v>41</v>
      </c>
      <c r="F416" s="25" t="s">
        <v>39</v>
      </c>
      <c r="H416" s="23">
        <f ca="1">'Index Data'!E525</f>
        <v>2.4434024817656386E-2</v>
      </c>
      <c r="I416" s="23">
        <f ca="1">'Index Data'!D525</f>
        <v>7.0185742826754285E-2</v>
      </c>
      <c r="J416" s="23">
        <f ca="1">'Index Data'!B525</f>
        <v>4.9930067910356188E-2</v>
      </c>
      <c r="K416" s="23">
        <f ca="1">'Index Data'!C525</f>
        <v>-1.6203769508484772E-3</v>
      </c>
      <c r="L416" s="23">
        <f ca="1">'Index Data'!AH525</f>
        <v>-2.46E-2</v>
      </c>
      <c r="M416" s="23">
        <f ca="1">'Index Data'!V525</f>
        <v>0.12002102327036822</v>
      </c>
      <c r="N416" s="23">
        <f ca="1">'Index Data'!W525</f>
        <v>6.6312403471700074E-2</v>
      </c>
      <c r="O416" s="23">
        <f ca="1">'Index Data'!R525</f>
        <v>5.1783062672354933E-2</v>
      </c>
      <c r="P416" s="23">
        <f ca="1">'Index Data'!S525</f>
        <v>5.1060578614818282E-2</v>
      </c>
      <c r="Q416" s="23">
        <f ca="1">'Index Data'!U525</f>
        <v>9.3139356203476478E-2</v>
      </c>
      <c r="R416" s="24"/>
      <c r="S416" s="23">
        <f t="shared" ca="1" si="48"/>
        <v>6.1035399224934707E-2</v>
      </c>
      <c r="T416" s="2">
        <f t="shared" ca="1" si="43"/>
        <v>6.6312403471700074E-2</v>
      </c>
      <c r="U416" s="2">
        <f t="shared" ca="1" si="44"/>
        <v>6.6312403471700074E-2</v>
      </c>
      <c r="V416" s="2">
        <f t="shared" ca="1" si="45"/>
        <v>6.6312403471700074E-2</v>
      </c>
      <c r="W416" s="2">
        <f t="shared" ca="1" si="46"/>
        <v>5.1783062672354933E-2</v>
      </c>
      <c r="X416" s="2">
        <v>5.8491063716879177E-2</v>
      </c>
      <c r="Y416" s="2">
        <f t="shared" ca="1" si="49"/>
        <v>6.6312403471700074E-2</v>
      </c>
      <c r="Z416" s="2">
        <f t="shared" ca="1" si="47"/>
        <v>6.3658434960785021E-2</v>
      </c>
    </row>
    <row r="417" spans="1:26">
      <c r="A417" s="22">
        <v>44804</v>
      </c>
      <c r="B417" s="25" t="s">
        <v>48</v>
      </c>
      <c r="C417" s="25" t="s">
        <v>47</v>
      </c>
      <c r="D417" s="25" t="s">
        <v>41</v>
      </c>
      <c r="E417" s="25" t="s">
        <v>41</v>
      </c>
      <c r="F417" s="25" t="s">
        <v>43</v>
      </c>
      <c r="H417" s="23">
        <f ca="1">'Index Data'!E526</f>
        <v>-2.8252557801931439E-2</v>
      </c>
      <c r="I417" s="23">
        <f ca="1">'Index Data'!D526</f>
        <v>-3.64248391568621E-2</v>
      </c>
      <c r="J417" s="23">
        <f ca="1">'Index Data'!B526</f>
        <v>-4.7389660558634888E-2</v>
      </c>
      <c r="K417" s="23">
        <f ca="1">'Index Data'!C526</f>
        <v>4.5476732834363147E-3</v>
      </c>
      <c r="L417" s="23">
        <f ca="1">'Index Data'!AH526</f>
        <v>-2.6099999999999998E-2</v>
      </c>
      <c r="M417" s="23">
        <f ca="1">'Index Data'!V526</f>
        <v>-4.6584051641950446E-2</v>
      </c>
      <c r="N417" s="23">
        <f ca="1">'Index Data'!W526</f>
        <v>-2.9795439427104078E-2</v>
      </c>
      <c r="O417" s="23">
        <f ca="1">'Index Data'!R526</f>
        <v>-1.8966811581211912E-2</v>
      </c>
      <c r="P417" s="23">
        <f ca="1">'Index Data'!S526</f>
        <v>-3.0545540173673297E-2</v>
      </c>
      <c r="Q417" s="23">
        <f ca="1">'Index Data'!U526</f>
        <v>-3.8396293859441016E-2</v>
      </c>
      <c r="R417" s="24"/>
      <c r="S417" s="23">
        <f t="shared" ca="1" si="48"/>
        <v>-3.1521470343903707E-2</v>
      </c>
      <c r="T417" s="2">
        <f t="shared" ca="1" si="43"/>
        <v>-2.9795439427104078E-2</v>
      </c>
      <c r="U417" s="2">
        <f t="shared" ca="1" si="44"/>
        <v>-2.9795439427104078E-2</v>
      </c>
      <c r="V417" s="2">
        <f t="shared" ca="1" si="45"/>
        <v>-2.9795439427104078E-2</v>
      </c>
      <c r="W417" s="2">
        <f t="shared" ca="1" si="46"/>
        <v>-2.9795439427104078E-2</v>
      </c>
      <c r="X417" s="2">
        <v>-3.1917229171639527E-2</v>
      </c>
      <c r="Y417" s="2">
        <f t="shared" ca="1" si="49"/>
        <v>-2.9795439427104078E-2</v>
      </c>
      <c r="Z417" s="2">
        <f t="shared" ca="1" si="47"/>
        <v>-3.0219797376011166E-2</v>
      </c>
    </row>
    <row r="418" spans="1:26">
      <c r="A418" s="22">
        <v>44834</v>
      </c>
      <c r="B418" s="25" t="s">
        <v>48</v>
      </c>
      <c r="C418" s="25" t="s">
        <v>47</v>
      </c>
      <c r="D418" s="25" t="s">
        <v>41</v>
      </c>
      <c r="E418" s="25" t="s">
        <v>41</v>
      </c>
      <c r="F418" s="25" t="s">
        <v>43</v>
      </c>
      <c r="H418" s="23">
        <f ca="1">'Index Data'!E527</f>
        <v>-4.3208936761375598E-2</v>
      </c>
      <c r="I418" s="23">
        <f ca="1">'Index Data'!D527</f>
        <v>-9.5309695273691472E-2</v>
      </c>
      <c r="J418" s="23">
        <f ca="1">'Index Data'!B527</f>
        <v>-9.3081053598792277E-2</v>
      </c>
      <c r="K418" s="23">
        <f ca="1">'Index Data'!C527</f>
        <v>-0.11673239984126847</v>
      </c>
      <c r="L418" s="23">
        <f ca="1">'Index Data'!AH527</f>
        <v>-3.1699999999999999E-2</v>
      </c>
      <c r="M418" s="23">
        <f ca="1">'Index Data'!V527</f>
        <v>-9.7215912559655324E-2</v>
      </c>
      <c r="N418" s="23">
        <f ca="1">'Index Data'!W527</f>
        <v>-8.7686748499332737E-2</v>
      </c>
      <c r="O418" s="23">
        <f ca="1">'Index Data'!R527</f>
        <v>-6.0239106164393416E-2</v>
      </c>
      <c r="P418" s="23">
        <f ca="1">'Index Data'!S527</f>
        <v>-7.1709185379711382E-2</v>
      </c>
      <c r="Q418" s="23">
        <f ca="1">'Index Data'!U527</f>
        <v>-9.252724170218779E-2</v>
      </c>
      <c r="R418" s="24"/>
      <c r="S418" s="23">
        <f t="shared" ca="1" si="48"/>
        <v>-6.4049240166301952E-2</v>
      </c>
      <c r="T418" s="2">
        <f t="shared" ca="1" si="43"/>
        <v>-8.7686748499332737E-2</v>
      </c>
      <c r="U418" s="2">
        <f t="shared" ca="1" si="44"/>
        <v>-8.7686748499332737E-2</v>
      </c>
      <c r="V418" s="2">
        <f t="shared" ca="1" si="45"/>
        <v>-8.7686748499332737E-2</v>
      </c>
      <c r="W418" s="2">
        <f t="shared" ca="1" si="46"/>
        <v>-8.7686748499332737E-2</v>
      </c>
      <c r="X418" s="2">
        <v>-7.0273956500429557E-2</v>
      </c>
      <c r="Y418" s="2">
        <f t="shared" ca="1" si="49"/>
        <v>-8.7686748499332737E-2</v>
      </c>
      <c r="Z418" s="2">
        <f t="shared" ca="1" si="47"/>
        <v>-8.4204190099552101E-2</v>
      </c>
    </row>
    <row r="419" spans="1:26">
      <c r="A419" s="22">
        <v>44865</v>
      </c>
      <c r="B419" s="25" t="s">
        <v>48</v>
      </c>
      <c r="C419" s="25" t="s">
        <v>47</v>
      </c>
      <c r="D419" s="25" t="s">
        <v>41</v>
      </c>
      <c r="E419" s="25" t="s">
        <v>41</v>
      </c>
      <c r="F419" s="25" t="s">
        <v>43</v>
      </c>
      <c r="H419" s="23">
        <f ca="1">'Index Data'!E528</f>
        <v>-1.2953367875647648E-2</v>
      </c>
      <c r="I419" s="23">
        <f ca="1">'Index Data'!D528</f>
        <v>6.0602872709746604E-2</v>
      </c>
      <c r="J419" s="23">
        <f ca="1">'Index Data'!B528</f>
        <v>5.3861433736769798E-2</v>
      </c>
      <c r="K419" s="23">
        <f ca="1">'Index Data'!C528</f>
        <v>-3.0917342868931393E-2</v>
      </c>
      <c r="L419" s="23">
        <f ca="1">'Index Data'!AH528</f>
        <v>-1.3100000000000001E-2</v>
      </c>
      <c r="M419" s="23">
        <f ca="1">'Index Data'!V528</f>
        <v>5.8448647915056731E-2</v>
      </c>
      <c r="N419" s="23">
        <f ca="1">'Index Data'!W528</f>
        <v>0.10252955892918707</v>
      </c>
      <c r="O419" s="23">
        <f ca="1">'Index Data'!R528</f>
        <v>0.12545423609338732</v>
      </c>
      <c r="P419" s="23">
        <f ca="1">'Index Data'!S528</f>
        <v>7.8204250655573238E-2</v>
      </c>
      <c r="Q419" s="23">
        <f ca="1">'Index Data'!U528</f>
        <v>8.0200438333329238E-2</v>
      </c>
      <c r="R419" s="24"/>
      <c r="S419" s="23">
        <f t="shared" ca="1" si="48"/>
        <v>1.6469128358510055E-2</v>
      </c>
      <c r="T419" s="2">
        <f t="shared" ca="1" si="43"/>
        <v>0.10252955892918707</v>
      </c>
      <c r="U419" s="2">
        <f t="shared" ca="1" si="44"/>
        <v>0.10252955892918707</v>
      </c>
      <c r="V419" s="2">
        <f t="shared" ca="1" si="45"/>
        <v>0.10252955892918707</v>
      </c>
      <c r="W419" s="2">
        <f t="shared" ca="1" si="46"/>
        <v>0.10252955892918707</v>
      </c>
      <c r="X419" s="2">
        <v>9.9241898028140652E-2</v>
      </c>
      <c r="Y419" s="2">
        <f t="shared" ca="1" si="49"/>
        <v>0.10252955892918707</v>
      </c>
      <c r="Z419" s="2">
        <f t="shared" ca="1" si="47"/>
        <v>0.10187202674897779</v>
      </c>
    </row>
    <row r="420" spans="1:26">
      <c r="A420" s="22">
        <v>44895</v>
      </c>
      <c r="B420" s="25" t="s">
        <v>48</v>
      </c>
      <c r="C420" s="25" t="s">
        <v>47</v>
      </c>
      <c r="D420" s="25" t="s">
        <v>41</v>
      </c>
      <c r="E420" s="25" t="s">
        <v>41</v>
      </c>
      <c r="F420" s="25" t="s">
        <v>43</v>
      </c>
      <c r="H420" s="23">
        <f ca="1">'Index Data'!E529</f>
        <v>3.6775633372124188E-2</v>
      </c>
      <c r="I420" s="23">
        <f ca="1">'Index Data'!D529</f>
        <v>7.8022086176378777E-2</v>
      </c>
      <c r="J420" s="23">
        <f ca="1">'Index Data'!B529</f>
        <v>0.11279121010838042</v>
      </c>
      <c r="K420" s="23">
        <f ca="1">'Index Data'!C529</f>
        <v>0.14847246269857034</v>
      </c>
      <c r="L420" s="23">
        <f ca="1">'Index Data'!AH529</f>
        <v>6.4199999999999993E-2</v>
      </c>
      <c r="M420" s="23">
        <f ca="1">'Index Data'!V529</f>
        <v>4.556708362469291E-2</v>
      </c>
      <c r="N420" s="23">
        <f ca="1">'Index Data'!W529</f>
        <v>6.2492086325456171E-2</v>
      </c>
      <c r="O420" s="23">
        <f ca="1">'Index Data'!R529</f>
        <v>3.6335019734675296E-2</v>
      </c>
      <c r="P420" s="23">
        <f ca="1">'Index Data'!S529</f>
        <v>5.781101071668486E-2</v>
      </c>
      <c r="Q420" s="23">
        <f ca="1">'Index Data'!U529</f>
        <v>5.40974373634103E-2</v>
      </c>
      <c r="R420" s="24"/>
      <c r="S420" s="23">
        <f t="shared" ca="1" si="48"/>
        <v>5.3274214493826022E-2</v>
      </c>
      <c r="T420" s="2">
        <f t="shared" ca="1" si="43"/>
        <v>6.2492086325456171E-2</v>
      </c>
      <c r="U420" s="2">
        <f t="shared" ca="1" si="44"/>
        <v>6.2492086325456171E-2</v>
      </c>
      <c r="V420" s="2">
        <f t="shared" ca="1" si="45"/>
        <v>6.2492086325456171E-2</v>
      </c>
      <c r="W420" s="2">
        <f t="shared" ca="1" si="46"/>
        <v>6.2492086325456171E-2</v>
      </c>
      <c r="X420" s="2">
        <v>5.4045675304650542E-2</v>
      </c>
      <c r="Y420" s="2">
        <f t="shared" ca="1" si="49"/>
        <v>6.2492086325456171E-2</v>
      </c>
      <c r="Z420" s="2">
        <f t="shared" ca="1" si="47"/>
        <v>6.0802804121295045E-2</v>
      </c>
    </row>
    <row r="421" spans="1:26">
      <c r="A421" s="22">
        <v>44926</v>
      </c>
      <c r="B421" s="25" t="s">
        <v>49</v>
      </c>
      <c r="C421" s="25" t="s">
        <v>47</v>
      </c>
      <c r="D421" s="25" t="s">
        <v>41</v>
      </c>
      <c r="E421" s="25" t="s">
        <v>41</v>
      </c>
      <c r="F421" s="25" t="s">
        <v>43</v>
      </c>
      <c r="H421" s="23">
        <f ca="1">'Index Data'!E530</f>
        <v>-4.5092103536912842E-3</v>
      </c>
      <c r="I421" s="23">
        <f ca="1">'Index Data'!D530</f>
        <v>-3.8953276467479141E-2</v>
      </c>
      <c r="J421" s="23">
        <f ca="1">'Index Data'!B530</f>
        <v>1.0885960026950007E-3</v>
      </c>
      <c r="K421" s="23">
        <f ca="1">'Index Data'!C530</f>
        <v>-1.3514793776851414E-2</v>
      </c>
      <c r="L421" s="23">
        <f ca="1">'Index Data'!AH530</f>
        <v>4.5899999999999996E-2</v>
      </c>
      <c r="M421" s="23">
        <f ca="1">'Index Data'!V530</f>
        <v>-7.6556639017526282E-2</v>
      </c>
      <c r="N421" s="23">
        <f ca="1">'Index Data'!W530</f>
        <v>-4.0311781358797323E-2</v>
      </c>
      <c r="O421" s="23">
        <f ca="1">'Index Data'!R530</f>
        <v>-3.8332990337950339E-2</v>
      </c>
      <c r="P421" s="23">
        <f ca="1">'Index Data'!S530</f>
        <v>-3.7283880835217373E-2</v>
      </c>
      <c r="Q421" s="23">
        <f ca="1">'Index Data'!U530</f>
        <v>-5.8147986732801818E-2</v>
      </c>
      <c r="R421" s="24"/>
      <c r="S421" s="23">
        <f t="shared" ca="1" si="48"/>
        <v>-2.5175650021963997E-2</v>
      </c>
      <c r="T421" s="2">
        <f t="shared" ca="1" si="43"/>
        <v>-4.0311781358797323E-2</v>
      </c>
      <c r="U421" s="2">
        <f t="shared" ca="1" si="44"/>
        <v>-4.0311781358797323E-2</v>
      </c>
      <c r="V421" s="2">
        <f t="shared" ca="1" si="45"/>
        <v>-4.0311781358797323E-2</v>
      </c>
      <c r="W421" s="2">
        <f t="shared" ca="1" si="46"/>
        <v>-4.0311781358797323E-2</v>
      </c>
      <c r="X421" s="2">
        <v>-4.5499551479742828E-2</v>
      </c>
      <c r="Y421" s="2">
        <f t="shared" ca="1" si="49"/>
        <v>-4.0311781358797323E-2</v>
      </c>
      <c r="Z421" s="2">
        <f t="shared" ca="1" si="47"/>
        <v>-4.1349335382986421E-2</v>
      </c>
    </row>
    <row r="422" spans="1:26">
      <c r="A422" s="22">
        <v>44957</v>
      </c>
      <c r="B422" s="25" t="s">
        <v>49</v>
      </c>
      <c r="C422" s="25" t="s">
        <v>47</v>
      </c>
      <c r="D422" s="25" t="s">
        <v>41</v>
      </c>
      <c r="E422" s="25" t="s">
        <v>41</v>
      </c>
      <c r="F422" s="25" t="s">
        <v>43</v>
      </c>
      <c r="H422" s="23">
        <f ca="1">'Index Data'!E531</f>
        <v>3.076540100452485E-2</v>
      </c>
      <c r="I422" s="23">
        <f ca="1">'Index Data'!D531</f>
        <v>7.1928157933798378E-2</v>
      </c>
      <c r="J422" s="23">
        <f ca="1">'Index Data'!B531</f>
        <v>8.1096300063979831E-2</v>
      </c>
      <c r="K422" s="23">
        <f ca="1">'Index Data'!C531</f>
        <v>7.9055492922460197E-2</v>
      </c>
      <c r="L422" s="23">
        <f ca="1">'Index Data'!AH531</f>
        <v>5.6600000000000004E-2</v>
      </c>
      <c r="M422" s="23">
        <f ca="1">'Index Data'!V531</f>
        <v>8.3347023936650708E-2</v>
      </c>
      <c r="N422" s="23">
        <f ca="1">'Index Data'!W531</f>
        <v>5.1820224844988376E-2</v>
      </c>
      <c r="O422" s="23">
        <f ca="1">'Index Data'!R531</f>
        <v>-6.4552305516878752E-3</v>
      </c>
      <c r="P422" s="23">
        <f ca="1">'Index Data'!S531</f>
        <v>1.4755833691652259E-2</v>
      </c>
      <c r="Q422" s="23">
        <f ca="1">'Index Data'!U531</f>
        <v>6.7044860440255066E-2</v>
      </c>
      <c r="R422" s="24"/>
      <c r="S422" s="23">
        <f t="shared" ca="1" si="48"/>
        <v>5.5463055162088971E-2</v>
      </c>
      <c r="T422" s="2">
        <f t="shared" ca="1" si="43"/>
        <v>5.1820224844988376E-2</v>
      </c>
      <c r="U422" s="2">
        <f t="shared" ca="1" si="44"/>
        <v>5.1820224844988376E-2</v>
      </c>
      <c r="V422" s="2">
        <f t="shared" ca="1" si="45"/>
        <v>5.1820224844988376E-2</v>
      </c>
      <c r="W422" s="2">
        <f t="shared" ca="1" si="46"/>
        <v>5.1820224844988383E-2</v>
      </c>
      <c r="X422" s="2">
        <v>0.10291467964863266</v>
      </c>
      <c r="Y422" s="2">
        <f t="shared" ca="1" si="49"/>
        <v>5.1820224844988383E-2</v>
      </c>
      <c r="Z422" s="2">
        <f t="shared" ca="1" si="47"/>
        <v>6.2039115805717235E-2</v>
      </c>
    </row>
    <row r="423" spans="1:26">
      <c r="A423" s="22">
        <v>44985</v>
      </c>
      <c r="B423" s="25" t="s">
        <v>49</v>
      </c>
      <c r="C423" s="25" t="s">
        <v>47</v>
      </c>
      <c r="D423" s="25" t="s">
        <v>41</v>
      </c>
      <c r="E423" s="25" t="s">
        <v>41</v>
      </c>
      <c r="F423" s="25" t="s">
        <v>43</v>
      </c>
      <c r="H423" s="23">
        <f ca="1">'Index Data'!E532</f>
        <v>-2.5855210819411469E-2</v>
      </c>
      <c r="I423" s="23">
        <f ca="1">'Index Data'!D532</f>
        <v>-2.8308901930048508E-2</v>
      </c>
      <c r="J423" s="23">
        <f ca="1">'Index Data'!B532</f>
        <v>-2.0759541929008501E-2</v>
      </c>
      <c r="K423" s="23">
        <f ca="1">'Index Data'!C532</f>
        <v>-6.4765907059356129E-2</v>
      </c>
      <c r="L423" s="23">
        <f ca="1">'Index Data'!AH532</f>
        <v>-4.8099999999999997E-2</v>
      </c>
      <c r="M423" s="23">
        <f ca="1">'Index Data'!V532</f>
        <v>-1.1876132356552622E-2</v>
      </c>
      <c r="N423" s="23">
        <f ca="1">'Index Data'!W532</f>
        <v>-3.5258945223074684E-2</v>
      </c>
      <c r="O423" s="23">
        <f ca="1">'Index Data'!R532</f>
        <v>-3.9710994478903985E-2</v>
      </c>
      <c r="P423" s="23">
        <f ca="1">'Index Data'!S532</f>
        <v>-3.4337466263243653E-2</v>
      </c>
      <c r="Q423" s="23">
        <f ca="1">'Index Data'!U532</f>
        <v>-2.3796116859848598E-2</v>
      </c>
      <c r="R423" s="24"/>
      <c r="S423" s="23">
        <f t="shared" ca="1" si="48"/>
        <v>-2.7327425485793692E-2</v>
      </c>
      <c r="T423" s="2">
        <f t="shared" ca="1" si="43"/>
        <v>-3.5258945223074684E-2</v>
      </c>
      <c r="U423" s="2">
        <f t="shared" ca="1" si="44"/>
        <v>-3.5258945223074684E-2</v>
      </c>
      <c r="V423" s="2">
        <f t="shared" ca="1" si="45"/>
        <v>-3.5258945223074684E-2</v>
      </c>
      <c r="W423" s="2">
        <f t="shared" ca="1" si="46"/>
        <v>-3.5258945223074684E-2</v>
      </c>
      <c r="X423" s="2">
        <v>-2.8740514110244919E-2</v>
      </c>
      <c r="Y423" s="2">
        <f t="shared" ca="1" si="49"/>
        <v>-3.5258945223074684E-2</v>
      </c>
      <c r="Z423" s="2">
        <f t="shared" ca="1" si="47"/>
        <v>-3.3955259000508733E-2</v>
      </c>
    </row>
    <row r="424" spans="1:26">
      <c r="A424" s="22">
        <v>45016</v>
      </c>
      <c r="B424" s="25" t="s">
        <v>49</v>
      </c>
      <c r="C424" s="25" t="s">
        <v>47</v>
      </c>
      <c r="D424" s="25" t="s">
        <v>41</v>
      </c>
      <c r="E424" s="25" t="s">
        <v>41</v>
      </c>
      <c r="F424" s="25" t="s">
        <v>43</v>
      </c>
      <c r="H424" s="23">
        <f ca="1">'Index Data'!E533</f>
        <v>2.5399093896439757E-2</v>
      </c>
      <c r="I424" s="23">
        <f ca="1">'Index Data'!D533</f>
        <v>3.1527066919665947E-2</v>
      </c>
      <c r="J424" s="23">
        <f ca="1">'Index Data'!B533</f>
        <v>2.6056493376340653E-2</v>
      </c>
      <c r="K424" s="23">
        <f ca="1">'Index Data'!C533</f>
        <v>3.0717542596592186E-2</v>
      </c>
      <c r="L424" s="23">
        <f ca="1">'Index Data'!AH533</f>
        <v>7.2000000000000008E-2</v>
      </c>
      <c r="M424" s="23">
        <f ca="1">'Index Data'!V533</f>
        <v>6.8356177698351978E-2</v>
      </c>
      <c r="N424" s="23">
        <f ca="1">'Index Data'!W533</f>
        <v>-4.6051360378346956E-3</v>
      </c>
      <c r="O424" s="23">
        <f ca="1">'Index Data'!R533</f>
        <v>3.8726895885976761E-3</v>
      </c>
      <c r="P424" s="23">
        <f ca="1">'Index Data'!S533</f>
        <v>3.3745109787473963E-2</v>
      </c>
      <c r="Q424" s="23">
        <f ca="1">'Index Data'!U533</f>
        <v>3.1633593275951097E-2</v>
      </c>
      <c r="R424" s="24"/>
      <c r="S424" s="23">
        <f t="shared" ca="1" si="48"/>
        <v>2.907587771037547E-2</v>
      </c>
      <c r="T424" s="2">
        <f t="shared" ca="1" si="43"/>
        <v>-4.6051360378346956E-3</v>
      </c>
      <c r="U424" s="2">
        <f t="shared" ca="1" si="44"/>
        <v>-4.6051360378346956E-3</v>
      </c>
      <c r="V424" s="2">
        <f t="shared" ca="1" si="45"/>
        <v>-4.6051360378346956E-3</v>
      </c>
      <c r="W424" s="2">
        <f t="shared" ca="1" si="46"/>
        <v>-4.6051360378346964E-3</v>
      </c>
      <c r="X424" s="2">
        <v>1.6163136711713211E-2</v>
      </c>
      <c r="Y424" s="2">
        <f t="shared" ca="1" si="49"/>
        <v>-4.6051360378346964E-3</v>
      </c>
      <c r="Z424" s="2">
        <f t="shared" ca="1" si="47"/>
        <v>-4.5148148792511426E-4</v>
      </c>
    </row>
    <row r="425" spans="1:26">
      <c r="A425" s="22">
        <v>45046</v>
      </c>
      <c r="B425" s="25" t="s">
        <v>49</v>
      </c>
      <c r="C425" s="25" t="s">
        <v>46</v>
      </c>
      <c r="D425" s="25" t="s">
        <v>41</v>
      </c>
      <c r="E425" s="25" t="s">
        <v>41</v>
      </c>
      <c r="F425" s="25" t="s">
        <v>43</v>
      </c>
      <c r="H425" s="23">
        <f ca="1">'Index Data'!E534</f>
        <v>6.0633068014278703E-3</v>
      </c>
      <c r="I425" s="23">
        <f ca="1">'Index Data'!D534</f>
        <v>1.4847945844198539E-2</v>
      </c>
      <c r="J425" s="23">
        <f ca="1">'Index Data'!B534</f>
        <v>2.926844442879948E-2</v>
      </c>
      <c r="K425" s="23">
        <f ca="1">'Index Data'!C534</f>
        <v>-1.1143671470434654E-2</v>
      </c>
      <c r="L425" s="23">
        <f ca="1">'Index Data'!AH534</f>
        <v>1.5300000000000001E-2</v>
      </c>
      <c r="M425" s="23">
        <f ca="1">'Index Data'!V534</f>
        <v>9.8660334315879509E-3</v>
      </c>
      <c r="N425" s="23">
        <f ca="1">'Index Data'!W534</f>
        <v>1.5067131929840737E-2</v>
      </c>
      <c r="O425" s="23">
        <f ca="1">'Index Data'!R534</f>
        <v>2.4388105460243125E-2</v>
      </c>
      <c r="P425" s="23">
        <f ca="1">'Index Data'!S534</f>
        <v>1.5011702854882807E-2</v>
      </c>
      <c r="Q425" s="23">
        <f ca="1">'Index Data'!U534</f>
        <v>1.2390915071692252E-2</v>
      </c>
      <c r="R425" s="24"/>
      <c r="S425" s="23">
        <f t="shared" ca="1" si="48"/>
        <v>1.1334090227090272E-2</v>
      </c>
      <c r="T425" s="2">
        <f t="shared" ca="1" si="43"/>
        <v>9.8660334315879509E-3</v>
      </c>
      <c r="U425" s="2">
        <f t="shared" ca="1" si="44"/>
        <v>9.8660334315879509E-3</v>
      </c>
      <c r="V425" s="2">
        <f t="shared" ca="1" si="45"/>
        <v>9.8660334315879509E-3</v>
      </c>
      <c r="W425" s="2">
        <f t="shared" ca="1" si="46"/>
        <v>9.8660334315879509E-3</v>
      </c>
      <c r="X425" s="2">
        <v>2.8500513177100562E-2</v>
      </c>
      <c r="Y425" s="2">
        <f t="shared" ca="1" si="49"/>
        <v>9.8660334315879509E-3</v>
      </c>
      <c r="Z425" s="2">
        <f t="shared" ca="1" si="47"/>
        <v>1.3592929380690474E-2</v>
      </c>
    </row>
    <row r="426" spans="1:26">
      <c r="A426" s="22">
        <v>45077</v>
      </c>
      <c r="B426" s="25" t="s">
        <v>49</v>
      </c>
      <c r="C426" s="25" t="s">
        <v>46</v>
      </c>
      <c r="D426" s="25" t="s">
        <v>41</v>
      </c>
      <c r="E426" s="25" t="s">
        <v>41</v>
      </c>
      <c r="F426" s="25" t="s">
        <v>43</v>
      </c>
      <c r="H426" s="23">
        <f ca="1">'Index Data'!E535</f>
        <v>-1.0889642823484908E-2</v>
      </c>
      <c r="I426" s="23">
        <f ca="1">'Index Data'!D535</f>
        <v>-9.9974815712273596E-3</v>
      </c>
      <c r="J426" s="23">
        <f ca="1">'Index Data'!B535</f>
        <v>-4.1022482566913786E-2</v>
      </c>
      <c r="K426" s="23">
        <f ca="1">'Index Data'!C535</f>
        <v>-1.6506044638580263E-2</v>
      </c>
      <c r="L426" s="23">
        <f ca="1">'Index Data'!AH535</f>
        <v>-1.7600000000000001E-2</v>
      </c>
      <c r="M426" s="23">
        <f ca="1">'Index Data'!V535</f>
        <v>4.557850922910496E-2</v>
      </c>
      <c r="N426" s="23">
        <f ca="1">'Index Data'!W535</f>
        <v>-3.8568013659647092E-2</v>
      </c>
      <c r="O426" s="23">
        <f ca="1">'Index Data'!R535</f>
        <v>-4.7882782021938297E-2</v>
      </c>
      <c r="P426" s="23">
        <f ca="1">'Index Data'!S535</f>
        <v>-3.2436199961371349E-2</v>
      </c>
      <c r="Q426" s="23">
        <f ca="1">'Index Data'!U535</f>
        <v>4.6578616298067772E-3</v>
      </c>
      <c r="R426" s="24"/>
      <c r="S426" s="23">
        <f t="shared" ca="1" si="48"/>
        <v>-1.0354346072130378E-2</v>
      </c>
      <c r="T426" s="2">
        <f t="shared" ca="1" si="43"/>
        <v>4.557850922910496E-2</v>
      </c>
      <c r="U426" s="2">
        <f t="shared" ca="1" si="44"/>
        <v>4.557850922910496E-2</v>
      </c>
      <c r="V426" s="2">
        <f t="shared" ca="1" si="45"/>
        <v>4.557850922910496E-2</v>
      </c>
      <c r="W426" s="2">
        <f t="shared" ca="1" si="46"/>
        <v>4.557850922910496E-2</v>
      </c>
      <c r="X426" s="2">
        <v>-2.9203310169339303E-2</v>
      </c>
      <c r="Y426" s="2">
        <f t="shared" ca="1" si="49"/>
        <v>4.557850922910496E-2</v>
      </c>
      <c r="Z426" s="2">
        <f t="shared" ca="1" si="47"/>
        <v>3.0622145349416111E-2</v>
      </c>
    </row>
    <row r="427" spans="1:26">
      <c r="A427" s="22">
        <v>45107</v>
      </c>
      <c r="B427" s="25" t="s">
        <v>49</v>
      </c>
      <c r="C427" s="25" t="s">
        <v>46</v>
      </c>
      <c r="D427" s="25" t="s">
        <v>41</v>
      </c>
      <c r="E427" s="25" t="s">
        <v>41</v>
      </c>
      <c r="F427" s="25" t="s">
        <v>43</v>
      </c>
      <c r="H427" s="23">
        <f ca="1">'Index Data'!E536</f>
        <v>-3.5682128922534225E-3</v>
      </c>
      <c r="I427" s="23">
        <f ca="1">'Index Data'!D536</f>
        <v>5.8502614676565347E-2</v>
      </c>
      <c r="J427" s="23">
        <f ca="1">'Index Data'!B536</f>
        <v>4.5797269848122116E-2</v>
      </c>
      <c r="K427" s="23">
        <f ca="1">'Index Data'!C536</f>
        <v>3.8915581092013887E-2</v>
      </c>
      <c r="L427" s="23">
        <f ca="1">'Index Data'!AH536</f>
        <v>-1.7600000000000001E-2</v>
      </c>
      <c r="M427" s="23">
        <f ca="1">'Index Data'!V536</f>
        <v>6.8385441781790013E-2</v>
      </c>
      <c r="N427" s="23">
        <f ca="1">'Index Data'!W536</f>
        <v>6.6427189569722697E-2</v>
      </c>
      <c r="O427" s="23">
        <f ca="1">'Index Data'!R536</f>
        <v>6.985564905728224E-2</v>
      </c>
      <c r="P427" s="23">
        <f ca="1">'Index Data'!S536</f>
        <v>4.5198593304657753E-2</v>
      </c>
      <c r="Q427" s="23">
        <f ca="1">'Index Data'!U536</f>
        <v>6.7537852610416546E-2</v>
      </c>
      <c r="R427" s="24"/>
      <c r="S427" s="23">
        <f t="shared" ca="1" si="48"/>
        <v>3.3674283649037837E-2</v>
      </c>
      <c r="T427" s="2">
        <f t="shared" ca="1" si="43"/>
        <v>6.8385441781790013E-2</v>
      </c>
      <c r="U427" s="2">
        <f t="shared" ca="1" si="44"/>
        <v>6.8385441781790013E-2</v>
      </c>
      <c r="V427" s="2">
        <f t="shared" ca="1" si="45"/>
        <v>6.8385441781790013E-2</v>
      </c>
      <c r="W427" s="2">
        <f t="shared" ca="1" si="46"/>
        <v>6.8385441781790013E-2</v>
      </c>
      <c r="X427" s="2">
        <v>5.9514631871804946E-2</v>
      </c>
      <c r="Y427" s="2">
        <f t="shared" ca="1" si="49"/>
        <v>6.8385441781790013E-2</v>
      </c>
      <c r="Z427" s="2">
        <f t="shared" ca="1" si="47"/>
        <v>6.6611279799793005E-2</v>
      </c>
    </row>
    <row r="428" spans="1:26">
      <c r="A428" s="22">
        <v>45138</v>
      </c>
      <c r="B428" s="25" t="s">
        <v>49</v>
      </c>
      <c r="C428" s="25" t="s">
        <v>46</v>
      </c>
      <c r="D428" s="25" t="s">
        <v>41</v>
      </c>
      <c r="E428" s="25" t="s">
        <v>41</v>
      </c>
      <c r="F428" s="25" t="s">
        <v>43</v>
      </c>
      <c r="H428" s="23">
        <f ca="1">'Index Data'!E537</f>
        <v>-6.932491872250039E-4</v>
      </c>
      <c r="I428" s="23">
        <f ca="1">'Index Data'!D537</f>
        <v>3.6905687486075658E-2</v>
      </c>
      <c r="J428" s="23">
        <f ca="1">'Index Data'!B537</f>
        <v>3.2474555369518404E-2</v>
      </c>
      <c r="K428" s="23">
        <f ca="1">'Index Data'!C537</f>
        <v>6.2933062106668394E-2</v>
      </c>
      <c r="L428" s="23">
        <f ca="1">'Index Data'!AH537</f>
        <v>2.1299999999999999E-2</v>
      </c>
      <c r="M428" s="23">
        <f ca="1">'Index Data'!V537</f>
        <v>3.3689575134430647E-2</v>
      </c>
      <c r="N428" s="23">
        <f ca="1">'Index Data'!W537</f>
        <v>3.5164616537192869E-2</v>
      </c>
      <c r="O428" s="23">
        <f ca="1">'Index Data'!R537</f>
        <v>1.7335964265579609E-2</v>
      </c>
      <c r="P428" s="23">
        <f ca="1">'Index Data'!S537</f>
        <v>1.3561607663321358E-2</v>
      </c>
      <c r="Q428" s="23">
        <f ca="1">'Index Data'!U537</f>
        <v>3.4387840267077606E-2</v>
      </c>
      <c r="R428" s="24"/>
      <c r="S428" s="23">
        <f t="shared" ca="1" si="48"/>
        <v>2.1866112816755393E-2</v>
      </c>
      <c r="T428" s="2">
        <f t="shared" ca="1" si="43"/>
        <v>3.3689575134430647E-2</v>
      </c>
      <c r="U428" s="2">
        <f t="shared" ca="1" si="44"/>
        <v>3.3689575134430647E-2</v>
      </c>
      <c r="V428" s="2">
        <f t="shared" ca="1" si="45"/>
        <v>3.3689575134430647E-2</v>
      </c>
      <c r="W428" s="2">
        <f t="shared" ca="1" si="46"/>
        <v>3.3689575134430647E-2</v>
      </c>
      <c r="X428" s="2">
        <v>3.3020645449052921E-2</v>
      </c>
      <c r="Y428" s="2">
        <f t="shared" ca="1" si="49"/>
        <v>3.3689575134430647E-2</v>
      </c>
      <c r="Z428" s="2">
        <f t="shared" ca="1" si="47"/>
        <v>3.35557891973551E-2</v>
      </c>
    </row>
    <row r="429" spans="1:26">
      <c r="A429" s="22">
        <v>45169</v>
      </c>
      <c r="B429" s="25" t="s">
        <v>49</v>
      </c>
      <c r="C429" s="25" t="s">
        <v>46</v>
      </c>
      <c r="D429" s="25" t="s">
        <v>41</v>
      </c>
      <c r="E429" s="25" t="s">
        <v>41</v>
      </c>
      <c r="F429" s="25" t="s">
        <v>43</v>
      </c>
      <c r="H429" s="23">
        <f ca="1">'Index Data'!E538</f>
        <v>-6.3871014042053958E-3</v>
      </c>
      <c r="I429" s="23">
        <f ca="1">'Index Data'!D538</f>
        <v>-2.7546492340227297E-2</v>
      </c>
      <c r="J429" s="23">
        <f ca="1">'Index Data'!B538</f>
        <v>-3.8196171357576122E-2</v>
      </c>
      <c r="K429" s="23">
        <f ca="1">'Index Data'!C538</f>
        <v>-6.1311374917768148E-2</v>
      </c>
      <c r="L429" s="23">
        <f ca="1">'Index Data'!AH538</f>
        <v>-1.1899999999999999E-2</v>
      </c>
      <c r="M429" s="23">
        <f ca="1">'Index Data'!V538</f>
        <v>-8.978732869095089E-3</v>
      </c>
      <c r="N429" s="23">
        <f ca="1">'Index Data'!W538</f>
        <v>-2.6996649067586257E-2</v>
      </c>
      <c r="O429" s="23">
        <f ca="1">'Index Data'!R538</f>
        <v>2.9733042041881637E-3</v>
      </c>
      <c r="P429" s="23">
        <f ca="1">'Index Data'!S538</f>
        <v>-5.5316422718401249E-3</v>
      </c>
      <c r="Q429" s="23">
        <f ca="1">'Index Data'!U538</f>
        <v>-1.7492545496393615E-2</v>
      </c>
      <c r="R429" s="24"/>
      <c r="S429" s="23">
        <f t="shared" ca="1" si="48"/>
        <v>-1.9082735965818536E-2</v>
      </c>
      <c r="T429" s="2">
        <f t="shared" ca="1" si="43"/>
        <v>-8.978732869095089E-3</v>
      </c>
      <c r="U429" s="2">
        <f t="shared" ca="1" si="44"/>
        <v>-8.978732869095089E-3</v>
      </c>
      <c r="V429" s="2">
        <f t="shared" ca="1" si="45"/>
        <v>-8.978732869095089E-3</v>
      </c>
      <c r="W429" s="2">
        <f t="shared" ca="1" si="46"/>
        <v>-8.9787328690950907E-3</v>
      </c>
      <c r="X429" s="2">
        <v>-3.1488440269516138E-2</v>
      </c>
      <c r="Y429" s="2">
        <f t="shared" ca="1" si="49"/>
        <v>-8.9787328690950907E-3</v>
      </c>
      <c r="Z429" s="2">
        <f t="shared" ca="1" si="47"/>
        <v>-1.3480674349179302E-2</v>
      </c>
    </row>
    <row r="430" spans="1:26">
      <c r="A430" s="22">
        <v>45199</v>
      </c>
      <c r="B430" s="25" t="s">
        <v>49</v>
      </c>
      <c r="C430" s="25" t="s">
        <v>46</v>
      </c>
      <c r="D430" s="25" t="s">
        <v>41</v>
      </c>
      <c r="E430" s="25" t="s">
        <v>41</v>
      </c>
      <c r="F430" s="25" t="s">
        <v>43</v>
      </c>
      <c r="H430" s="23">
        <f ca="1">'Index Data'!E539</f>
        <v>-2.5414098613251251E-2</v>
      </c>
      <c r="I430" s="23">
        <f ca="1">'Index Data'!D539</f>
        <v>-4.0996072575860756E-2</v>
      </c>
      <c r="J430" s="23">
        <f ca="1">'Index Data'!B539</f>
        <v>-3.3730843256107416E-2</v>
      </c>
      <c r="K430" s="23">
        <f ca="1">'Index Data'!C539</f>
        <v>-2.5747313176683214E-2</v>
      </c>
      <c r="L430" s="23">
        <f ca="1">'Index Data'!AH539</f>
        <v>-5.0799999999999998E-2</v>
      </c>
      <c r="M430" s="23">
        <f ca="1">'Index Data'!V539</f>
        <v>-5.4383965255475356E-2</v>
      </c>
      <c r="N430" s="23">
        <f ca="1">'Index Data'!W539</f>
        <v>-3.8589299067398317E-2</v>
      </c>
      <c r="O430" s="23">
        <f ca="1">'Index Data'!R539</f>
        <v>-4.7742631276961989E-2</v>
      </c>
      <c r="P430" s="23">
        <f ca="1">'Index Data'!S539</f>
        <v>-2.8179480039741033E-2</v>
      </c>
      <c r="Q430" s="23">
        <f ca="1">'Index Data'!U539</f>
        <v>-4.6996038587578816E-2</v>
      </c>
      <c r="R430" s="24"/>
      <c r="S430" s="23">
        <f t="shared" ca="1" si="48"/>
        <v>-3.4763282990816956E-2</v>
      </c>
      <c r="T430" s="2">
        <f t="shared" ca="1" si="43"/>
        <v>-5.4383965255475356E-2</v>
      </c>
      <c r="U430" s="2">
        <f t="shared" ca="1" si="44"/>
        <v>-5.4383965255475356E-2</v>
      </c>
      <c r="V430" s="2">
        <f t="shared" ca="1" si="45"/>
        <v>-5.4383965255475356E-2</v>
      </c>
      <c r="W430" s="2">
        <f t="shared" ca="1" si="46"/>
        <v>-5.4383965255475356E-2</v>
      </c>
      <c r="X430" s="2">
        <v>-5.9799999999999999E-2</v>
      </c>
      <c r="Y430" s="2">
        <f t="shared" ca="1" si="49"/>
        <v>-5.4383965255475356E-2</v>
      </c>
      <c r="Z430" s="2">
        <f t="shared" ca="1" si="47"/>
        <v>-5.5467172204380286E-2</v>
      </c>
    </row>
    <row r="431" spans="1:26">
      <c r="A431" s="22">
        <v>45230</v>
      </c>
      <c r="B431" s="25" t="s">
        <v>49</v>
      </c>
      <c r="C431" s="25" t="s">
        <v>46</v>
      </c>
      <c r="D431" s="25" t="s">
        <v>41</v>
      </c>
      <c r="E431" s="25" t="s">
        <v>41</v>
      </c>
      <c r="F431" s="25" t="s">
        <v>43</v>
      </c>
      <c r="H431" s="23">
        <f ca="1">'Index Data'!E540</f>
        <v>-1.578047647750519E-2</v>
      </c>
      <c r="I431" s="23">
        <f ca="1">'Index Data'!D540</f>
        <v>-2.9843347613539628E-2</v>
      </c>
      <c r="J431" s="23">
        <f ca="1">'Index Data'!B540</f>
        <v>-4.043869775460765E-2</v>
      </c>
      <c r="K431" s="23">
        <f ca="1">'Index Data'!C540</f>
        <v>-3.8746541217246369E-2</v>
      </c>
      <c r="L431" s="23">
        <f ca="1">'Index Data'!AH540</f>
        <v>7.9100000000000004E-2</v>
      </c>
      <c r="M431" s="23">
        <f ca="1">'Index Data'!V540</f>
        <v>-1.4237519850405805E-2</v>
      </c>
      <c r="N431" s="23">
        <f ca="1">'Index Data'!W540</f>
        <v>-3.5282069908339347E-2</v>
      </c>
      <c r="O431" s="23">
        <f ca="1">'Index Data'!R540</f>
        <v>-1.6276922476100655E-2</v>
      </c>
      <c r="P431" s="23">
        <f ca="1">'Index Data'!S540</f>
        <v>-8.5228236028129442E-3</v>
      </c>
      <c r="Q431" s="23">
        <f ca="1">'Index Data'!U540</f>
        <v>-2.416930319656526E-2</v>
      </c>
      <c r="R431" s="24"/>
      <c r="S431" s="23">
        <f t="shared" ca="1" si="48"/>
        <v>-2.4218199159125851E-2</v>
      </c>
      <c r="T431" s="2">
        <f t="shared" ca="1" si="43"/>
        <v>-1.4237519850405805E-2</v>
      </c>
      <c r="U431" s="2">
        <f t="shared" ca="1" si="44"/>
        <v>-1.4237519850405805E-2</v>
      </c>
      <c r="V431" s="2">
        <f t="shared" ca="1" si="45"/>
        <v>-1.4237519850405805E-2</v>
      </c>
      <c r="W431" s="2">
        <f t="shared" ca="1" si="46"/>
        <v>-1.4237519850405805E-2</v>
      </c>
      <c r="X431" s="2">
        <v>-4.3200000000000002E-2</v>
      </c>
      <c r="Y431" s="2">
        <f t="shared" ca="1" si="49"/>
        <v>-1.4237519850405805E-2</v>
      </c>
      <c r="Z431" s="2">
        <f t="shared" ca="1" si="47"/>
        <v>-2.0030015880324645E-2</v>
      </c>
    </row>
    <row r="432" spans="1:26">
      <c r="A432" s="22">
        <v>45260</v>
      </c>
      <c r="B432" s="25" t="s">
        <v>49</v>
      </c>
      <c r="C432" s="25" t="s">
        <v>46</v>
      </c>
      <c r="D432" s="25" t="s">
        <v>41</v>
      </c>
      <c r="E432" s="25" t="s">
        <v>41</v>
      </c>
      <c r="F432" s="25" t="s">
        <v>43</v>
      </c>
      <c r="H432" s="23">
        <f ca="1">'Index Data'!E541</f>
        <v>4.5284325930685536E-2</v>
      </c>
      <c r="I432" s="23">
        <f ca="1">'Index Data'!D541</f>
        <v>9.2772220468254021E-2</v>
      </c>
      <c r="J432" s="23">
        <f ca="1">'Index Data'!B541</f>
        <v>9.2983977999235926E-2</v>
      </c>
      <c r="K432" s="23">
        <f ca="1">'Index Data'!C541</f>
        <v>8.0200011055032758E-2</v>
      </c>
      <c r="L432" s="23">
        <f ca="1">'Index Data'!AH541</f>
        <v>2.2000000000000002E-2</v>
      </c>
      <c r="M432" s="23">
        <f ca="1">'Index Data'!V541</f>
        <v>0.10901097859030426</v>
      </c>
      <c r="N432" s="23">
        <f ca="1">'Index Data'!W541</f>
        <v>7.544992957334716E-2</v>
      </c>
      <c r="O432" s="23">
        <f ca="1">'Index Data'!R541</f>
        <v>9.3665638256845332E-2</v>
      </c>
      <c r="P432" s="23">
        <f ca="1">'Index Data'!S541</f>
        <v>5.8503661929442681E-2</v>
      </c>
      <c r="Q432" s="23">
        <f ca="1">'Index Data'!U541</f>
        <v>9.3395384644777105E-2</v>
      </c>
      <c r="R432" s="24"/>
      <c r="S432" s="23">
        <f t="shared" ca="1" si="48"/>
        <v>7.377706265322663E-2</v>
      </c>
      <c r="T432" s="2">
        <f t="shared" ca="1" si="43"/>
        <v>0.10901097859030426</v>
      </c>
      <c r="U432" s="2">
        <f t="shared" ca="1" si="44"/>
        <v>0.10901097859030426</v>
      </c>
      <c r="V432" s="2">
        <f t="shared" ca="1" si="45"/>
        <v>0.10901097859030426</v>
      </c>
      <c r="W432" s="2">
        <f t="shared" ca="1" si="46"/>
        <v>0.10901097859030426</v>
      </c>
      <c r="X432" s="2">
        <v>9.7100000000000006E-2</v>
      </c>
      <c r="Y432" s="2">
        <f t="shared" ca="1" si="49"/>
        <v>0.10901097859030426</v>
      </c>
      <c r="Z432" s="2">
        <f t="shared" ca="1" si="47"/>
        <v>0.10662878287224341</v>
      </c>
    </row>
    <row r="433" spans="1:26">
      <c r="A433" s="22">
        <v>45291</v>
      </c>
      <c r="B433" s="25" t="s">
        <v>49</v>
      </c>
      <c r="C433" s="25" t="s">
        <v>46</v>
      </c>
      <c r="D433" s="25" t="s">
        <v>41</v>
      </c>
      <c r="E433" s="25" t="s">
        <v>41</v>
      </c>
      <c r="F433" s="25" t="s">
        <v>43</v>
      </c>
      <c r="H433" s="23">
        <f ca="1">'Index Data'!E542</f>
        <v>3.8279970609281143E-2</v>
      </c>
      <c r="I433" s="23">
        <f ca="1">'Index Data'!D542</f>
        <v>4.8383775602072812E-2</v>
      </c>
      <c r="J433" s="23">
        <f ca="1">'Index Data'!B542</f>
        <v>5.3291671920312693E-2</v>
      </c>
      <c r="K433" s="23">
        <f ca="1">'Index Data'!C542</f>
        <v>3.9460891402839614E-2</v>
      </c>
      <c r="L433" s="23">
        <f ca="1">'Index Data'!AH542</f>
        <v>1.6500000000000001E-2</v>
      </c>
      <c r="M433" s="23">
        <f ca="1">'Index Data'!V542</f>
        <v>4.4281951403951907E-2</v>
      </c>
      <c r="N433" s="23">
        <f ca="1">'Index Data'!W542</f>
        <v>5.5392596285943042E-2</v>
      </c>
      <c r="O433" s="23">
        <f ca="1">'Index Data'!R542</f>
        <v>4.8081435597997317E-2</v>
      </c>
      <c r="P433" s="23">
        <f ca="1">'Index Data'!S542</f>
        <v>2.7073701079458497E-2</v>
      </c>
      <c r="Q433" s="23">
        <f ca="1">'Index Data'!U542</f>
        <v>4.9365498576586349E-2</v>
      </c>
      <c r="R433" s="24"/>
      <c r="S433" s="23">
        <f t="shared" ca="1" si="48"/>
        <v>4.4342253604956146E-2</v>
      </c>
      <c r="T433" s="2">
        <f t="shared" ca="1" si="43"/>
        <v>4.4281951403951907E-2</v>
      </c>
      <c r="U433" s="2">
        <f t="shared" ca="1" si="44"/>
        <v>4.4281951403951907E-2</v>
      </c>
      <c r="V433" s="2">
        <f t="shared" ca="1" si="45"/>
        <v>4.4281951403951907E-2</v>
      </c>
      <c r="W433" s="2">
        <f t="shared" ca="1" si="46"/>
        <v>4.4281951403951907E-2</v>
      </c>
      <c r="X433" s="2">
        <v>7.0800000000000002E-2</v>
      </c>
      <c r="Y433" s="2">
        <f t="shared" ca="1" si="49"/>
        <v>4.4281951403951907E-2</v>
      </c>
      <c r="Z433" s="2">
        <f t="shared" ca="1" si="47"/>
        <v>4.9585561123161523E-2</v>
      </c>
    </row>
    <row r="434" spans="1:26">
      <c r="A434" s="22">
        <v>45322</v>
      </c>
      <c r="B434" s="25" t="s">
        <v>49</v>
      </c>
      <c r="C434" s="25" t="s">
        <v>46</v>
      </c>
      <c r="D434" s="25" t="s">
        <v>41</v>
      </c>
      <c r="E434" s="25" t="s">
        <v>41</v>
      </c>
      <c r="F434" s="25" t="s">
        <v>43</v>
      </c>
      <c r="H434" s="23">
        <f ca="1">'Index Data'!E543</f>
        <v>-2.7474560592044657E-3</v>
      </c>
      <c r="I434" s="23">
        <f ca="1">'Index Data'!D543</f>
        <v>6.0784248551856634E-3</v>
      </c>
      <c r="J434" s="23">
        <f ca="1">'Index Data'!B543</f>
        <v>5.8469906515485771E-3</v>
      </c>
      <c r="K434" s="23">
        <f ca="1">'Index Data'!C543</f>
        <v>-4.6343070502964948E-2</v>
      </c>
      <c r="L434" s="23">
        <f ca="1">'Index Data'!AH543</f>
        <v>-1.1299999999999999E-2</v>
      </c>
      <c r="M434" s="23">
        <f ca="1">'Index Data'!V543</f>
        <v>2.4941771614229672E-2</v>
      </c>
      <c r="N434" s="23">
        <f ca="1">'Index Data'!W543</f>
        <v>1.0353319595919851E-3</v>
      </c>
      <c r="O434" s="23">
        <f ca="1">'Index Data'!R543</f>
        <v>5.6144751783050513E-2</v>
      </c>
      <c r="P434" s="23">
        <f ca="1">'Index Data'!S543</f>
        <v>2.2542637073295128E-2</v>
      </c>
      <c r="Q434" s="23">
        <f ca="1">'Index Data'!U543</f>
        <v>1.3946259967561176E-2</v>
      </c>
      <c r="R434" s="24"/>
      <c r="S434" s="23">
        <f t="shared" ca="1" si="48"/>
        <v>2.5480724894296116E-3</v>
      </c>
      <c r="T434" s="2">
        <f t="shared" ca="1" si="43"/>
        <v>2.4941771614229672E-2</v>
      </c>
      <c r="U434" s="2">
        <f t="shared" ca="1" si="44"/>
        <v>2.4941771614229672E-2</v>
      </c>
      <c r="V434" s="2">
        <f t="shared" ca="1" si="45"/>
        <v>2.4941771614229672E-2</v>
      </c>
      <c r="W434" s="2">
        <f t="shared" ca="1" si="46"/>
        <v>2.4941771614229672E-2</v>
      </c>
      <c r="X434" s="2">
        <v>4.4499999999999998E-2</v>
      </c>
      <c r="Y434" s="2">
        <f t="shared" ca="1" si="49"/>
        <v>2.4941771614229672E-2</v>
      </c>
      <c r="Z434" s="2">
        <f t="shared" ca="1" si="47"/>
        <v>2.8853417291383736E-2</v>
      </c>
    </row>
    <row r="435" spans="1:26">
      <c r="A435" s="22">
        <v>45351</v>
      </c>
      <c r="B435" s="25" t="s">
        <v>49</v>
      </c>
      <c r="C435" s="25" t="s">
        <v>46</v>
      </c>
      <c r="D435" s="25" t="s">
        <v>41</v>
      </c>
      <c r="E435" s="25" t="s">
        <v>41</v>
      </c>
      <c r="F435" s="25" t="s">
        <v>43</v>
      </c>
      <c r="H435" s="23">
        <f ca="1">'Index Data'!E544</f>
        <v>-1.4127621680287208E-2</v>
      </c>
      <c r="I435" s="23">
        <f ca="1">'Index Data'!D544</f>
        <v>4.3280635141458655E-2</v>
      </c>
      <c r="J435" s="23">
        <f ca="1">'Index Data'!B544</f>
        <v>1.8435733412674689E-2</v>
      </c>
      <c r="K435" s="23">
        <f ca="1">'Index Data'!C544</f>
        <v>4.7749328928350203E-2</v>
      </c>
      <c r="L435" s="23">
        <f ca="1">'Index Data'!AH544</f>
        <v>3.0999999999999999E-3</v>
      </c>
      <c r="M435" s="23">
        <f ca="1">'Index Data'!V544</f>
        <v>6.8227053402411975E-2</v>
      </c>
      <c r="N435" s="23">
        <f ca="1">'Index Data'!W544</f>
        <v>3.6889903067303886E-2</v>
      </c>
      <c r="O435" s="23">
        <f ca="1">'Index Data'!R544</f>
        <v>0.10096084025503715</v>
      </c>
      <c r="P435" s="23">
        <f ca="1">'Index Data'!S544</f>
        <v>2.0941232570123199E-2</v>
      </c>
      <c r="Q435" s="23">
        <f ca="1">'Index Data'!U544</f>
        <v>5.4001401354155674E-2</v>
      </c>
      <c r="R435" s="24"/>
      <c r="S435" s="23">
        <f t="shared" ca="1" si="48"/>
        <v>2.0317332412760309E-2</v>
      </c>
      <c r="T435" s="2">
        <f t="shared" ca="1" si="43"/>
        <v>6.8227053402411975E-2</v>
      </c>
      <c r="U435" s="2">
        <f t="shared" ca="1" si="44"/>
        <v>6.8227053402411975E-2</v>
      </c>
      <c r="V435" s="2">
        <f t="shared" ca="1" si="45"/>
        <v>6.8227053402411975E-2</v>
      </c>
      <c r="W435" s="2">
        <f t="shared" ca="1" si="46"/>
        <v>6.8227053402411975E-2</v>
      </c>
      <c r="X435" s="2">
        <v>1.8200000000000001E-2</v>
      </c>
      <c r="Y435" s="2">
        <f t="shared" ca="1" si="49"/>
        <v>6.8227053402411975E-2</v>
      </c>
      <c r="Z435" s="2">
        <f t="shared" ca="1" si="47"/>
        <v>5.8221642721929583E-2</v>
      </c>
    </row>
    <row r="436" spans="1:26">
      <c r="A436" s="22">
        <v>45382</v>
      </c>
      <c r="B436" s="25" t="s">
        <v>49</v>
      </c>
      <c r="C436" s="25" t="s">
        <v>46</v>
      </c>
      <c r="D436" s="25" t="s">
        <v>41</v>
      </c>
      <c r="E436" s="25" t="s">
        <v>41</v>
      </c>
      <c r="F436" s="25" t="s">
        <v>43</v>
      </c>
      <c r="H436" s="23">
        <f ca="1">'Index Data'!E545</f>
        <v>9.2350395182537216E-3</v>
      </c>
      <c r="I436" s="23">
        <f ca="1">'Index Data'!D545</f>
        <v>3.1950438014411414E-2</v>
      </c>
      <c r="J436" s="23">
        <f ca="1">'Index Data'!B545</f>
        <v>3.4045800969189709E-2</v>
      </c>
      <c r="K436" s="23">
        <f ca="1">'Index Data'!C545</f>
        <v>2.5210243272025794E-2</v>
      </c>
      <c r="L436" s="23">
        <f ca="1">'Index Data'!AH545</f>
        <v>7.9199999999999993E-2</v>
      </c>
      <c r="M436" s="23">
        <f ca="1">'Index Data'!V545</f>
        <v>1.7604254397996188E-2</v>
      </c>
      <c r="N436" s="23">
        <f ca="1">'Index Data'!W545</f>
        <v>4.9994693907031727E-2</v>
      </c>
      <c r="O436" s="23">
        <f ca="1">'Index Data'!R545</f>
        <v>3.4647461810135817E-2</v>
      </c>
      <c r="P436" s="23">
        <f ca="1">'Index Data'!S545</f>
        <v>3.1572096022563792E-2</v>
      </c>
      <c r="Q436" s="23">
        <f ca="1">'Index Data'!U545</f>
        <v>3.2057078588662212E-2</v>
      </c>
      <c r="R436" s="24"/>
      <c r="S436" s="23">
        <f t="shared" ca="1" si="48"/>
        <v>2.2864278615948336E-2</v>
      </c>
      <c r="T436" s="2">
        <f t="shared" ca="1" si="43"/>
        <v>1.7604254397996188E-2</v>
      </c>
      <c r="U436" s="2">
        <f t="shared" ca="1" si="44"/>
        <v>1.7604254397996188E-2</v>
      </c>
      <c r="V436" s="2">
        <f t="shared" ca="1" si="45"/>
        <v>1.7604254397996188E-2</v>
      </c>
      <c r="W436" s="2">
        <f t="shared" ca="1" si="46"/>
        <v>1.7604254397996188E-2</v>
      </c>
      <c r="X436" s="2">
        <v>-8.0999999999999996E-3</v>
      </c>
      <c r="Y436" s="2">
        <f t="shared" ca="1" si="49"/>
        <v>1.7604254397996188E-2</v>
      </c>
      <c r="Z436" s="2">
        <f t="shared" ca="1" si="47"/>
        <v>1.246340351839695E-2</v>
      </c>
    </row>
    <row r="437" spans="1:26">
      <c r="A437" s="22">
        <v>45412</v>
      </c>
      <c r="B437" s="25" t="s">
        <v>49</v>
      </c>
      <c r="C437" s="25" t="s">
        <v>46</v>
      </c>
      <c r="D437" s="25" t="s">
        <v>41</v>
      </c>
      <c r="E437" s="25" t="s">
        <v>41</v>
      </c>
      <c r="F437" s="25" t="s">
        <v>43</v>
      </c>
      <c r="H437" s="23">
        <f ca="1">'Index Data'!E546</f>
        <v>-2.5260694657449345E-2</v>
      </c>
      <c r="I437" s="23">
        <f ca="1">'Index Data'!D546</f>
        <v>-3.2565849488954704E-2</v>
      </c>
      <c r="J437" s="23">
        <f ca="1">'Index Data'!B546</f>
        <v>-2.4552373216556025E-2</v>
      </c>
      <c r="K437" s="23">
        <f ca="1">'Index Data'!C546</f>
        <v>4.6873902548120929E-3</v>
      </c>
      <c r="L437" s="23">
        <f ca="1">'Index Data'!AH546</f>
        <v>3.8599999999999995E-2</v>
      </c>
      <c r="M437" s="23">
        <f ca="1">'Index Data'!V546</f>
        <v>-4.2416016287750255E-2</v>
      </c>
      <c r="N437" s="23">
        <f ca="1">'Index Data'!W546</f>
        <v>-4.2715657309398559E-2</v>
      </c>
      <c r="O437" s="23">
        <f ca="1">'Index Data'!R546</f>
        <v>-4.8504539332312045E-2</v>
      </c>
      <c r="P437" s="23">
        <f ca="1">'Index Data'!S546</f>
        <v>-3.6941668589722906E-2</v>
      </c>
      <c r="Q437" s="23">
        <f ca="1">'Index Data'!U546</f>
        <v>-4.2552787005140223E-2</v>
      </c>
      <c r="R437" s="24"/>
      <c r="S437" s="23">
        <f t="shared" ca="1" si="48"/>
        <v>-2.9643787556352559E-2</v>
      </c>
      <c r="T437" s="2">
        <f t="shared" ca="1" si="43"/>
        <v>-4.2416016287750255E-2</v>
      </c>
      <c r="U437" s="2">
        <f t="shared" ca="1" si="44"/>
        <v>-4.2416016287750255E-2</v>
      </c>
      <c r="V437" s="2">
        <f t="shared" ca="1" si="45"/>
        <v>-4.2416016287750255E-2</v>
      </c>
      <c r="W437" s="2">
        <f t="shared" ca="1" si="46"/>
        <v>-4.2416016287750255E-2</v>
      </c>
      <c r="X437" s="2">
        <v>-6.1560745971392293E-2</v>
      </c>
      <c r="Y437" s="2">
        <f t="shared" ca="1" si="49"/>
        <v>-4.2416016287750255E-2</v>
      </c>
      <c r="Z437" s="2">
        <f t="shared" ca="1" si="47"/>
        <v>-4.6244962224478658E-2</v>
      </c>
    </row>
    <row r="438" spans="1:26">
      <c r="A438" s="22">
        <v>45443</v>
      </c>
      <c r="B438" s="25" t="s">
        <v>49</v>
      </c>
      <c r="C438" s="25" t="s">
        <v>46</v>
      </c>
      <c r="D438" s="25" t="s">
        <v>41</v>
      </c>
      <c r="E438" s="25" t="s">
        <v>41</v>
      </c>
      <c r="F438" s="25" t="s">
        <v>43</v>
      </c>
      <c r="H438" s="23">
        <f ca="1">'Index Data'!E547</f>
        <v>1.6953286402938163E-2</v>
      </c>
      <c r="I438" s="23">
        <f ca="1">'Index Data'!D547</f>
        <v>4.1245972320825601E-2</v>
      </c>
      <c r="J438" s="23">
        <f ca="1">'Index Data'!B547</f>
        <v>4.0012454393477351E-2</v>
      </c>
      <c r="K438" s="23">
        <f ca="1">'Index Data'!C547</f>
        <v>5.942284412817707E-3</v>
      </c>
      <c r="L438" s="23">
        <f ca="1">'Index Data'!AH547</f>
        <v>8.6999999999999994E-3</v>
      </c>
      <c r="M438" s="23">
        <f ca="1">'Index Data'!V547</f>
        <v>5.9865319744190376E-2</v>
      </c>
      <c r="N438" s="23">
        <f ca="1">'Index Data'!W547</f>
        <v>3.1700140102688401E-2</v>
      </c>
      <c r="O438" s="23">
        <f ca="1">'Index Data'!R547</f>
        <v>5.7873386973031023E-2</v>
      </c>
      <c r="P438" s="23">
        <f ca="1">'Index Data'!S547</f>
        <v>2.8047517292733578E-2</v>
      </c>
      <c r="Q438" s="23">
        <f ca="1">'Index Data'!U547</f>
        <v>4.709006357903163E-2</v>
      </c>
      <c r="R438" s="24"/>
      <c r="S438" s="23">
        <f t="shared" ca="1" si="48"/>
        <v>3.1528897953670629E-2</v>
      </c>
      <c r="T438" s="2">
        <f t="shared" ca="1" si="43"/>
        <v>5.9865319744190376E-2</v>
      </c>
      <c r="U438" s="2">
        <f t="shared" ca="1" si="44"/>
        <v>5.9865319744190376E-2</v>
      </c>
      <c r="V438" s="2">
        <f t="shared" ca="1" si="45"/>
        <v>5.9865319744190376E-2</v>
      </c>
      <c r="W438" s="2">
        <f t="shared" ca="1" si="46"/>
        <v>5.9865319744190376E-2</v>
      </c>
      <c r="X438" s="2">
        <v>4.4568782558363947E-2</v>
      </c>
      <c r="Y438" s="2">
        <f t="shared" ca="1" si="49"/>
        <v>5.9865319744190376E-2</v>
      </c>
      <c r="Z438" s="2">
        <f t="shared" ca="1" si="47"/>
        <v>5.6806012307025089E-2</v>
      </c>
    </row>
    <row r="439" spans="1:26">
      <c r="A439" s="22">
        <v>45473</v>
      </c>
      <c r="B439" s="25" t="s">
        <v>49</v>
      </c>
      <c r="C439" s="25" t="s">
        <v>46</v>
      </c>
      <c r="D439" s="25" t="s">
        <v>41</v>
      </c>
      <c r="E439" s="25" t="s">
        <v>41</v>
      </c>
      <c r="F439" s="25" t="s">
        <v>43</v>
      </c>
      <c r="H439" s="23">
        <f ca="1">'Index Data'!E548</f>
        <v>9.4710062121149546E-3</v>
      </c>
      <c r="I439" s="23">
        <f ca="1">'Index Data'!D548</f>
        <v>2.2633050800988239E-2</v>
      </c>
      <c r="J439" s="23">
        <f ca="1">'Index Data'!B548</f>
        <v>-1.5920274177181129E-2</v>
      </c>
      <c r="K439" s="23">
        <f ca="1">'Index Data'!C548</f>
        <v>4.0077396889493688E-2</v>
      </c>
      <c r="L439" s="23">
        <f ca="1">'Index Data'!AH548</f>
        <v>7.1999999999999998E-3</v>
      </c>
      <c r="M439" s="23">
        <f ca="1">'Index Data'!V548</f>
        <v>6.7431507052743284E-2</v>
      </c>
      <c r="N439" s="23">
        <f ca="1">'Index Data'!W548</f>
        <v>-9.4066294266606561E-3</v>
      </c>
      <c r="O439" s="23">
        <f ca="1">'Index Data'!R548</f>
        <v>3.8145357674015772E-2</v>
      </c>
      <c r="P439" s="23">
        <f ca="1">'Index Data'!S548</f>
        <v>1.7970864834962155E-2</v>
      </c>
      <c r="Q439" s="23">
        <f ca="1">'Index Data'!U548</f>
        <v>3.3096634006175261E-2</v>
      </c>
      <c r="R439" s="24"/>
      <c r="S439" s="23">
        <f t="shared" ca="1" si="48"/>
        <v>1.7368232965438924E-2</v>
      </c>
      <c r="T439" s="2">
        <f t="shared" ca="1" si="43"/>
        <v>6.7431507052743284E-2</v>
      </c>
      <c r="U439" s="2">
        <f t="shared" ca="1" si="44"/>
        <v>6.7431507052743284E-2</v>
      </c>
      <c r="V439" s="2">
        <f t="shared" ca="1" si="45"/>
        <v>6.7431507052743284E-2</v>
      </c>
      <c r="W439" s="2">
        <f t="shared" ca="1" si="46"/>
        <v>6.7431507052743284E-2</v>
      </c>
      <c r="X439" s="2">
        <v>-2.6236656028732139E-2</v>
      </c>
      <c r="Y439" s="2">
        <f t="shared" ca="1" si="49"/>
        <v>6.7431507052743284E-2</v>
      </c>
      <c r="Z439" s="2">
        <f t="shared" ca="1" si="47"/>
        <v>4.8697874436448199E-2</v>
      </c>
    </row>
    <row r="440" spans="1:26">
      <c r="A440" s="22">
        <v>45504</v>
      </c>
      <c r="B440" s="25" t="s">
        <v>49</v>
      </c>
      <c r="C440" s="25" t="s">
        <v>46</v>
      </c>
      <c r="D440" s="25" t="s">
        <v>41</v>
      </c>
      <c r="E440" s="25" t="s">
        <v>41</v>
      </c>
      <c r="F440" s="25" t="s">
        <v>43</v>
      </c>
      <c r="H440" s="23">
        <f ca="1">'Index Data'!E549</f>
        <v>2.3357541821366457E-2</v>
      </c>
      <c r="I440" s="23">
        <f ca="1">'Index Data'!D549</f>
        <v>1.6403440357034567E-2</v>
      </c>
      <c r="J440" s="23">
        <f ca="1">'Index Data'!B549</f>
        <v>2.9451379400306756E-2</v>
      </c>
      <c r="K440" s="23">
        <f ca="1">'Index Data'!C549</f>
        <v>3.6750095831588965E-3</v>
      </c>
      <c r="L440" s="23">
        <f ca="1">'Index Data'!AH549</f>
        <v>3.7100000000000001E-2</v>
      </c>
      <c r="M440" s="23">
        <f ca="1">'Index Data'!V549</f>
        <v>-1.7010181835719621E-2</v>
      </c>
      <c r="N440" s="23">
        <f ca="1">'Index Data'!W549</f>
        <v>5.1121818855292628E-2</v>
      </c>
      <c r="O440" s="23">
        <f ca="1">'Index Data'!R549</f>
        <v>-2.0987153854630857E-2</v>
      </c>
      <c r="P440" s="23">
        <f ca="1">'Index Data'!S549</f>
        <v>3.7360681798750017E-2</v>
      </c>
      <c r="Q440" s="23">
        <f ca="1">'Index Data'!U549</f>
        <v>1.455299098326758E-2</v>
      </c>
      <c r="R440" s="24"/>
      <c r="S440" s="23">
        <f t="shared" ca="1" si="48"/>
        <v>1.9185080942767323E-2</v>
      </c>
      <c r="T440" s="2">
        <f t="shared" ca="1" si="43"/>
        <v>-1.7010181835719621E-2</v>
      </c>
      <c r="U440" s="2">
        <f t="shared" ca="1" si="44"/>
        <v>-1.7010181835719621E-2</v>
      </c>
      <c r="V440" s="2">
        <f t="shared" ca="1" si="45"/>
        <v>-1.7010181835719621E-2</v>
      </c>
      <c r="W440" s="2">
        <f t="shared" ca="1" si="46"/>
        <v>-1.7010181835719625E-2</v>
      </c>
      <c r="X440" s="2">
        <v>-3.8483520670603948E-2</v>
      </c>
      <c r="Y440" s="2">
        <f t="shared" ca="1" si="49"/>
        <v>-1.7010181835719625E-2</v>
      </c>
      <c r="Z440" s="2">
        <f t="shared" ca="1" si="47"/>
        <v>-2.1304849602696484E-2</v>
      </c>
    </row>
    <row r="441" spans="1:26">
      <c r="A441" s="22">
        <v>45535</v>
      </c>
      <c r="B441" s="25" t="s">
        <v>49</v>
      </c>
      <c r="C441" s="25" t="s">
        <v>46</v>
      </c>
      <c r="D441" s="25" t="s">
        <v>41</v>
      </c>
      <c r="E441" s="25" t="s">
        <v>41</v>
      </c>
      <c r="F441" s="25" t="s">
        <v>43</v>
      </c>
      <c r="H441" s="23">
        <f ca="1">'Index Data'!E550</f>
        <v>1.4366547248915429E-2</v>
      </c>
      <c r="I441" s="23">
        <f ca="1">'Index Data'!D550</f>
        <v>2.5738487460873476E-2</v>
      </c>
      <c r="J441" s="23">
        <f ca="1">'Index Data'!B550</f>
        <v>3.2628407615843805E-2</v>
      </c>
      <c r="K441" s="23">
        <f ca="1">'Index Data'!C550</f>
        <v>1.6478741967357935E-2</v>
      </c>
      <c r="L441" s="23">
        <f ca="1">'Index Data'!AH550</f>
        <v>3.2099999999999997E-2</v>
      </c>
      <c r="M441" s="23">
        <f ca="1">'Index Data'!V550</f>
        <v>2.082766094530521E-2</v>
      </c>
      <c r="N441" s="23">
        <f ca="1">'Index Data'!W550</f>
        <v>2.6825059193533091E-2</v>
      </c>
      <c r="O441" s="23">
        <f ca="1">'Index Data'!R550</f>
        <v>2.8880227857922526E-2</v>
      </c>
      <c r="P441" s="23">
        <f ca="1">'Index Data'!S550</f>
        <v>4.9462308511143541E-2</v>
      </c>
      <c r="Q441" s="23">
        <f ca="1">'Index Data'!U550</f>
        <v>2.3703620141851324E-2</v>
      </c>
      <c r="R441" s="24"/>
      <c r="S441" s="23">
        <f t="shared" ca="1" si="48"/>
        <v>2.1189711376090256E-2</v>
      </c>
      <c r="T441" s="2">
        <f t="shared" ca="1" si="43"/>
        <v>2.082766094530521E-2</v>
      </c>
      <c r="U441" s="2">
        <f t="shared" ca="1" si="44"/>
        <v>2.082766094530521E-2</v>
      </c>
      <c r="V441" s="2">
        <f t="shared" ca="1" si="45"/>
        <v>2.082766094530521E-2</v>
      </c>
      <c r="W441" s="2">
        <f t="shared" ca="1" si="46"/>
        <v>2.082766094530521E-2</v>
      </c>
      <c r="X441" s="2">
        <v>3.5070338815137728E-2</v>
      </c>
      <c r="Y441" s="2">
        <f t="shared" ca="1" si="49"/>
        <v>2.082766094530521E-2</v>
      </c>
      <c r="Z441" s="2">
        <f t="shared" ca="1" si="47"/>
        <v>2.3676196519271716E-2</v>
      </c>
    </row>
    <row r="442" spans="1:26">
      <c r="A442" s="22">
        <v>45565</v>
      </c>
      <c r="B442" s="25" t="s">
        <v>49</v>
      </c>
      <c r="C442" s="25" t="s">
        <v>46</v>
      </c>
      <c r="D442" s="25" t="s">
        <v>41</v>
      </c>
      <c r="E442" s="25" t="s">
        <v>41</v>
      </c>
      <c r="F442" s="25" t="s">
        <v>43</v>
      </c>
      <c r="H442" s="23">
        <f ca="1">'Index Data'!E551</f>
        <v>1.3391194302459756E-2</v>
      </c>
      <c r="I442" s="23">
        <f ca="1">'Index Data'!D551</f>
        <v>2.3609452300812527E-2</v>
      </c>
      <c r="J442" s="23">
        <f ca="1">'Index Data'!B551</f>
        <v>9.6545171992665126E-3</v>
      </c>
      <c r="K442" s="23">
        <f ca="1">'Index Data'!C551</f>
        <v>6.7197286462300915E-2</v>
      </c>
      <c r="L442" s="23">
        <f ca="1">'Index Data'!AH551</f>
        <v>5.2499999999999998E-2</v>
      </c>
      <c r="M442" s="23">
        <f ca="1">'Index Data'!V551</f>
        <v>2.8330626526704945E-2</v>
      </c>
      <c r="N442" s="23">
        <f ca="1">'Index Data'!W551</f>
        <v>1.3879714719419596E-2</v>
      </c>
      <c r="O442" s="23">
        <f ca="1">'Index Data'!R551</f>
        <v>3.0781192917746933E-2</v>
      </c>
      <c r="P442" s="23">
        <f ca="1">'Index Data'!S551</f>
        <v>4.3754034968618615E-3</v>
      </c>
      <c r="Q442" s="23">
        <f ca="1">'Index Data'!U551</f>
        <v>2.1381749077494724E-2</v>
      </c>
      <c r="R442" s="24"/>
      <c r="S442" s="23">
        <f t="shared" ca="1" si="48"/>
        <v>1.9522149101471417E-2</v>
      </c>
      <c r="T442" s="2">
        <f t="shared" ca="1" si="43"/>
        <v>2.8330626526704945E-2</v>
      </c>
      <c r="U442" s="2">
        <f t="shared" ca="1" si="44"/>
        <v>2.8330626526704945E-2</v>
      </c>
      <c r="V442" s="2">
        <f t="shared" ca="1" si="45"/>
        <v>2.8330626526704945E-2</v>
      </c>
      <c r="W442" s="2">
        <f t="shared" ca="1" si="46"/>
        <v>2.8330626526704945E-2</v>
      </c>
      <c r="X442" s="2">
        <v>1.643501850820021E-2</v>
      </c>
      <c r="Y442" s="2">
        <f t="shared" ca="1" si="49"/>
        <v>2.8330626526704945E-2</v>
      </c>
      <c r="Z442" s="2">
        <f t="shared" ca="1" si="47"/>
        <v>2.5951504923004E-2</v>
      </c>
    </row>
    <row r="443" spans="1:26">
      <c r="A443" s="22">
        <v>45596</v>
      </c>
      <c r="B443" s="25" t="s">
        <v>49</v>
      </c>
      <c r="C443" s="25" t="s">
        <v>46</v>
      </c>
      <c r="D443" s="25" t="s">
        <v>41</v>
      </c>
      <c r="E443" s="25" t="s">
        <v>41</v>
      </c>
      <c r="F443" s="25" t="s">
        <v>43</v>
      </c>
      <c r="H443" s="23">
        <f ca="1">'Index Data'!E552</f>
        <v>-2.4798841539830929E-2</v>
      </c>
      <c r="I443" s="23">
        <f ca="1">'Index Data'!D552</f>
        <v>-2.2116341589552734E-2</v>
      </c>
      <c r="J443" s="23">
        <f ca="1">'Index Data'!B552</f>
        <v>-5.4247865705695279E-2</v>
      </c>
      <c r="K443" s="23">
        <f ca="1">'Index Data'!C552</f>
        <v>-4.3233902356304185E-2</v>
      </c>
      <c r="L443" s="23">
        <f ca="1">'Index Data'!AH552</f>
        <v>4.2900000000000001E-2</v>
      </c>
      <c r="M443" s="23">
        <f ca="1">'Index Data'!V552</f>
        <v>-3.3091672870606235E-3</v>
      </c>
      <c r="N443" s="23">
        <f ca="1">'Index Data'!W552</f>
        <v>-1.1005822557898056E-2</v>
      </c>
      <c r="O443" s="23">
        <f ca="1">'Index Data'!R552</f>
        <v>-2.2307425510825706E-3</v>
      </c>
      <c r="P443" s="23">
        <f ca="1">'Index Data'!S552</f>
        <v>-1.447784852067239E-2</v>
      </c>
      <c r="Q443" s="23">
        <f ca="1">'Index Data'!U552</f>
        <v>-6.9873769193659202E-3</v>
      </c>
      <c r="R443" s="24"/>
      <c r="S443" s="23">
        <f t="shared" ca="1" si="48"/>
        <v>-2.3189341569664013E-2</v>
      </c>
      <c r="T443" s="2">
        <f t="shared" ca="1" si="43"/>
        <v>-3.3091672870606235E-3</v>
      </c>
      <c r="U443" s="2">
        <f t="shared" ca="1" si="44"/>
        <v>-3.3091672870606235E-3</v>
      </c>
      <c r="V443" s="2">
        <f t="shared" ca="1" si="45"/>
        <v>-3.3091672870606235E-3</v>
      </c>
      <c r="W443" s="2">
        <f t="shared" ca="1" si="46"/>
        <v>-3.3091672870606235E-3</v>
      </c>
      <c r="X443" s="2">
        <v>-8.6808831855066867E-3</v>
      </c>
      <c r="Y443" s="2">
        <f t="shared" ca="1" si="49"/>
        <v>-3.3091672870606235E-3</v>
      </c>
      <c r="Z443" s="2">
        <f t="shared" ca="1" si="47"/>
        <v>-4.3835104667498369E-3</v>
      </c>
    </row>
    <row r="444" spans="1:26">
      <c r="A444" s="22">
        <v>45626</v>
      </c>
      <c r="B444" s="25" t="s">
        <v>49</v>
      </c>
      <c r="C444" s="25" t="s">
        <v>46</v>
      </c>
      <c r="D444" s="25" t="s">
        <v>41</v>
      </c>
      <c r="E444" s="25" t="s">
        <v>41</v>
      </c>
      <c r="F444" s="25" t="s">
        <v>43</v>
      </c>
      <c r="H444" s="23">
        <f ca="1">'Index Data'!E553</f>
        <v>1.0571390946202948E-2</v>
      </c>
      <c r="I444" s="23">
        <f ca="1">'Index Data'!D553</f>
        <v>3.7730903851822858E-2</v>
      </c>
      <c r="J444" s="23">
        <f ca="1">'Index Data'!B553</f>
        <v>-5.5070761703298436E-3</v>
      </c>
      <c r="K444" s="23">
        <f ca="1">'Index Data'!C553</f>
        <v>-3.5836062253131254E-2</v>
      </c>
      <c r="L444" s="23">
        <f ca="1">'Index Data'!AH553</f>
        <v>-3.3599999999999998E-2</v>
      </c>
      <c r="M444" s="23">
        <f ca="1">'Index Data'!V553</f>
        <v>6.4860240985585543E-2</v>
      </c>
      <c r="N444" s="23">
        <f ca="1">'Index Data'!W553</f>
        <v>6.3858961944347217E-2</v>
      </c>
      <c r="O444" s="23">
        <f ca="1">'Index Data'!R553</f>
        <v>5.1507265647259923E-2</v>
      </c>
      <c r="P444" s="23">
        <f ca="1">'Index Data'!S553</f>
        <v>5.0367935794128085E-2</v>
      </c>
      <c r="Q444" s="23">
        <f ca="1">'Index Data'!U553</f>
        <v>6.4378995532076613E-2</v>
      </c>
      <c r="R444" s="24"/>
      <c r="S444" s="23">
        <f t="shared" ca="1" si="48"/>
        <v>2.6867098689574893E-2</v>
      </c>
      <c r="T444" s="2">
        <f t="shared" ca="1" si="43"/>
        <v>6.4860240985585543E-2</v>
      </c>
      <c r="U444" s="2">
        <f t="shared" ca="1" si="44"/>
        <v>6.4860240985585543E-2</v>
      </c>
      <c r="V444" s="2">
        <f t="shared" ca="1" si="45"/>
        <v>6.4860240985585543E-2</v>
      </c>
      <c r="W444" s="2">
        <f t="shared" ca="1" si="46"/>
        <v>6.4860240985585543E-2</v>
      </c>
      <c r="X444" s="2">
        <v>5.7681324957167324E-2</v>
      </c>
      <c r="Y444" s="2">
        <f t="shared" ca="1" si="49"/>
        <v>6.4860240985585543E-2</v>
      </c>
      <c r="Z444" s="2">
        <f t="shared" ca="1" si="47"/>
        <v>6.3424457779901897E-2</v>
      </c>
    </row>
    <row r="445" spans="1:26">
      <c r="A445" s="22">
        <v>45657</v>
      </c>
      <c r="B445" s="25" t="s">
        <v>49</v>
      </c>
      <c r="C445" s="25" t="s">
        <v>46</v>
      </c>
      <c r="D445" s="25" t="s">
        <v>41</v>
      </c>
      <c r="E445" s="25" t="s">
        <v>41</v>
      </c>
      <c r="F445" s="25" t="s">
        <v>43</v>
      </c>
      <c r="H445" s="23">
        <f ca="1">'Index Data'!E554</f>
        <v>-1.6365229504145058E-2</v>
      </c>
      <c r="I445" s="23">
        <f ca="1">'Index Data'!D554</f>
        <v>-2.3342127308418361E-2</v>
      </c>
      <c r="J445" s="23">
        <f ca="1">'Index Data'!B554</f>
        <v>-2.2530497820802058E-2</v>
      </c>
      <c r="K445" s="23">
        <f ca="1">'Index Data'!C554</f>
        <v>-9.1738300740555373E-4</v>
      </c>
      <c r="L445" s="23">
        <f ca="1">'Index Data'!AH554</f>
        <v>-6.0000000000000001E-3</v>
      </c>
      <c r="M445" s="23">
        <f ca="1">'Index Data'!V554</f>
        <v>8.8272648810985583E-3</v>
      </c>
      <c r="N445" s="23">
        <f ca="1">'Index Data'!W554</f>
        <v>-6.8392732741215642E-2</v>
      </c>
      <c r="O445" s="23">
        <f ca="1">'Index Data'!R554</f>
        <v>-3.3692459435731278E-2</v>
      </c>
      <c r="P445" s="23">
        <f ca="1">'Index Data'!S554</f>
        <v>-5.5843198107192522E-2</v>
      </c>
      <c r="Q445" s="23">
        <f ca="1">'Index Data'!U554</f>
        <v>-2.7879574030231221E-2</v>
      </c>
      <c r="R445" s="24"/>
      <c r="S445" s="23">
        <f t="shared" ca="1" si="48"/>
        <v>-2.0551368186709038E-2</v>
      </c>
      <c r="T445" s="2">
        <f t="shared" ca="1" si="43"/>
        <v>8.8272648810985583E-3</v>
      </c>
      <c r="U445" s="2">
        <f t="shared" ca="1" si="44"/>
        <v>8.8272648810985583E-3</v>
      </c>
      <c r="V445" s="2">
        <f t="shared" ca="1" si="45"/>
        <v>8.8272648810985583E-3</v>
      </c>
      <c r="W445" s="2">
        <f t="shared" ca="1" si="46"/>
        <v>8.8272648810985583E-3</v>
      </c>
      <c r="X445" s="2">
        <v>-2.2575923719055792E-2</v>
      </c>
      <c r="Y445" s="2">
        <f t="shared" ca="1" si="49"/>
        <v>8.8272648810985583E-3</v>
      </c>
      <c r="Z445" s="2">
        <f t="shared" ca="1" si="47"/>
        <v>2.5466271610676884E-3</v>
      </c>
    </row>
    <row r="446" spans="1:26">
      <c r="A446" s="22">
        <v>45688</v>
      </c>
      <c r="B446" s="25" t="s">
        <v>49</v>
      </c>
      <c r="C446" s="25" t="s">
        <v>46</v>
      </c>
      <c r="D446" s="25" t="s">
        <v>41</v>
      </c>
      <c r="E446" s="25" t="s">
        <v>41</v>
      </c>
      <c r="F446" s="25" t="s">
        <v>43</v>
      </c>
      <c r="H446" s="23">
        <f ca="1">'Index Data'!E555</f>
        <v>5.3037189988258135E-3</v>
      </c>
      <c r="I446" s="23">
        <f ca="1">'Index Data'!D555</f>
        <v>3.378937865212206E-2</v>
      </c>
      <c r="J446" s="23">
        <f ca="1">'Index Data'!B555</f>
        <v>5.2644079311176269E-2</v>
      </c>
      <c r="K446" s="23">
        <f ca="1">'Index Data'!C555</f>
        <v>1.8073619244882353E-2</v>
      </c>
      <c r="L446" s="23">
        <f ca="1">'Index Data'!AH555</f>
        <v>6.4899999999999999E-2</v>
      </c>
      <c r="M446" s="23">
        <f ca="1">'Index Data'!V555</f>
        <v>1.9780258787981449E-2</v>
      </c>
      <c r="N446" s="23">
        <f ca="1">'Index Data'!W555</f>
        <v>4.6285150746895605E-2</v>
      </c>
      <c r="O446" s="23">
        <f ca="1">'Index Data'!R555</f>
        <v>5.4492769879326754E-2</v>
      </c>
      <c r="P446" s="23">
        <f ca="1">'Index Data'!S555</f>
        <v>3.5971496179376151E-2</v>
      </c>
      <c r="Q446" s="23">
        <f ca="1">'Index Data'!U555</f>
        <v>3.1831750917180497E-2</v>
      </c>
      <c r="R446" s="24"/>
      <c r="S446" s="23">
        <f t="shared" ca="1" si="48"/>
        <v>2.2395114790803562E-2</v>
      </c>
      <c r="T446" s="2">
        <f t="shared" ca="1" si="43"/>
        <v>1.9780258787981449E-2</v>
      </c>
      <c r="U446" s="2">
        <f t="shared" ca="1" si="44"/>
        <v>1.9780258787981449E-2</v>
      </c>
      <c r="V446" s="2">
        <f t="shared" ca="1" si="45"/>
        <v>1.9780258787981449E-2</v>
      </c>
      <c r="W446" s="2">
        <f t="shared" ca="1" si="46"/>
        <v>1.9780258787981449E-2</v>
      </c>
      <c r="X446" s="2">
        <v>3.780195463765456E-2</v>
      </c>
      <c r="Y446" s="2">
        <f t="shared" ca="1" si="49"/>
        <v>1.9780258787981449E-2</v>
      </c>
      <c r="Z446" s="2">
        <f t="shared" ca="1" si="47"/>
        <v>2.3384597957916073E-2</v>
      </c>
    </row>
    <row r="447" spans="1:26">
      <c r="A447" s="22">
        <v>45716</v>
      </c>
      <c r="B447" s="25" t="s">
        <v>49</v>
      </c>
      <c r="C447" s="25" t="s">
        <v>46</v>
      </c>
      <c r="D447" s="25" t="s">
        <v>41</v>
      </c>
      <c r="E447" s="25" t="s">
        <v>41</v>
      </c>
      <c r="F447" s="25" t="s">
        <v>43</v>
      </c>
      <c r="H447" s="23">
        <f ca="1">'Index Data'!E556</f>
        <v>2.2002690126508687E-2</v>
      </c>
      <c r="I447" s="23">
        <f ca="1">'Index Data'!D556</f>
        <v>-5.7440433289891422E-3</v>
      </c>
      <c r="J447" s="23">
        <f ca="1">'Index Data'!B556</f>
        <v>1.9513918748057562E-2</v>
      </c>
      <c r="K447" s="23">
        <f ca="1">'Index Data'!C556</f>
        <v>5.0294330269545001E-3</v>
      </c>
      <c r="L447" s="23">
        <f ca="1">'Index Data'!AH556</f>
        <v>1.2800000000000001E-2</v>
      </c>
      <c r="M447" s="23">
        <f ca="1">'Index Data'!V556</f>
        <v>-3.5926883247919157E-2</v>
      </c>
      <c r="N447" s="23">
        <f ca="1">'Index Data'!W556</f>
        <v>4.060419433172347E-3</v>
      </c>
      <c r="O447" s="23">
        <f ca="1">'Index Data'!R556</f>
        <v>-4.634225903443639E-3</v>
      </c>
      <c r="P447" s="23">
        <f ca="1">'Index Data'!S556</f>
        <v>2.8027205185530348E-2</v>
      </c>
      <c r="Q447" s="23">
        <f ca="1">'Index Data'!U556</f>
        <v>-1.7491141143591592E-2</v>
      </c>
      <c r="R447" s="24"/>
      <c r="S447" s="23">
        <f t="shared" ca="1" si="48"/>
        <v>5.354650053209991E-3</v>
      </c>
      <c r="T447" s="2">
        <f t="shared" ca="1" si="43"/>
        <v>-3.5926883247919157E-2</v>
      </c>
      <c r="U447" s="2">
        <f t="shared" ca="1" si="44"/>
        <v>-3.5926883247919157E-2</v>
      </c>
      <c r="V447" s="2">
        <f t="shared" ca="1" si="45"/>
        <v>-3.5926883247919157E-2</v>
      </c>
      <c r="W447" s="2">
        <f t="shared" ca="1" si="46"/>
        <v>-3.5926883247919157E-2</v>
      </c>
      <c r="X447" s="2">
        <v>-3.5536602700793839E-4</v>
      </c>
      <c r="Y447" s="2">
        <f t="shared" ca="1" si="49"/>
        <v>-3.5926883247919157E-2</v>
      </c>
      <c r="Z447" s="2">
        <f t="shared" ca="1" si="47"/>
        <v>-2.8812579803736915E-2</v>
      </c>
    </row>
    <row r="448" spans="1:26">
      <c r="A448" s="22">
        <v>45747</v>
      </c>
      <c r="B448" s="25" t="s">
        <v>49</v>
      </c>
      <c r="C448" s="25" t="s">
        <v>46</v>
      </c>
      <c r="D448" s="25" t="s">
        <v>41</v>
      </c>
      <c r="E448" s="25" t="s">
        <v>41</v>
      </c>
      <c r="F448" s="25" t="s">
        <v>43</v>
      </c>
      <c r="H448" s="23">
        <f ca="1">'Index Data'!E557</f>
        <v>3.7793567090247001E-4</v>
      </c>
      <c r="I448" s="23">
        <f ca="1">'Index Data'!D557</f>
        <v>-3.8965399904642865E-2</v>
      </c>
      <c r="J448" s="23">
        <f ca="1">'Index Data'!B557</f>
        <v>-2.9096035289382072E-3</v>
      </c>
      <c r="K448" s="23">
        <f ca="1">'Index Data'!C557</f>
        <v>6.7100301077919547E-3</v>
      </c>
      <c r="L448" s="23">
        <f ca="1">'Index Data'!AH557</f>
        <v>9.6300000000000011E-2</v>
      </c>
      <c r="M448" s="23">
        <f ca="1">'Index Data'!V557</f>
        <v>-8.4239493056360207E-2</v>
      </c>
      <c r="N448" s="23">
        <f ca="1">'Index Data'!W557</f>
        <v>-2.7772210011869532E-2</v>
      </c>
      <c r="O448" s="23">
        <f ca="1">'Index Data'!R557</f>
        <v>-6.5133137412057993E-2</v>
      </c>
      <c r="P448" s="23">
        <f ca="1">'Index Data'!S557</f>
        <v>-5.9919733531623252E-3</v>
      </c>
      <c r="Q448" s="23">
        <f ca="1">'Index Data'!U557</f>
        <v>-5.7873604887267234E-2</v>
      </c>
      <c r="R448" s="24"/>
      <c r="S448" s="23">
        <f t="shared" ca="1" si="48"/>
        <v>-2.322806567442473E-2</v>
      </c>
      <c r="T448" s="2">
        <f t="shared" ca="1" si="43"/>
        <v>-8.4239493056360207E-2</v>
      </c>
      <c r="U448" s="2">
        <f t="shared" ca="1" si="44"/>
        <v>-8.4239493056360207E-2</v>
      </c>
      <c r="V448" s="2">
        <f t="shared" ca="1" si="45"/>
        <v>-8.4239493056360207E-2</v>
      </c>
      <c r="W448" s="2">
        <f t="shared" ca="1" si="46"/>
        <v>-8.4239493056360207E-2</v>
      </c>
      <c r="X448" s="2">
        <v>-5.0391410231869355E-2</v>
      </c>
      <c r="Y448" s="2">
        <f t="shared" ca="1" si="49"/>
        <v>-8.4239493056360207E-2</v>
      </c>
      <c r="Z448" s="2">
        <f t="shared" ca="1" si="47"/>
        <v>-7.7469876491462045E-2</v>
      </c>
    </row>
    <row r="449" spans="1:26">
      <c r="A449" s="22">
        <v>45777</v>
      </c>
      <c r="B449" s="25" t="s">
        <v>49</v>
      </c>
      <c r="C449" s="25" t="s">
        <v>46</v>
      </c>
      <c r="D449" s="25" t="s">
        <v>41</v>
      </c>
      <c r="E449" s="25" t="s">
        <v>41</v>
      </c>
      <c r="F449" s="25" t="s">
        <v>43</v>
      </c>
      <c r="H449" s="23">
        <f ca="1">'Index Data'!E558</f>
        <v>3.9290460507309831E-3</v>
      </c>
      <c r="I449" s="23">
        <f ca="1">'Index Data'!D558</f>
        <v>9.7756327178093964E-3</v>
      </c>
      <c r="J449" s="23">
        <f ca="1">'Index Data'!B558</f>
        <v>4.6898896920255E-2</v>
      </c>
      <c r="K449" s="23">
        <f ca="1">'Index Data'!C558</f>
        <v>1.3442890680820734E-2</v>
      </c>
      <c r="L449" s="23">
        <f ca="1">'Index Data'!AH558</f>
        <v>6.2899999999999998E-2</v>
      </c>
      <c r="M449" s="23">
        <f ca="1">'Index Data'!V558</f>
        <v>1.7710723429852266E-2</v>
      </c>
      <c r="N449" s="23">
        <f ca="1">'Index Data'!W558</f>
        <v>-3.0478751535034758E-2</v>
      </c>
      <c r="O449" s="23">
        <f ca="1">'Index Data'!R558</f>
        <v>2.5990653119468823E-2</v>
      </c>
      <c r="P449" s="23">
        <f ca="1">'Index Data'!S558</f>
        <v>-1.1832022933911279E-2</v>
      </c>
      <c r="Q449" s="23">
        <f ca="1">'Index Data'!U558</f>
        <v>-5.9517728525104556E-3</v>
      </c>
      <c r="R449" s="24"/>
      <c r="S449" s="23">
        <f t="shared" ca="1" si="48"/>
        <v>7.436998050978031E-3</v>
      </c>
      <c r="T449" s="2">
        <f t="shared" ca="1" si="43"/>
        <v>1.7710723429852266E-2</v>
      </c>
      <c r="U449" s="2">
        <f t="shared" ca="1" si="44"/>
        <v>1.7710723429852266E-2</v>
      </c>
      <c r="V449" s="2">
        <f t="shared" ca="1" si="45"/>
        <v>1.7710723429852266E-2</v>
      </c>
      <c r="W449" s="2">
        <f t="shared" ca="1" si="46"/>
        <v>1.7710723429852266E-2</v>
      </c>
      <c r="X449" s="2">
        <v>4.877133746013943E-3</v>
      </c>
      <c r="Y449" s="2">
        <f t="shared" ca="1" si="49"/>
        <v>1.7710723429852266E-2</v>
      </c>
      <c r="Z449" s="2">
        <f t="shared" ca="1" si="47"/>
        <v>1.5144005493084603E-2</v>
      </c>
    </row>
    <row r="450" spans="1:26">
      <c r="A450" s="22">
        <v>45808</v>
      </c>
      <c r="B450" s="25" t="s">
        <v>49</v>
      </c>
      <c r="C450" s="25" t="s">
        <v>46</v>
      </c>
      <c r="D450" s="25" t="s">
        <v>32</v>
      </c>
      <c r="E450" s="25" t="s">
        <v>41</v>
      </c>
      <c r="F450" s="25" t="s">
        <v>43</v>
      </c>
      <c r="H450" s="23">
        <f ca="1">'Index Data'!E559</f>
        <v>-7.1588267847260975E-3</v>
      </c>
      <c r="I450" s="23">
        <f ca="1">'Index Data'!D559</f>
        <v>5.8134227864035791E-2</v>
      </c>
      <c r="J450" s="23">
        <f ca="1">'Index Data'!B559</f>
        <v>4.7207670226349724E-2</v>
      </c>
      <c r="K450" s="23">
        <f ca="1">'Index Data'!C559</f>
        <v>4.3063710925565941E-2</v>
      </c>
      <c r="L450" s="23">
        <f ca="1">'Index Data'!AH559</f>
        <v>-9.1000000000000004E-3</v>
      </c>
      <c r="M450" s="23">
        <f ca="1">'Index Data'!V559</f>
        <v>8.8480527336801937E-2</v>
      </c>
      <c r="N450" s="23">
        <f ca="1">'Index Data'!W559</f>
        <v>3.5115137874401119E-2</v>
      </c>
      <c r="O450" s="23">
        <f ca="1">'Index Data'!R559</f>
        <v>8.412082677991474E-2</v>
      </c>
      <c r="P450" s="23">
        <f ca="1">'Index Data'!S559</f>
        <v>1.1184264253520327E-2</v>
      </c>
      <c r="Q450" s="23">
        <f ca="1">'Index Data'!U559</f>
        <v>6.3837867841924495E-2</v>
      </c>
      <c r="R450" s="24"/>
      <c r="S450" s="23">
        <f t="shared" ca="1" si="48"/>
        <v>3.2017006004531029E-2</v>
      </c>
      <c r="T450" s="2">
        <f t="shared" ref="T450:T463" ca="1" si="50">IF(C450="R1G",M450,N450)</f>
        <v>8.8480527336801937E-2</v>
      </c>
      <c r="U450" s="2">
        <f t="shared" ref="U450:U463" ca="1" si="51">IF(E450="EAFE",J450,T450)</f>
        <v>8.8480527336801937E-2</v>
      </c>
      <c r="V450" s="2">
        <f t="shared" ref="V450:V463" ca="1" si="52">IF(D450="EM",K450,T450)</f>
        <v>4.3063710925565941E-2</v>
      </c>
      <c r="W450" s="2">
        <f t="shared" ref="W450:W463" ca="1" si="53">IF(F450="MTM",O450,IF(F450="MVL",P450,Y450))</f>
        <v>8.3938845695678332E-2</v>
      </c>
      <c r="X450" s="2">
        <v>5.077468732499528E-2</v>
      </c>
      <c r="Y450" s="2">
        <f t="shared" ca="1" si="49"/>
        <v>8.3938845695678332E-2</v>
      </c>
      <c r="Z450" s="2">
        <f t="shared" ref="Z450:Z463" ca="1" si="54">0.2*X450+0.075*W450+0.1*V450+0.25*U450+0.375*T450</f>
        <v>7.6057051570232737E-2</v>
      </c>
    </row>
    <row r="451" spans="1:26">
      <c r="A451" s="22">
        <v>45838</v>
      </c>
      <c r="B451" s="25" t="s">
        <v>49</v>
      </c>
      <c r="C451" s="25" t="s">
        <v>46</v>
      </c>
      <c r="D451" s="25" t="s">
        <v>32</v>
      </c>
      <c r="E451" s="25" t="s">
        <v>41</v>
      </c>
      <c r="F451" s="25" t="s">
        <v>43</v>
      </c>
      <c r="H451" s="23">
        <f ca="1">'Index Data'!E560</f>
        <v>1.5375148266728509E-2</v>
      </c>
      <c r="I451" s="23">
        <f ca="1">'Index Data'!D560</f>
        <v>4.5330272144654786E-2</v>
      </c>
      <c r="J451" s="23">
        <f ca="1">'Index Data'!B560</f>
        <v>2.2242595096758518E-2</v>
      </c>
      <c r="K451" s="23">
        <f ca="1">'Index Data'!C560</f>
        <v>6.1386342568750578E-2</v>
      </c>
      <c r="L451" s="23">
        <f ca="1">'Index Data'!AH560</f>
        <v>5.6999999999999993E-3</v>
      </c>
      <c r="M451" s="23">
        <f ca="1">'Index Data'!V560</f>
        <v>6.375702786085867E-2</v>
      </c>
      <c r="N451" s="23">
        <f ca="1">'Index Data'!W560</f>
        <v>3.4182919365724096E-2</v>
      </c>
      <c r="O451" s="23">
        <f ca="1">'Index Data'!R560</f>
        <v>3.406848639315968E-2</v>
      </c>
      <c r="P451" s="23">
        <f ca="1">'Index Data'!S560</f>
        <v>7.0404028361593755E-3</v>
      </c>
      <c r="Q451" s="23">
        <f ca="1">'Index Data'!U560</f>
        <v>5.0640832002761677E-2</v>
      </c>
      <c r="R451" s="24"/>
      <c r="S451" s="23">
        <f t="shared" ref="S451:S462" ca="1" si="55">IF(B451="OW",0.8*I451+0.2*H451,IF(B451="NW",0.6*I451+0.4*H451,0.4*I451+0.6*H451))</f>
        <v>3.3348222593484272E-2</v>
      </c>
      <c r="T451" s="2">
        <f t="shared" ca="1" si="50"/>
        <v>6.375702786085867E-2</v>
      </c>
      <c r="U451" s="2">
        <f t="shared" ca="1" si="51"/>
        <v>6.375702786085867E-2</v>
      </c>
      <c r="V451" s="2">
        <f t="shared" ca="1" si="52"/>
        <v>6.1386342568750578E-2</v>
      </c>
      <c r="W451" s="2">
        <f t="shared" ca="1" si="53"/>
        <v>6.3519959331647863E-2</v>
      </c>
      <c r="X451" s="2">
        <v>2.8414408833850904E-2</v>
      </c>
      <c r="Y451" s="2">
        <f t="shared" ref="Y451:Y462" ca="1" si="56">0.25*U451+0.1*V451+0.65*T451</f>
        <v>6.3519959331647863E-2</v>
      </c>
      <c r="Z451" s="2">
        <f t="shared" ca="1" si="54"/>
        <v>5.6433655386555502E-2</v>
      </c>
    </row>
    <row r="452" spans="1:26">
      <c r="A452" s="22">
        <v>45869</v>
      </c>
      <c r="B452" s="25" t="s">
        <v>49</v>
      </c>
      <c r="C452" s="25" t="s">
        <v>46</v>
      </c>
      <c r="D452" s="25" t="s">
        <v>32</v>
      </c>
      <c r="E452" s="25" t="s">
        <v>41</v>
      </c>
      <c r="F452" s="25" t="s">
        <v>43</v>
      </c>
      <c r="H452" s="23">
        <f ca="1">'Index Data'!E561</f>
        <v>-2.6393683082570354E-3</v>
      </c>
      <c r="I452" s="23">
        <f ca="1">'Index Data'!D561</f>
        <v>1.3814793395411156E-2</v>
      </c>
      <c r="J452" s="23">
        <f ca="1">'Index Data'!B561</f>
        <v>-1.3934519343160668E-2</v>
      </c>
      <c r="K452" s="23">
        <f ca="1">'Index Data'!C561</f>
        <v>2.0157083939835108E-2</v>
      </c>
      <c r="L452" s="23">
        <f ca="1">'Index Data'!AH561</f>
        <v>-4.4000000000000003E-3</v>
      </c>
      <c r="M452" s="23">
        <f ca="1">'Index Data'!V561</f>
        <v>3.7752040855542755E-2</v>
      </c>
      <c r="N452" s="23">
        <f ca="1">'Index Data'!W561</f>
        <v>5.7419762264702438E-3</v>
      </c>
      <c r="O452" s="23">
        <f ca="1">'Index Data'!R561</f>
        <v>-4.411029063430715E-3</v>
      </c>
      <c r="P452" s="23">
        <f ca="1">'Index Data'!S561</f>
        <v>-1.3030178432992432E-2</v>
      </c>
      <c r="Q452" s="23">
        <f ca="1">'Index Data'!U561</f>
        <v>2.2221786592435455E-2</v>
      </c>
      <c r="S452" s="23">
        <f t="shared" ca="1" si="55"/>
        <v>7.2331287139438781E-3</v>
      </c>
      <c r="T452" s="2">
        <f t="shared" ca="1" si="50"/>
        <v>3.7752040855542755E-2</v>
      </c>
      <c r="U452" s="2">
        <f t="shared" ca="1" si="51"/>
        <v>3.7752040855542755E-2</v>
      </c>
      <c r="V452" s="2">
        <f t="shared" ca="1" si="52"/>
        <v>2.0157083939835108E-2</v>
      </c>
      <c r="W452" s="2">
        <f t="shared" ca="1" si="53"/>
        <v>3.599254516397199E-2</v>
      </c>
      <c r="X452" s="2">
        <v>7.4420214607129774E-3</v>
      </c>
      <c r="Y452" s="2">
        <f t="shared" ca="1" si="56"/>
        <v>3.599254516397199E-2</v>
      </c>
      <c r="Z452" s="2">
        <f t="shared" ca="1" si="54"/>
        <v>2.9798579108138226E-2</v>
      </c>
    </row>
    <row r="453" spans="1:26">
      <c r="A453" s="22">
        <v>45900</v>
      </c>
      <c r="B453" s="25" t="s">
        <v>49</v>
      </c>
      <c r="C453" s="25" t="s">
        <v>46</v>
      </c>
      <c r="D453" s="25" t="s">
        <v>32</v>
      </c>
      <c r="E453" s="25" t="s">
        <v>41</v>
      </c>
      <c r="F453" s="25" t="s">
        <v>43</v>
      </c>
      <c r="H453" s="23">
        <f ca="1">'Index Data'!E562</f>
        <v>1.1963629158318672E-2</v>
      </c>
      <c r="I453" s="23">
        <f ca="1">'Index Data'!D562</f>
        <v>2.5146662540185185E-2</v>
      </c>
      <c r="J453" s="23">
        <f ca="1">'Index Data'!B562</f>
        <v>4.2739004652876125E-2</v>
      </c>
      <c r="K453" s="23">
        <f ca="1">'Index Data'!C562</f>
        <v>1.4666757826085572E-2</v>
      </c>
      <c r="L453" s="23">
        <f ca="1">'Index Data'!AH562</f>
        <v>5.8899999999999994E-2</v>
      </c>
      <c r="M453" s="23">
        <f ca="1">'Index Data'!V562</f>
        <v>1.1179897446443592E-2</v>
      </c>
      <c r="N453" s="23">
        <f ca="1">'Index Data'!W562</f>
        <v>3.1870294363042492E-2</v>
      </c>
      <c r="O453" s="23">
        <f ca="1">'Index Data'!R562</f>
        <v>8.3720017103373432E-3</v>
      </c>
      <c r="P453" s="23">
        <f ca="1">'Index Data'!S562</f>
        <v>1.713990907038988E-2</v>
      </c>
      <c r="Q453" s="23">
        <f ca="1">'Index Data'!U562</f>
        <v>2.1047421535617936E-2</v>
      </c>
      <c r="S453" s="23">
        <f t="shared" ca="1" si="55"/>
        <v>1.987344918743858E-2</v>
      </c>
      <c r="T453" s="2">
        <f t="shared" ca="1" si="50"/>
        <v>1.1179897446443592E-2</v>
      </c>
      <c r="U453" s="2">
        <f t="shared" ca="1" si="51"/>
        <v>1.1179897446443592E-2</v>
      </c>
      <c r="V453" s="2">
        <f t="shared" ca="1" si="52"/>
        <v>1.4666757826085572E-2</v>
      </c>
      <c r="W453" s="2">
        <f t="shared" ca="1" si="53"/>
        <v>1.152858348440779E-2</v>
      </c>
      <c r="X453" s="2">
        <v>1.8725304930424257E-2</v>
      </c>
      <c r="Y453" s="2">
        <f t="shared" ca="1" si="56"/>
        <v>1.152858348440779E-2</v>
      </c>
      <c r="Z453" s="2">
        <f t="shared" ca="1" si="54"/>
        <v>1.3063816434051238E-2</v>
      </c>
    </row>
    <row r="454" spans="1:26">
      <c r="A454" s="22">
        <v>45930</v>
      </c>
      <c r="B454" s="25" t="s">
        <v>49</v>
      </c>
      <c r="C454" s="25" t="s">
        <v>46</v>
      </c>
      <c r="D454" s="25" t="s">
        <v>32</v>
      </c>
      <c r="E454" s="25" t="s">
        <v>41</v>
      </c>
      <c r="F454" s="25" t="s">
        <v>43</v>
      </c>
      <c r="H454" s="23">
        <f ca="1">'Index Data'!E563</f>
        <v>1.0908442185691607E-2</v>
      </c>
      <c r="I454" s="23">
        <f ca="1">'Index Data'!D563</f>
        <v>3.6607831482145463E-2</v>
      </c>
      <c r="J454" s="23">
        <f ca="1">'Index Data'!B563</f>
        <v>1.9568337814641252E-2</v>
      </c>
      <c r="K454" s="23">
        <f ca="1">'Index Data'!C563</f>
        <v>7.1825535168643692E-2</v>
      </c>
      <c r="L454" s="23">
        <f ca="1">'Index Data'!AH563</f>
        <v>0.1014</v>
      </c>
      <c r="M454" s="23">
        <f ca="1">'Index Data'!V563</f>
        <v>5.3123186279515448E-2</v>
      </c>
      <c r="N454" s="23">
        <f ca="1">'Index Data'!W563</f>
        <v>1.4937823979078856E-2</v>
      </c>
      <c r="O454" s="23">
        <f ca="1">'Index Data'!R563</f>
        <v>5.4165848571895263E-2</v>
      </c>
      <c r="P454" s="23">
        <f ca="1">'Index Data'!S563</f>
        <v>1.3640386805205046E-2</v>
      </c>
      <c r="Q454" s="23">
        <f ca="1">'Index Data'!U563</f>
        <v>3.4667770921895179E-2</v>
      </c>
      <c r="S454" s="23">
        <f t="shared" ca="1" si="55"/>
        <v>2.632807576356392E-2</v>
      </c>
      <c r="T454" s="2">
        <f t="shared" ca="1" si="50"/>
        <v>5.3123186279515448E-2</v>
      </c>
      <c r="U454" s="2">
        <f t="shared" ca="1" si="51"/>
        <v>5.3123186279515448E-2</v>
      </c>
      <c r="V454" s="2">
        <f t="shared" ca="1" si="52"/>
        <v>7.1825535168643692E-2</v>
      </c>
      <c r="W454" s="2">
        <f t="shared" ca="1" si="53"/>
        <v>5.4993421168428272E-2</v>
      </c>
      <c r="X454" s="2">
        <v>1.8007083355999265E-2</v>
      </c>
      <c r="Y454" s="2">
        <f t="shared" ca="1" si="56"/>
        <v>5.4993421168428272E-2</v>
      </c>
      <c r="Z454" s="2">
        <f t="shared" ca="1" si="54"/>
        <v>4.8110468200393497E-2</v>
      </c>
    </row>
    <row r="455" spans="1:26">
      <c r="A455" s="22">
        <v>45961</v>
      </c>
      <c r="B455" s="25" t="s">
        <v>45</v>
      </c>
      <c r="C455" s="25" t="s">
        <v>46</v>
      </c>
      <c r="D455" s="25" t="s">
        <v>32</v>
      </c>
      <c r="E455" s="25" t="s">
        <v>41</v>
      </c>
      <c r="F455" s="25" t="s">
        <v>39</v>
      </c>
      <c r="H455" s="23">
        <f ca="1">'Index Data'!E564</f>
        <v>6.2454536454769824E-3</v>
      </c>
      <c r="I455" s="23">
        <f ca="1">'Index Data'!D564</f>
        <v>2.2555483991874778E-2</v>
      </c>
      <c r="J455" s="23">
        <f ca="1">'Index Data'!B564</f>
        <v>1.1899317514295746E-2</v>
      </c>
      <c r="K455" s="23">
        <f ca="1">'Index Data'!C564</f>
        <v>4.1885102963444901E-2</v>
      </c>
      <c r="L455" s="23">
        <f ca="1">'Index Data'!AH564</f>
        <v>4.0500000000000001E-2</v>
      </c>
      <c r="M455" s="23">
        <f ca="1">'Index Data'!V564</f>
        <v>3.6325017122573078E-2</v>
      </c>
      <c r="N455" s="23">
        <f ca="1">'Index Data'!W564</f>
        <v>4.4153252653557316E-3</v>
      </c>
      <c r="O455" s="23">
        <f ca="1">'Index Data'!R564</f>
        <v>2.2491360312531135E-3</v>
      </c>
      <c r="P455" s="23">
        <f ca="1">'Index Data'!S564</f>
        <v>-2.0184620157598962E-2</v>
      </c>
      <c r="Q455" s="23">
        <f ca="1">'Index Data'!U564</f>
        <v>2.1581244419165226E-2</v>
      </c>
      <c r="S455" s="23">
        <f t="shared" ca="1" si="55"/>
        <v>1.9293477922595219E-2</v>
      </c>
      <c r="T455" s="2">
        <f t="shared" ca="1" si="50"/>
        <v>3.6325017122573078E-2</v>
      </c>
      <c r="U455" s="2">
        <f t="shared" ca="1" si="51"/>
        <v>3.6325017122573078E-2</v>
      </c>
      <c r="V455" s="2">
        <f t="shared" ca="1" si="52"/>
        <v>4.1885102963444901E-2</v>
      </c>
      <c r="W455" s="2">
        <f t="shared" ca="1" si="53"/>
        <v>2.2491360312531135E-3</v>
      </c>
      <c r="X455" s="2">
        <v>-1.8254231662794161E-3</v>
      </c>
      <c r="Y455" s="2">
        <f t="shared" ca="1" si="56"/>
        <v>3.6881025706660256E-2</v>
      </c>
      <c r="Z455" s="2">
        <f t="shared" ca="1" si="54"/>
        <v>2.6695246567040764E-2</v>
      </c>
    </row>
    <row r="456" spans="1:26">
      <c r="A456" s="22">
        <v>45991</v>
      </c>
      <c r="B456" s="25" t="s">
        <v>45</v>
      </c>
      <c r="C456" s="25" t="s">
        <v>46</v>
      </c>
      <c r="D456" s="25" t="s">
        <v>32</v>
      </c>
      <c r="E456" s="25" t="s">
        <v>41</v>
      </c>
      <c r="F456" s="25" t="s">
        <v>39</v>
      </c>
      <c r="H456" s="23">
        <f ca="1">'Index Data'!E565</f>
        <v>6.215245102232759E-3</v>
      </c>
      <c r="I456" s="23">
        <f ca="1">'Index Data'!D565</f>
        <v>1.6852607098321944E-4</v>
      </c>
      <c r="J456" s="23">
        <f ca="1">'Index Data'!B565</f>
        <v>6.3977646924549556E-3</v>
      </c>
      <c r="K456" s="23">
        <f ca="1">'Index Data'!C565</f>
        <v>-2.3804901595563335E-2</v>
      </c>
      <c r="L456" s="23">
        <f ca="1">'Index Data'!AH565</f>
        <v>5.5500000000000001E-2</v>
      </c>
      <c r="M456" s="23">
        <f ca="1">'Index Data'!V565</f>
        <v>-1.8123114951466061E-2</v>
      </c>
      <c r="N456" s="23">
        <f ca="1">'Index Data'!W565</f>
        <v>2.6563583713102312E-2</v>
      </c>
      <c r="O456" s="23">
        <f ca="1">'Index Data'!R565</f>
        <v>-1.4225055399477495E-2</v>
      </c>
      <c r="P456" s="23">
        <f ca="1">'Index Data'!S565</f>
        <v>2.3070951794861416E-2</v>
      </c>
      <c r="Q456" s="23">
        <f ca="1">'Index Data'!U565</f>
        <v>2.4373269364607181E-3</v>
      </c>
      <c r="S456" s="23">
        <f t="shared" ca="1" si="55"/>
        <v>1.3778698772331276E-3</v>
      </c>
      <c r="T456" s="2">
        <f t="shared" ca="1" si="50"/>
        <v>-1.8123114951466061E-2</v>
      </c>
      <c r="U456" s="2">
        <f t="shared" ca="1" si="51"/>
        <v>-1.8123114951466061E-2</v>
      </c>
      <c r="V456" s="2">
        <f t="shared" ca="1" si="52"/>
        <v>-2.3804901595563335E-2</v>
      </c>
      <c r="W456" s="2">
        <f t="shared" ca="1" si="53"/>
        <v>-1.4225055399477495E-2</v>
      </c>
      <c r="X456" s="2">
        <v>7.3150457190357954E-3</v>
      </c>
      <c r="Y456" s="2">
        <f t="shared" ca="1" si="56"/>
        <v>-1.8691293615875789E-2</v>
      </c>
      <c r="Z456" s="2">
        <f t="shared" ca="1" si="54"/>
        <v>-1.3311307015376275E-2</v>
      </c>
    </row>
    <row r="457" spans="1:26">
      <c r="A457" s="22">
        <v>46022</v>
      </c>
      <c r="B457" s="25" t="s">
        <v>45</v>
      </c>
      <c r="C457" s="25" t="s">
        <v>46</v>
      </c>
      <c r="D457" s="25" t="s">
        <v>32</v>
      </c>
      <c r="E457" s="25" t="s">
        <v>41</v>
      </c>
      <c r="F457" s="25" t="s">
        <v>39</v>
      </c>
      <c r="H457" s="23">
        <f ca="1">'Index Data'!E566</f>
        <v>-1.4793842700641568E-3</v>
      </c>
      <c r="I457" s="23">
        <f ca="1">'Index Data'!D566</f>
        <v>1.0738778054862817E-2</v>
      </c>
      <c r="J457" s="23">
        <f ca="1">'Index Data'!B566</f>
        <v>3.014876620862832E-2</v>
      </c>
      <c r="K457" s="23">
        <f ca="1">'Index Data'!C566</f>
        <v>3.0243907682715766E-2</v>
      </c>
      <c r="L457" s="23">
        <f ca="1">'Index Data'!AH566</f>
        <v>2.9100000000000001E-2</v>
      </c>
      <c r="M457" s="23">
        <f ca="1">'Index Data'!V566</f>
        <v>-6.1989826382649648E-3</v>
      </c>
      <c r="N457" s="23">
        <f ca="1">'Index Data'!W566</f>
        <v>6.7823761282754394E-3</v>
      </c>
      <c r="O457" s="23">
        <f ca="1">'Index Data'!R566</f>
        <v>-1.9485457195360359E-3</v>
      </c>
      <c r="P457" s="23">
        <f ca="1">'Index Data'!S566</f>
        <v>-7.5015037950546459E-3</v>
      </c>
      <c r="Q457" s="23">
        <f ca="1">'Index Data'!U566</f>
        <v>6.372878380151055E-5</v>
      </c>
      <c r="S457" s="23">
        <f t="shared" ca="1" si="55"/>
        <v>8.2951455898774215E-3</v>
      </c>
      <c r="T457" s="2">
        <f t="shared" ca="1" si="50"/>
        <v>-6.1989826382649648E-3</v>
      </c>
      <c r="U457" s="2">
        <f t="shared" ca="1" si="51"/>
        <v>-6.1989826382649648E-3</v>
      </c>
      <c r="V457" s="2">
        <f t="shared" ca="1" si="52"/>
        <v>3.0243907682715766E-2</v>
      </c>
      <c r="W457" s="2">
        <f t="shared" ca="1" si="53"/>
        <v>-1.9485457195360359E-3</v>
      </c>
      <c r="X457" s="2">
        <v>1.146323384794521E-2</v>
      </c>
      <c r="Y457" s="2">
        <f t="shared" ca="1" si="56"/>
        <v>-2.5546936061668912E-3</v>
      </c>
      <c r="Z457" s="2">
        <f t="shared" ca="1" si="54"/>
        <v>1.2965324599798133E-3</v>
      </c>
    </row>
    <row r="458" spans="1:26">
      <c r="A458" s="22">
        <v>46053</v>
      </c>
      <c r="B458" s="25" t="s">
        <v>45</v>
      </c>
      <c r="C458" s="25" t="s">
        <v>46</v>
      </c>
      <c r="D458" s="25" t="s">
        <v>32</v>
      </c>
      <c r="E458" s="25" t="s">
        <v>41</v>
      </c>
      <c r="F458" s="25" t="s">
        <v>39</v>
      </c>
      <c r="H458" s="23">
        <f ca="1">'Index Data'!E567</f>
        <v>1.0686080422335263E-3</v>
      </c>
      <c r="I458" s="23">
        <f ca="1">'Index Data'!D567</f>
        <v>2.9839798317338431E-2</v>
      </c>
      <c r="J458" s="23">
        <f ca="1">'Index Data'!B567</f>
        <v>5.2244232272094009E-2</v>
      </c>
      <c r="K458" s="23">
        <f ca="1">'Index Data'!C567</f>
        <v>8.8613373260782252E-2</v>
      </c>
      <c r="L458" s="23">
        <f ca="1">'Index Data'!AH567</f>
        <v>8.5900000000000004E-2</v>
      </c>
      <c r="M458" s="23">
        <f ca="1">'Index Data'!V567</f>
        <v>-1.5115892351687315E-2</v>
      </c>
      <c r="N458" s="23">
        <f ca="1">'Index Data'!W567</f>
        <v>4.5640237872418193E-2</v>
      </c>
      <c r="O458" s="23">
        <f ca="1">'Index Data'!R567</f>
        <v>1.3325185314518789E-2</v>
      </c>
      <c r="P458" s="23">
        <f ca="1">'Index Data'!S567</f>
        <v>8.7300938645408672E-3</v>
      </c>
      <c r="Q458" s="23">
        <f ca="1">'Index Data'!U567</f>
        <v>1.3771714410269968E-2</v>
      </c>
      <c r="S458" s="23">
        <f t="shared" ca="1" si="55"/>
        <v>2.4085560262317451E-2</v>
      </c>
      <c r="T458" s="2">
        <f t="shared" ca="1" si="50"/>
        <v>-1.5115892351687315E-2</v>
      </c>
      <c r="U458" s="2">
        <f t="shared" ca="1" si="51"/>
        <v>-1.5115892351687315E-2</v>
      </c>
      <c r="V458" s="2">
        <f t="shared" ca="1" si="52"/>
        <v>8.8613373260782252E-2</v>
      </c>
      <c r="W458" s="2">
        <f t="shared" ca="1" si="53"/>
        <v>1.3325185314518789E-2</v>
      </c>
      <c r="X458" s="2">
        <v>2.7237035825290357E-2</v>
      </c>
      <c r="Y458" s="2">
        <f t="shared" ca="1" si="56"/>
        <v>-4.742965790440359E-3</v>
      </c>
      <c r="Z458" s="2">
        <f t="shared" ca="1" si="54"/>
        <v>5.8607006699206345E-3</v>
      </c>
    </row>
    <row r="459" spans="1:26">
      <c r="A459" s="22">
        <v>46081</v>
      </c>
      <c r="B459" s="25" t="s">
        <v>45</v>
      </c>
      <c r="C459" s="25" t="s">
        <v>46</v>
      </c>
      <c r="D459" s="25" t="s">
        <v>32</v>
      </c>
      <c r="E459" s="25" t="s">
        <v>41</v>
      </c>
      <c r="F459" s="25" t="s">
        <v>39</v>
      </c>
      <c r="H459" s="23">
        <f ca="1">'Index Data'!E568</f>
        <v>1.6373502994011975E-2</v>
      </c>
      <c r="I459" s="23">
        <f ca="1">'Index Data'!D568</f>
        <v>1.3109209145568367E-2</v>
      </c>
      <c r="J459" s="23">
        <f ca="1">'Index Data'!B568</f>
        <v>4.6383756450081776E-2</v>
      </c>
      <c r="K459" s="23">
        <f ca="1">'Index Data'!C568</f>
        <v>5.5126242113612015E-2</v>
      </c>
      <c r="L459" s="23">
        <f ca="1">'Index Data'!AH568</f>
        <v>0.1133</v>
      </c>
      <c r="M459" s="23">
        <f ca="1">'Index Data'!V568</f>
        <v>-3.3579220813365729E-2</v>
      </c>
      <c r="N459" s="23">
        <f ca="1">'Index Data'!W568</f>
        <v>2.5926783163197423E-2</v>
      </c>
      <c r="O459" s="23">
        <f ca="1">'Index Data'!R568</f>
        <v>5.9210062577826701E-4</v>
      </c>
      <c r="P459" s="23">
        <f ca="1">'Index Data'!S568</f>
        <v>2.977046711823661E-2</v>
      </c>
      <c r="Q459" s="23">
        <f ca="1">'Index Data'!U568</f>
        <v>-5.3634168678711241E-3</v>
      </c>
      <c r="S459" s="23">
        <f t="shared" ca="1" si="55"/>
        <v>1.3762067915257088E-2</v>
      </c>
      <c r="T459" s="2">
        <f t="shared" ca="1" si="50"/>
        <v>-3.3579220813365729E-2</v>
      </c>
      <c r="U459" s="2">
        <f t="shared" ca="1" si="51"/>
        <v>-3.3579220813365729E-2</v>
      </c>
      <c r="V459" s="2">
        <f t="shared" ca="1" si="52"/>
        <v>5.5126242113612015E-2</v>
      </c>
      <c r="W459" s="2">
        <f t="shared" ca="1" si="53"/>
        <v>5.9210062577826701E-4</v>
      </c>
      <c r="X459" s="2">
        <v>3.1053427820686773E-3</v>
      </c>
      <c r="Y459" s="2">
        <f t="shared" ca="1" si="56"/>
        <v>-2.4708674520667953E-2</v>
      </c>
      <c r="Z459" s="2">
        <f t="shared" ca="1" si="54"/>
        <v>-1.4808912693645274E-2</v>
      </c>
    </row>
    <row r="460" spans="1:26">
      <c r="A460" s="22">
        <v>46112</v>
      </c>
      <c r="B460" s="25" t="s">
        <v>45</v>
      </c>
      <c r="C460" s="25" t="s">
        <v>47</v>
      </c>
      <c r="D460" s="25" t="s">
        <v>32</v>
      </c>
      <c r="E460" s="25" t="s">
        <v>41</v>
      </c>
      <c r="F460" s="25" t="s">
        <v>39</v>
      </c>
      <c r="H460" s="23">
        <f ca="1">'Index Data'!E569</f>
        <v>-1.7620279012159762E-2</v>
      </c>
      <c r="I460" s="23">
        <f ca="1">'Index Data'!D569</f>
        <v>-7.1321688389089422E-2</v>
      </c>
      <c r="J460" s="23">
        <f ca="1">'Index Data'!B569</f>
        <v>-0.1019148255950309</v>
      </c>
      <c r="K460" s="23">
        <f ca="1">'Index Data'!C569</f>
        <v>-0.1302791712748588</v>
      </c>
      <c r="L460" s="23">
        <f ca="1">'Index Data'!AH569</f>
        <v>-0.1144</v>
      </c>
      <c r="M460" s="23">
        <f ca="1">'Index Data'!V569</f>
        <v>-5.2085576068218224E-2</v>
      </c>
      <c r="N460" s="23">
        <f ca="1">'Index Data'!W569</f>
        <v>-4.8242034543460897E-2</v>
      </c>
      <c r="O460" s="23">
        <f ca="1">'Index Data'!R569</f>
        <v>-5.73121075545217E-2</v>
      </c>
      <c r="P460" s="23">
        <f ca="1">'Index Data'!S569</f>
        <v>-4.840332106313712E-2</v>
      </c>
      <c r="Q460" s="23">
        <f ca="1">'Index Data'!U569</f>
        <v>-4.9726365202426098E-2</v>
      </c>
      <c r="S460" s="23">
        <f t="shared" ca="1" si="55"/>
        <v>-6.0581406513703494E-2</v>
      </c>
      <c r="T460" s="2">
        <f t="shared" ca="1" si="50"/>
        <v>-4.8242034543460897E-2</v>
      </c>
      <c r="U460" s="2">
        <f t="shared" ca="1" si="51"/>
        <v>-4.8242034543460897E-2</v>
      </c>
      <c r="V460" s="2">
        <f t="shared" ca="1" si="52"/>
        <v>-0.1302791712748588</v>
      </c>
      <c r="W460" s="2">
        <f t="shared" ca="1" si="53"/>
        <v>-5.73121075545217E-2</v>
      </c>
      <c r="X460" s="2">
        <v>-4.3260501648572008E-2</v>
      </c>
      <c r="Y460" s="2">
        <f t="shared" ca="1" si="56"/>
        <v>-5.6445748216600686E-2</v>
      </c>
      <c r="Z460" s="2">
        <f t="shared" ca="1" si="54"/>
        <v>-5.6129697113452476E-2</v>
      </c>
    </row>
    <row r="461" spans="1:26">
      <c r="A461" s="22">
        <v>46142</v>
      </c>
      <c r="B461" s="25" t="s">
        <v>45</v>
      </c>
      <c r="C461" s="25" t="s">
        <v>47</v>
      </c>
      <c r="D461" s="25" t="s">
        <v>32</v>
      </c>
      <c r="E461" s="25" t="s">
        <v>41</v>
      </c>
      <c r="F461" s="25" t="s">
        <v>39</v>
      </c>
      <c r="H461" s="23">
        <f ca="1">'Index Data'!E570</f>
        <v>1.1202214886594012E-3</v>
      </c>
      <c r="I461" s="23">
        <f ca="1">'Index Data'!D570</f>
        <v>0.10214778801448855</v>
      </c>
      <c r="J461" s="23">
        <f ca="1">'Index Data'!B570</f>
        <v>7.5597596713902648E-2</v>
      </c>
      <c r="K461" s="23">
        <f ca="1">'Index Data'!C570</f>
        <v>0.1472927524727658</v>
      </c>
      <c r="L461" s="23">
        <f ca="1">'Index Data'!AH570</f>
        <v>-3.9000000000000003E-3</v>
      </c>
      <c r="M461" s="23">
        <f ca="1">'Index Data'!V570</f>
        <v>0.11895171777941606</v>
      </c>
      <c r="N461" s="23">
        <f ca="1">'Index Data'!W570</f>
        <v>8.1552643957023399E-2</v>
      </c>
      <c r="O461" s="23">
        <f ca="1">'Index Data'!R570</f>
        <v>0.18687154688104596</v>
      </c>
      <c r="P461" s="23">
        <f ca="1">'Index Data'!S570</f>
        <v>2.0532123022283712E-2</v>
      </c>
      <c r="Q461" s="23">
        <f ca="1">'Index Data'!U570</f>
        <v>0.10105069182877462</v>
      </c>
      <c r="S461" s="23">
        <f t="shared" ca="1" si="55"/>
        <v>8.1942274709322721E-2</v>
      </c>
      <c r="T461" s="2">
        <f t="shared" ca="1" si="50"/>
        <v>8.1552643957023399E-2</v>
      </c>
      <c r="U461" s="2">
        <f t="shared" ca="1" si="51"/>
        <v>8.1552643957023399E-2</v>
      </c>
      <c r="V461" s="2">
        <f t="shared" ca="1" si="52"/>
        <v>0.1472927524727658</v>
      </c>
      <c r="W461" s="2">
        <f t="shared" ca="1" si="53"/>
        <v>0.18687154688104596</v>
      </c>
      <c r="X461" s="2">
        <v>9.5309381237524804E-2</v>
      </c>
      <c r="Y461" s="2">
        <f t="shared" ca="1" si="56"/>
        <v>8.8126654808597646E-2</v>
      </c>
      <c r="Z461" s="2">
        <f t="shared" ca="1" si="54"/>
        <v>9.8776919983999623E-2</v>
      </c>
    </row>
    <row r="462" spans="1:26">
      <c r="A462" s="22">
        <v>46171</v>
      </c>
      <c r="B462" s="25" t="s">
        <v>45</v>
      </c>
      <c r="C462" s="25" t="s">
        <v>47</v>
      </c>
      <c r="D462" s="25" t="s">
        <v>32</v>
      </c>
      <c r="E462" s="25" t="s">
        <v>41</v>
      </c>
      <c r="F462" s="25" t="s">
        <v>39</v>
      </c>
      <c r="H462" s="23">
        <f ca="1">'Index Data'!E571</f>
        <v>3.1143900135296031E-3</v>
      </c>
      <c r="I462" s="23">
        <f ca="1">'Index Data'!D571</f>
        <v>5.2091138710926431E-2</v>
      </c>
      <c r="J462" s="23">
        <f ca="1">'Index Data'!B571</f>
        <v>3.1792028282411698E-2</v>
      </c>
      <c r="K462" s="23">
        <f ca="1">'Index Data'!C571</f>
        <v>9.7068375737685508E-2</v>
      </c>
      <c r="L462" s="23">
        <f ca="1">'Index Data'!AH571</f>
        <v>-1.49E-2</v>
      </c>
      <c r="M462" s="23">
        <f ca="1">'Index Data'!V571</f>
        <v>7.2020386088502419E-2</v>
      </c>
      <c r="N462" s="23">
        <f ca="1">'Index Data'!W571</f>
        <v>2.9467313713445117E-2</v>
      </c>
      <c r="O462" s="23">
        <f ca="1">'Index Data'!R571</f>
        <v>0.12708093722978248</v>
      </c>
      <c r="P462" s="23">
        <f ca="1">'Index Data'!S571</f>
        <v>2.0524134492536834E-2</v>
      </c>
      <c r="Q462" s="23">
        <f ca="1">'Index Data'!U571</f>
        <v>5.101082425978215E-2</v>
      </c>
      <c r="S462" s="23">
        <f t="shared" ca="1" si="55"/>
        <v>4.2295788971447069E-2</v>
      </c>
      <c r="T462" s="2">
        <f t="shared" ca="1" si="50"/>
        <v>2.9467313713445117E-2</v>
      </c>
      <c r="U462" s="2">
        <f t="shared" ca="1" si="51"/>
        <v>2.9467313713445117E-2</v>
      </c>
      <c r="V462" s="2">
        <f t="shared" ca="1" si="52"/>
        <v>9.7068375737685508E-2</v>
      </c>
      <c r="W462" s="2">
        <f t="shared" ca="1" si="53"/>
        <v>0.12708093722978248</v>
      </c>
      <c r="X462" s="2">
        <f ca="1">'Index Data'!AB571</f>
        <v>4.0546697038724412E-2</v>
      </c>
      <c r="Y462" s="2">
        <f t="shared" ca="1" si="56"/>
        <v>3.6227419915869155E-2</v>
      </c>
      <c r="Z462" s="2">
        <f t="shared" ca="1" si="54"/>
        <v>4.5764318344650314E-2</v>
      </c>
    </row>
    <row r="463" spans="1:26">
      <c r="A463" s="22">
        <v>46203</v>
      </c>
      <c r="B463" s="25" t="s">
        <v>45</v>
      </c>
      <c r="C463" s="25" t="s">
        <v>47</v>
      </c>
      <c r="D463" s="25" t="s">
        <v>32</v>
      </c>
      <c r="E463" s="25" t="s">
        <v>41</v>
      </c>
      <c r="F463" s="25" t="s">
        <v>39</v>
      </c>
      <c r="H463" s="23">
        <f ca="1">'Index Data'!E572</f>
        <v>-7.3800738007370823E-4</v>
      </c>
      <c r="I463" s="23">
        <f ca="1">'Index Data'!D572</f>
        <v>9.2847755276601431E-4</v>
      </c>
      <c r="J463" s="23">
        <f ca="1">'Index Data'!B572</f>
        <v>-9.427038477248113E-3</v>
      </c>
      <c r="K463" s="23">
        <f ca="1">'Index Data'!C572</f>
        <v>1.2078061369496847E-2</v>
      </c>
      <c r="L463" s="23">
        <f ca="1">'Index Data'!AH572</f>
        <v>-1.1699999999999999E-2</v>
      </c>
      <c r="M463" s="23">
        <f ca="1">'Index Data'!V572</f>
        <v>5.0606770959406378E-3</v>
      </c>
      <c r="N463" s="23">
        <f ca="1">'Index Data'!W572</f>
        <v>-4.5419059051169395E-3</v>
      </c>
      <c r="O463" s="23">
        <f ca="1">'Index Data'!R572</f>
        <v>1.3817041514436138E-3</v>
      </c>
      <c r="P463" s="23">
        <f ca="1">'Index Data'!S572</f>
        <v>4.0647775059512907E-3</v>
      </c>
      <c r="Q463" s="23">
        <f ca="1">'Index Data'!U572</f>
        <v>2.6961358937743827E-3</v>
      </c>
      <c r="S463" s="23">
        <f t="shared" ref="S463" ca="1" si="57">IF(B463="OW",0.8*I463+0.2*H463,IF(B463="NW",0.6*I463+0.4*H463,0.4*I463+0.6*H463))</f>
        <v>5.9518056619806982E-4</v>
      </c>
      <c r="T463" s="2">
        <f t="shared" ca="1" si="50"/>
        <v>-4.5419059051169395E-3</v>
      </c>
      <c r="U463" s="2">
        <f t="shared" ca="1" si="51"/>
        <v>-4.5419059051169395E-3</v>
      </c>
      <c r="V463" s="2">
        <f t="shared" ca="1" si="52"/>
        <v>1.2078061369496847E-2</v>
      </c>
      <c r="W463" s="2">
        <f t="shared" ca="1" si="53"/>
        <v>1.3817041514436138E-3</v>
      </c>
      <c r="X463" s="2">
        <f ca="1">'Index Data'!AB572</f>
        <v>-1.4594546271843901E-3</v>
      </c>
      <c r="Y463" s="2">
        <f t="shared" ref="Y463" ca="1" si="58">0.25*U463+0.1*V463+0.65*T463</f>
        <v>-2.8799091776555612E-3</v>
      </c>
      <c r="Z463" s="2">
        <f t="shared" ca="1" si="54"/>
        <v>-1.8191481678270095E-3</v>
      </c>
    </row>
    <row r="464" spans="1:26">
      <c r="F464" s="2"/>
      <c r="T464" s="4"/>
      <c r="U464" s="4"/>
      <c r="V464" s="4"/>
      <c r="W464" s="4"/>
      <c r="X464" s="4"/>
    </row>
    <row r="465" spans="6:24">
      <c r="F465" s="2"/>
      <c r="T465" s="4"/>
      <c r="U465" s="4"/>
      <c r="V465" s="4"/>
      <c r="W465" s="4"/>
      <c r="X465" s="4"/>
    </row>
    <row r="466" spans="6:24">
      <c r="F466" s="2"/>
      <c r="T466" s="4"/>
      <c r="U466" s="4"/>
      <c r="V466" s="4"/>
      <c r="W466" s="4"/>
      <c r="X466" s="4"/>
    </row>
    <row r="467" spans="6:24">
      <c r="F467" s="2"/>
      <c r="T467" s="4"/>
      <c r="U467" s="4"/>
      <c r="V467" s="4"/>
      <c r="W467" s="4"/>
      <c r="X467" s="4"/>
    </row>
    <row r="468" spans="6:24">
      <c r="F468" s="2"/>
      <c r="T468" s="4"/>
      <c r="U468" s="4"/>
      <c r="V468" s="4"/>
      <c r="W468" s="4"/>
      <c r="X468" s="4"/>
    </row>
    <row r="469" spans="6:24">
      <c r="F469" s="2"/>
      <c r="T469" s="4"/>
      <c r="U469" s="4"/>
      <c r="V469" s="4"/>
      <c r="W469" s="4"/>
      <c r="X469" s="4"/>
    </row>
    <row r="470" spans="6:24">
      <c r="F470" s="2"/>
      <c r="T470" s="4"/>
      <c r="U470" s="4"/>
      <c r="V470" s="4"/>
      <c r="W470" s="4"/>
      <c r="X470" s="4"/>
    </row>
    <row r="471" spans="6:24">
      <c r="F471" s="2"/>
      <c r="T471" s="4"/>
      <c r="U471" s="4"/>
      <c r="V471" s="4"/>
      <c r="W471" s="4"/>
      <c r="X471" s="4"/>
    </row>
    <row r="472" spans="6:24">
      <c r="F472" s="2"/>
      <c r="T472" s="4"/>
      <c r="U472" s="4"/>
      <c r="V472" s="4"/>
      <c r="W472" s="4"/>
      <c r="X472" s="4"/>
    </row>
    <row r="473" spans="6:24">
      <c r="F473" s="2"/>
      <c r="T473" s="4"/>
      <c r="U473" s="4"/>
      <c r="V473" s="4"/>
      <c r="W473" s="4"/>
      <c r="X473" s="4"/>
    </row>
    <row r="474" spans="6:24">
      <c r="F474" s="2"/>
      <c r="T474" s="4"/>
      <c r="U474" s="4"/>
      <c r="V474" s="4"/>
      <c r="W474" s="4"/>
      <c r="X474" s="4"/>
    </row>
    <row r="475" spans="6:24">
      <c r="F475" s="2"/>
      <c r="T475" s="4"/>
      <c r="U475" s="4"/>
      <c r="V475" s="4"/>
      <c r="W475" s="4"/>
      <c r="X475" s="4"/>
    </row>
    <row r="476" spans="6:24">
      <c r="F476" s="2"/>
      <c r="T476" s="4"/>
      <c r="U476" s="4"/>
      <c r="V476" s="4"/>
      <c r="W476" s="4"/>
      <c r="X476" s="4"/>
    </row>
    <row r="477" spans="6:24">
      <c r="F477" s="2"/>
      <c r="T477" s="4"/>
      <c r="U477" s="4"/>
      <c r="V477" s="4"/>
      <c r="W477" s="4"/>
      <c r="X477" s="4"/>
    </row>
    <row r="478" spans="6:24">
      <c r="F478" s="2"/>
      <c r="T478" s="4"/>
      <c r="U478" s="4"/>
      <c r="V478" s="4"/>
      <c r="W478" s="4"/>
      <c r="X478" s="4"/>
    </row>
    <row r="479" spans="6:24">
      <c r="F479" s="2"/>
      <c r="T479" s="4"/>
      <c r="U479" s="4"/>
      <c r="V479" s="4"/>
      <c r="W479" s="4"/>
      <c r="X479" s="4"/>
    </row>
    <row r="480" spans="6:24">
      <c r="F480" s="2"/>
      <c r="T480" s="4"/>
      <c r="U480" s="4"/>
      <c r="V480" s="4"/>
      <c r="W480" s="4"/>
      <c r="X480" s="4"/>
    </row>
    <row r="481" spans="6:24">
      <c r="F481" s="2"/>
      <c r="T481" s="4"/>
      <c r="U481" s="4"/>
      <c r="V481" s="4"/>
      <c r="W481" s="4"/>
      <c r="X481" s="4"/>
    </row>
    <row r="482" spans="6:24">
      <c r="F482" s="2"/>
      <c r="T482" s="4"/>
      <c r="U482" s="4"/>
      <c r="V482" s="4"/>
      <c r="W482" s="4"/>
      <c r="X482" s="4"/>
    </row>
    <row r="483" spans="6:24">
      <c r="F483" s="2"/>
      <c r="T483" s="4"/>
      <c r="U483" s="4"/>
      <c r="V483" s="4"/>
      <c r="W483" s="4"/>
      <c r="X483" s="4"/>
    </row>
    <row r="484" spans="6:24">
      <c r="F484" s="2"/>
      <c r="T484" s="4"/>
      <c r="U484" s="4"/>
      <c r="V484" s="4"/>
      <c r="W484" s="4"/>
      <c r="X484" s="4"/>
    </row>
    <row r="485" spans="6:24">
      <c r="F485" s="2"/>
      <c r="T485" s="4"/>
      <c r="U485" s="4"/>
      <c r="V485" s="4"/>
      <c r="W485" s="4"/>
      <c r="X485" s="4"/>
    </row>
    <row r="486" spans="6:24">
      <c r="F486" s="2"/>
      <c r="T486" s="4"/>
      <c r="U486" s="4"/>
      <c r="V486" s="4"/>
      <c r="W486" s="4"/>
      <c r="X486" s="4"/>
    </row>
    <row r="487" spans="6:24">
      <c r="F487" s="2"/>
      <c r="T487" s="4"/>
      <c r="U487" s="4"/>
      <c r="V487" s="4"/>
      <c r="W487" s="4"/>
      <c r="X487" s="4"/>
    </row>
    <row r="488" spans="6:24">
      <c r="F488" s="2"/>
      <c r="T488" s="4"/>
      <c r="U488" s="4"/>
      <c r="V488" s="4"/>
      <c r="W488" s="4"/>
      <c r="X488" s="4"/>
    </row>
    <row r="489" spans="6:24">
      <c r="F489" s="2"/>
      <c r="T489" s="4"/>
      <c r="U489" s="4"/>
      <c r="V489" s="4"/>
      <c r="W489" s="4"/>
      <c r="X489" s="4"/>
    </row>
    <row r="490" spans="6:24">
      <c r="F490" s="2"/>
      <c r="T490" s="4"/>
      <c r="U490" s="4"/>
      <c r="V490" s="4"/>
      <c r="W490" s="4"/>
      <c r="X490" s="4"/>
    </row>
    <row r="491" spans="6:24">
      <c r="F491" s="2"/>
      <c r="T491" s="4"/>
      <c r="U491" s="4"/>
      <c r="V491" s="4"/>
      <c r="W491" s="4"/>
      <c r="X491" s="4"/>
    </row>
    <row r="492" spans="6:24">
      <c r="F492" s="2"/>
      <c r="T492" s="4"/>
      <c r="U492" s="4"/>
      <c r="V492" s="4"/>
      <c r="W492" s="4"/>
      <c r="X492" s="4"/>
    </row>
    <row r="493" spans="6:24">
      <c r="F493" s="2"/>
      <c r="T493" s="4"/>
      <c r="U493" s="4"/>
      <c r="V493" s="4"/>
      <c r="W493" s="4"/>
      <c r="X493" s="4"/>
    </row>
    <row r="494" spans="6:24">
      <c r="F494" s="2"/>
      <c r="T494" s="4"/>
      <c r="U494" s="4"/>
      <c r="V494" s="4"/>
      <c r="W494" s="4"/>
      <c r="X494" s="4"/>
    </row>
    <row r="495" spans="6:24">
      <c r="F495" s="2"/>
      <c r="T495" s="4"/>
      <c r="U495" s="4"/>
      <c r="V495" s="4"/>
      <c r="W495" s="4"/>
      <c r="X495" s="4"/>
    </row>
    <row r="496" spans="6:24">
      <c r="F496" s="2"/>
      <c r="T496" s="4"/>
      <c r="U496" s="4"/>
      <c r="V496" s="4"/>
      <c r="W496" s="4"/>
      <c r="X496" s="4"/>
    </row>
    <row r="497" spans="6:24">
      <c r="F497" s="2"/>
      <c r="T497" s="4"/>
      <c r="U497" s="4"/>
      <c r="V497" s="4"/>
      <c r="W497" s="4"/>
      <c r="X497" s="4"/>
    </row>
    <row r="498" spans="6:24">
      <c r="F498" s="2"/>
      <c r="T498" s="4"/>
      <c r="U498" s="4"/>
      <c r="V498" s="4"/>
      <c r="W498" s="4"/>
      <c r="X498" s="4"/>
    </row>
    <row r="499" spans="6:24">
      <c r="F499" s="2"/>
      <c r="T499" s="4"/>
      <c r="U499" s="4"/>
      <c r="V499" s="4"/>
      <c r="W499" s="4"/>
      <c r="X499" s="4"/>
    </row>
    <row r="500" spans="6:24">
      <c r="F500" s="2"/>
      <c r="T500" s="4"/>
      <c r="U500" s="4"/>
      <c r="V500" s="4"/>
      <c r="W500" s="4"/>
      <c r="X500" s="4"/>
    </row>
    <row r="501" spans="6:24">
      <c r="F501" s="2"/>
      <c r="T501" s="4"/>
      <c r="U501" s="4"/>
      <c r="V501" s="4"/>
      <c r="W501" s="4"/>
      <c r="X501" s="4"/>
    </row>
    <row r="502" spans="6:24">
      <c r="F502" s="2"/>
      <c r="T502" s="4"/>
      <c r="U502" s="4"/>
      <c r="V502" s="4"/>
      <c r="W502" s="4"/>
      <c r="X502" s="4"/>
    </row>
    <row r="503" spans="6:24">
      <c r="F503" s="2"/>
      <c r="T503" s="4"/>
      <c r="U503" s="4"/>
      <c r="V503" s="4"/>
      <c r="W503" s="4"/>
      <c r="X503" s="4"/>
    </row>
    <row r="504" spans="6:24">
      <c r="F504" s="2"/>
      <c r="T504" s="4"/>
      <c r="U504" s="4"/>
      <c r="V504" s="4"/>
      <c r="W504" s="4"/>
      <c r="X504" s="4"/>
    </row>
    <row r="505" spans="6:24">
      <c r="F505" s="2"/>
      <c r="T505" s="4"/>
      <c r="U505" s="4"/>
      <c r="V505" s="4"/>
      <c r="W505" s="4"/>
      <c r="X505" s="4"/>
    </row>
    <row r="506" spans="6:24">
      <c r="F506" s="2"/>
      <c r="T506" s="4"/>
      <c r="U506" s="4"/>
      <c r="V506" s="4"/>
      <c r="W506" s="4"/>
      <c r="X506" s="4"/>
    </row>
    <row r="507" spans="6:24">
      <c r="F507" s="2"/>
      <c r="T507" s="4"/>
      <c r="U507" s="4"/>
      <c r="V507" s="4"/>
      <c r="W507" s="4"/>
      <c r="X507" s="4"/>
    </row>
    <row r="508" spans="6:24">
      <c r="F508" s="2"/>
      <c r="T508" s="4"/>
      <c r="U508" s="4"/>
      <c r="V508" s="4"/>
      <c r="W508" s="4"/>
      <c r="X508" s="4"/>
    </row>
    <row r="509" spans="6:24">
      <c r="F509" s="2"/>
      <c r="T509" s="4"/>
      <c r="U509" s="4"/>
      <c r="V509" s="4"/>
      <c r="W509" s="4"/>
      <c r="X509" s="4"/>
    </row>
    <row r="510" spans="6:24">
      <c r="F510" s="2"/>
      <c r="T510" s="4"/>
      <c r="U510" s="4"/>
      <c r="V510" s="4"/>
      <c r="W510" s="4"/>
      <c r="X510" s="4"/>
    </row>
    <row r="511" spans="6:24">
      <c r="F511" s="2"/>
      <c r="T511" s="4"/>
      <c r="U511" s="4"/>
      <c r="V511" s="4"/>
      <c r="W511" s="4"/>
      <c r="X511" s="4"/>
    </row>
    <row r="512" spans="6:24">
      <c r="F512" s="2"/>
      <c r="T512" s="4"/>
      <c r="U512" s="4"/>
      <c r="V512" s="4"/>
      <c r="W512" s="4"/>
      <c r="X512" s="4"/>
    </row>
    <row r="513" spans="6:24">
      <c r="F513" s="2"/>
      <c r="T513" s="4"/>
      <c r="U513" s="4"/>
      <c r="V513" s="4"/>
      <c r="W513" s="4"/>
      <c r="X513" s="4"/>
    </row>
    <row r="514" spans="6:24">
      <c r="F514" s="2"/>
      <c r="T514" s="4"/>
      <c r="U514" s="4"/>
      <c r="V514" s="4"/>
      <c r="W514" s="4"/>
      <c r="X514" s="4"/>
    </row>
    <row r="515" spans="6:24">
      <c r="F515" s="2"/>
      <c r="T515" s="4"/>
      <c r="U515" s="4"/>
      <c r="V515" s="4"/>
      <c r="W515" s="4"/>
      <c r="X515" s="4"/>
    </row>
    <row r="516" spans="6:24">
      <c r="F516" s="2"/>
      <c r="T516" s="4"/>
      <c r="U516" s="4"/>
      <c r="V516" s="4"/>
      <c r="W516" s="4"/>
      <c r="X516" s="4"/>
    </row>
    <row r="517" spans="6:24">
      <c r="F517" s="2"/>
      <c r="T517" s="4"/>
      <c r="U517" s="4"/>
      <c r="V517" s="4"/>
      <c r="W517" s="4"/>
      <c r="X517" s="4"/>
    </row>
    <row r="518" spans="6:24">
      <c r="F518" s="2"/>
      <c r="T518" s="4"/>
      <c r="U518" s="4"/>
      <c r="V518" s="4"/>
      <c r="W518" s="4"/>
      <c r="X518" s="4"/>
    </row>
    <row r="519" spans="6:24">
      <c r="F519" s="2"/>
      <c r="T519" s="4"/>
      <c r="U519" s="4"/>
      <c r="V519" s="4"/>
      <c r="W519" s="4"/>
      <c r="X519" s="4"/>
    </row>
    <row r="520" spans="6:24">
      <c r="F520" s="2"/>
      <c r="T520" s="4"/>
      <c r="U520" s="4"/>
      <c r="V520" s="4"/>
      <c r="W520" s="4"/>
      <c r="X520" s="4"/>
    </row>
    <row r="521" spans="6:24">
      <c r="F521" s="2"/>
      <c r="T521" s="4"/>
      <c r="U521" s="4"/>
      <c r="V521" s="4"/>
      <c r="W521" s="4"/>
      <c r="X521" s="4"/>
    </row>
    <row r="522" spans="6:24">
      <c r="F522" s="2"/>
      <c r="T522" s="4"/>
      <c r="U522" s="4"/>
      <c r="V522" s="4"/>
      <c r="W522" s="4"/>
      <c r="X522" s="4"/>
    </row>
    <row r="523" spans="6:24">
      <c r="F523" s="2"/>
      <c r="T523" s="4"/>
      <c r="U523" s="4"/>
      <c r="V523" s="4"/>
      <c r="W523" s="4"/>
      <c r="X523" s="4"/>
    </row>
    <row r="524" spans="6:24">
      <c r="F524" s="2"/>
      <c r="T524" s="4"/>
      <c r="U524" s="4"/>
      <c r="V524" s="4"/>
      <c r="W524" s="4"/>
      <c r="X524" s="4"/>
    </row>
    <row r="525" spans="6:24">
      <c r="F525" s="2"/>
      <c r="T525" s="4"/>
      <c r="U525" s="4"/>
      <c r="V525" s="4"/>
      <c r="W525" s="4"/>
      <c r="X525" s="4"/>
    </row>
    <row r="526" spans="6:24">
      <c r="F526" s="2"/>
      <c r="T526" s="4"/>
      <c r="U526" s="4"/>
      <c r="V526" s="4"/>
      <c r="W526" s="4"/>
      <c r="X526" s="4"/>
    </row>
    <row r="527" spans="6:24">
      <c r="F527" s="2"/>
      <c r="T527" s="4"/>
      <c r="U527" s="4"/>
      <c r="V527" s="4"/>
      <c r="W527" s="4"/>
      <c r="X527" s="4"/>
    </row>
    <row r="528" spans="6:24">
      <c r="F528" s="2"/>
      <c r="T528" s="4"/>
      <c r="U528" s="4"/>
      <c r="V528" s="4"/>
      <c r="W528" s="4"/>
      <c r="X528" s="4"/>
    </row>
    <row r="529" spans="6:24">
      <c r="F529" s="2"/>
      <c r="T529" s="4"/>
      <c r="U529" s="4"/>
      <c r="V529" s="4"/>
      <c r="W529" s="4"/>
      <c r="X529" s="4"/>
    </row>
    <row r="530" spans="6:24">
      <c r="F530" s="2"/>
      <c r="T530" s="4"/>
      <c r="U530" s="4"/>
      <c r="V530" s="4"/>
      <c r="W530" s="4"/>
      <c r="X530" s="4"/>
    </row>
    <row r="531" spans="6:24">
      <c r="F531" s="2"/>
      <c r="T531" s="4"/>
      <c r="U531" s="4"/>
      <c r="V531" s="4"/>
      <c r="W531" s="4"/>
      <c r="X531" s="4"/>
    </row>
    <row r="532" spans="6:24">
      <c r="F532" s="2"/>
      <c r="T532" s="4"/>
      <c r="U532" s="4"/>
      <c r="V532" s="4"/>
      <c r="W532" s="4"/>
      <c r="X532" s="4"/>
    </row>
    <row r="533" spans="6:24">
      <c r="F533" s="2"/>
      <c r="T533" s="4"/>
      <c r="U533" s="4"/>
      <c r="V533" s="4"/>
      <c r="W533" s="4"/>
      <c r="X533" s="4"/>
    </row>
    <row r="534" spans="6:24">
      <c r="F534" s="2"/>
      <c r="T534" s="4"/>
      <c r="U534" s="4"/>
      <c r="V534" s="4"/>
      <c r="W534" s="4"/>
      <c r="X534" s="4"/>
    </row>
    <row r="535" spans="6:24">
      <c r="F535" s="2"/>
      <c r="T535" s="4"/>
      <c r="U535" s="4"/>
      <c r="V535" s="4"/>
      <c r="W535" s="4"/>
      <c r="X535" s="4"/>
    </row>
    <row r="536" spans="6:24">
      <c r="F536" s="2"/>
      <c r="T536" s="4"/>
      <c r="U536" s="4"/>
      <c r="V536" s="4"/>
      <c r="W536" s="4"/>
      <c r="X536" s="4"/>
    </row>
    <row r="537" spans="6:24">
      <c r="F537" s="2"/>
      <c r="T537" s="4"/>
      <c r="U537" s="4"/>
      <c r="V537" s="4"/>
      <c r="W537" s="4"/>
      <c r="X537" s="4"/>
    </row>
    <row r="538" spans="6:24">
      <c r="F538" s="2"/>
      <c r="T538" s="4"/>
      <c r="U538" s="4"/>
      <c r="V538" s="4"/>
      <c r="W538" s="4"/>
      <c r="X538" s="4"/>
    </row>
    <row r="539" spans="6:24">
      <c r="F539" s="2"/>
      <c r="T539" s="4"/>
      <c r="U539" s="4"/>
      <c r="V539" s="4"/>
      <c r="W539" s="4"/>
      <c r="X539" s="4"/>
    </row>
    <row r="540" spans="6:24">
      <c r="F540" s="2"/>
      <c r="T540" s="4"/>
      <c r="U540" s="4"/>
      <c r="V540" s="4"/>
      <c r="W540" s="4"/>
      <c r="X540" s="4"/>
    </row>
    <row r="541" spans="6:24">
      <c r="F541" s="2"/>
      <c r="T541" s="4"/>
      <c r="U541" s="4"/>
      <c r="V541" s="4"/>
      <c r="W541" s="4"/>
      <c r="X541" s="4"/>
    </row>
    <row r="542" spans="6:24">
      <c r="F542" s="2"/>
      <c r="T542" s="4"/>
      <c r="U542" s="4"/>
      <c r="V542" s="4"/>
      <c r="W542" s="4"/>
      <c r="X542" s="4"/>
    </row>
    <row r="543" spans="6:24">
      <c r="F543" s="2"/>
      <c r="T543" s="4"/>
      <c r="U543" s="4"/>
      <c r="V543" s="4"/>
      <c r="W543" s="4"/>
      <c r="X543" s="4"/>
    </row>
    <row r="544" spans="6:24">
      <c r="F544" s="2"/>
      <c r="T544" s="4"/>
      <c r="U544" s="4"/>
      <c r="V544" s="4"/>
      <c r="W544" s="4"/>
      <c r="X544" s="4"/>
    </row>
    <row r="545" spans="6:24">
      <c r="F545" s="2"/>
      <c r="T545" s="4"/>
      <c r="U545" s="4"/>
      <c r="V545" s="4"/>
      <c r="W545" s="4"/>
      <c r="X545" s="4"/>
    </row>
    <row r="546" spans="6:24">
      <c r="F546" s="2"/>
      <c r="T546" s="4"/>
      <c r="U546" s="4"/>
      <c r="V546" s="4"/>
      <c r="W546" s="4"/>
      <c r="X546" s="4"/>
    </row>
    <row r="547" spans="6:24">
      <c r="F547" s="2"/>
      <c r="T547" s="4"/>
      <c r="U547" s="4"/>
      <c r="V547" s="4"/>
      <c r="W547" s="4"/>
      <c r="X547" s="4"/>
    </row>
    <row r="548" spans="6:24">
      <c r="F548" s="2"/>
      <c r="T548" s="4"/>
      <c r="U548" s="4"/>
      <c r="V548" s="4"/>
      <c r="W548" s="4"/>
      <c r="X548" s="4"/>
    </row>
    <row r="549" spans="6:24">
      <c r="F549" s="2"/>
      <c r="T549" s="4"/>
      <c r="U549" s="4"/>
      <c r="V549" s="4"/>
      <c r="W549" s="4"/>
      <c r="X549" s="4"/>
    </row>
    <row r="550" spans="6:24">
      <c r="F550" s="2"/>
      <c r="T550" s="4"/>
      <c r="U550" s="4"/>
      <c r="V550" s="4"/>
      <c r="W550" s="4"/>
      <c r="X550" s="4"/>
    </row>
    <row r="551" spans="6:24">
      <c r="F551" s="2"/>
      <c r="T551" s="4"/>
      <c r="U551" s="4"/>
      <c r="V551" s="4"/>
      <c r="W551" s="4"/>
      <c r="X551" s="4"/>
    </row>
    <row r="552" spans="6:24">
      <c r="F552" s="2"/>
      <c r="T552" s="4"/>
      <c r="U552" s="4"/>
      <c r="V552" s="4"/>
      <c r="W552" s="4"/>
      <c r="X552" s="4"/>
    </row>
    <row r="553" spans="6:24">
      <c r="F553" s="2"/>
      <c r="T553" s="4"/>
      <c r="U553" s="4"/>
      <c r="V553" s="4"/>
      <c r="W553" s="4"/>
      <c r="X553" s="4"/>
    </row>
    <row r="554" spans="6:24">
      <c r="F554" s="2"/>
      <c r="T554" s="4"/>
      <c r="U554" s="4"/>
      <c r="V554" s="4"/>
      <c r="W554" s="4"/>
      <c r="X554" s="4"/>
    </row>
    <row r="555" spans="6:24">
      <c r="F555" s="2"/>
      <c r="T555" s="4"/>
      <c r="U555" s="4"/>
      <c r="V555" s="4"/>
      <c r="W555" s="4"/>
      <c r="X555" s="4"/>
    </row>
    <row r="556" spans="6:24">
      <c r="F556" s="2"/>
      <c r="T556" s="4"/>
      <c r="U556" s="4"/>
      <c r="V556" s="4"/>
      <c r="W556" s="4"/>
      <c r="X556" s="4"/>
    </row>
    <row r="557" spans="6:24">
      <c r="F557" s="2"/>
      <c r="T557" s="4"/>
      <c r="U557" s="4"/>
      <c r="V557" s="4"/>
      <c r="W557" s="4"/>
      <c r="X557" s="4"/>
    </row>
    <row r="558" spans="6:24">
      <c r="F558" s="2"/>
      <c r="T558" s="4"/>
      <c r="U558" s="4"/>
      <c r="V558" s="4"/>
      <c r="W558" s="4"/>
      <c r="X558" s="4"/>
    </row>
    <row r="559" spans="6:24">
      <c r="F559" s="2"/>
      <c r="T559" s="4"/>
      <c r="U559" s="4"/>
      <c r="V559" s="4"/>
      <c r="W559" s="4"/>
      <c r="X559" s="4"/>
    </row>
    <row r="560" spans="6:24">
      <c r="F560" s="2"/>
      <c r="T560" s="4"/>
      <c r="U560" s="4"/>
      <c r="V560" s="4"/>
      <c r="W560" s="4"/>
      <c r="X560" s="4"/>
    </row>
    <row r="561" spans="6:24">
      <c r="F561" s="2"/>
      <c r="T561" s="4"/>
      <c r="U561" s="4"/>
      <c r="V561" s="4"/>
      <c r="W561" s="4"/>
      <c r="X561" s="4"/>
    </row>
    <row r="562" spans="6:24">
      <c r="F562" s="2"/>
      <c r="T562" s="4"/>
      <c r="U562" s="4"/>
      <c r="V562" s="4"/>
      <c r="W562" s="4"/>
      <c r="X562" s="4"/>
    </row>
    <row r="563" spans="6:24">
      <c r="F563" s="2"/>
      <c r="T563" s="4"/>
      <c r="U563" s="4"/>
      <c r="V563" s="4"/>
      <c r="W563" s="4"/>
      <c r="X563" s="4"/>
    </row>
    <row r="564" spans="6:24">
      <c r="F564" s="2"/>
      <c r="T564" s="4"/>
      <c r="U564" s="4"/>
      <c r="V564" s="4"/>
      <c r="W564" s="4"/>
      <c r="X564" s="4"/>
    </row>
    <row r="565" spans="6:24">
      <c r="F565" s="2"/>
      <c r="T565" s="4"/>
      <c r="U565" s="4"/>
      <c r="V565" s="4"/>
      <c r="W565" s="4"/>
      <c r="X565" s="4"/>
    </row>
    <row r="566" spans="6:24">
      <c r="F566" s="2"/>
      <c r="T566" s="4"/>
      <c r="U566" s="4"/>
      <c r="V566" s="4"/>
      <c r="W566" s="4"/>
      <c r="X566" s="4"/>
    </row>
    <row r="567" spans="6:24">
      <c r="F567" s="2"/>
      <c r="T567" s="4"/>
      <c r="U567" s="4"/>
      <c r="V567" s="4"/>
      <c r="W567" s="4"/>
      <c r="X567" s="4"/>
    </row>
    <row r="568" spans="6:24">
      <c r="F568" s="2"/>
      <c r="T568" s="4"/>
      <c r="U568" s="4"/>
      <c r="V568" s="4"/>
      <c r="W568" s="4"/>
      <c r="X568" s="4"/>
    </row>
    <row r="569" spans="6:24">
      <c r="F569" s="2"/>
      <c r="T569" s="4"/>
      <c r="U569" s="4"/>
      <c r="V569" s="4"/>
      <c r="W569" s="4"/>
      <c r="X569" s="4"/>
    </row>
    <row r="570" spans="6:24">
      <c r="F570" s="2"/>
      <c r="T570" s="4"/>
      <c r="U570" s="4"/>
      <c r="V570" s="4"/>
      <c r="W570" s="4"/>
      <c r="X570" s="4"/>
    </row>
    <row r="571" spans="6:24">
      <c r="F571" s="2"/>
      <c r="T571" s="4"/>
      <c r="U571" s="4"/>
      <c r="V571" s="4"/>
      <c r="W571" s="4"/>
      <c r="X571" s="4"/>
    </row>
    <row r="572" spans="6:24">
      <c r="F572" s="2"/>
      <c r="T572" s="4"/>
      <c r="U572" s="4"/>
      <c r="V572" s="4"/>
      <c r="W572" s="4"/>
      <c r="X572" s="4"/>
    </row>
    <row r="573" spans="6:24">
      <c r="F573" s="2"/>
      <c r="T573" s="4"/>
      <c r="U573" s="4"/>
      <c r="V573" s="4"/>
      <c r="W573" s="4"/>
      <c r="X573" s="4"/>
    </row>
    <row r="574" spans="6:24">
      <c r="F574" s="2"/>
      <c r="T574" s="4"/>
      <c r="U574" s="4"/>
      <c r="V574" s="4"/>
      <c r="W574" s="4"/>
      <c r="X574" s="4"/>
    </row>
    <row r="575" spans="6:24">
      <c r="F575" s="2"/>
      <c r="T575" s="4"/>
      <c r="U575" s="4"/>
      <c r="V575" s="4"/>
      <c r="W575" s="4"/>
      <c r="X575" s="4"/>
    </row>
    <row r="576" spans="6:24">
      <c r="F576" s="2"/>
      <c r="T576" s="4"/>
      <c r="U576" s="4"/>
      <c r="V576" s="4"/>
      <c r="W576" s="4"/>
      <c r="X576" s="4"/>
    </row>
    <row r="577" spans="6:24">
      <c r="F577" s="2"/>
      <c r="T577" s="4"/>
      <c r="U577" s="4"/>
      <c r="V577" s="4"/>
      <c r="W577" s="4"/>
      <c r="X577" s="4"/>
    </row>
    <row r="578" spans="6:24">
      <c r="T578" s="4"/>
      <c r="U578" s="4"/>
      <c r="V578" s="4"/>
      <c r="W578" s="4"/>
      <c r="X578" s="4"/>
    </row>
    <row r="579" spans="6:24">
      <c r="T579" s="4"/>
      <c r="U579" s="4"/>
      <c r="V579" s="4"/>
      <c r="W579" s="4"/>
      <c r="X579" s="4"/>
    </row>
    <row r="580" spans="6:24">
      <c r="T580" s="4"/>
      <c r="U580" s="4"/>
      <c r="V580" s="4"/>
      <c r="W580" s="4"/>
      <c r="X580" s="4"/>
    </row>
    <row r="581" spans="6:24">
      <c r="T581" s="4"/>
      <c r="U581" s="4"/>
      <c r="V581" s="4"/>
      <c r="W581" s="4"/>
      <c r="X581" s="4"/>
    </row>
    <row r="582" spans="6:24">
      <c r="T582" s="4"/>
      <c r="U582" s="4"/>
      <c r="V582" s="4"/>
      <c r="W582" s="4"/>
      <c r="X582" s="4"/>
    </row>
    <row r="583" spans="6:24">
      <c r="T583" s="4"/>
      <c r="U583" s="4"/>
      <c r="V583" s="4"/>
      <c r="W583" s="4"/>
      <c r="X583" s="4"/>
    </row>
    <row r="584" spans="6:24">
      <c r="T584" s="4"/>
      <c r="U584" s="4"/>
      <c r="V584" s="4"/>
      <c r="W584" s="4"/>
      <c r="X584" s="4"/>
    </row>
    <row r="585" spans="6:24">
      <c r="T585" s="4"/>
      <c r="U585" s="4"/>
      <c r="V585" s="4"/>
      <c r="W585" s="4"/>
      <c r="X585" s="4"/>
    </row>
    <row r="586" spans="6:24">
      <c r="T586" s="4"/>
      <c r="U586" s="4"/>
      <c r="V586" s="4"/>
      <c r="W586" s="4"/>
      <c r="X586" s="4"/>
    </row>
    <row r="587" spans="6:24">
      <c r="T587" s="4"/>
      <c r="U587" s="4"/>
      <c r="V587" s="4"/>
      <c r="W587" s="4"/>
      <c r="X587" s="4"/>
    </row>
    <row r="588" spans="6:24">
      <c r="T588" s="4"/>
      <c r="U588" s="4"/>
      <c r="V588" s="4"/>
      <c r="W588" s="4"/>
      <c r="X588" s="4"/>
    </row>
    <row r="589" spans="6:24">
      <c r="T589" s="4"/>
      <c r="U589" s="4"/>
      <c r="V589" s="4"/>
      <c r="W589" s="4"/>
      <c r="X589" s="4"/>
    </row>
    <row r="590" spans="6:24">
      <c r="T590" s="4"/>
      <c r="U590" s="4"/>
      <c r="V590" s="4"/>
      <c r="W590" s="4"/>
      <c r="X590" s="4"/>
    </row>
    <row r="591" spans="6:24">
      <c r="T591" s="4"/>
      <c r="U591" s="4"/>
      <c r="V591" s="4"/>
      <c r="W591" s="4"/>
      <c r="X591" s="4"/>
    </row>
    <row r="592" spans="6:24">
      <c r="T592" s="4"/>
      <c r="U592" s="4"/>
      <c r="V592" s="4"/>
      <c r="W592" s="4"/>
      <c r="X592" s="4"/>
    </row>
    <row r="593" spans="20:24">
      <c r="T593" s="4"/>
      <c r="U593" s="4"/>
      <c r="V593" s="4"/>
      <c r="W593" s="4"/>
      <c r="X593" s="4"/>
    </row>
    <row r="594" spans="20:24">
      <c r="T594" s="4"/>
      <c r="U594" s="4"/>
      <c r="V594" s="4"/>
      <c r="W594" s="4"/>
      <c r="X594" s="4"/>
    </row>
    <row r="595" spans="20:24">
      <c r="T595" s="4"/>
      <c r="U595" s="4"/>
      <c r="V595" s="4"/>
      <c r="W595" s="4"/>
      <c r="X595" s="4"/>
    </row>
    <row r="596" spans="20:24">
      <c r="T596" s="4"/>
      <c r="U596" s="4"/>
      <c r="V596" s="4"/>
      <c r="W596" s="4"/>
      <c r="X596" s="4"/>
    </row>
    <row r="597" spans="20:24">
      <c r="T597" s="4"/>
      <c r="U597" s="4"/>
      <c r="V597" s="4"/>
      <c r="W597" s="4"/>
      <c r="X597" s="4"/>
    </row>
    <row r="598" spans="20:24">
      <c r="T598" s="4"/>
      <c r="U598" s="4"/>
      <c r="V598" s="4"/>
      <c r="W598" s="4"/>
      <c r="X598" s="4"/>
    </row>
    <row r="599" spans="20:24">
      <c r="T599" s="4"/>
      <c r="U599" s="4"/>
      <c r="V599" s="4"/>
      <c r="W599" s="4"/>
      <c r="X599" s="4"/>
    </row>
    <row r="600" spans="20:24">
      <c r="T600" s="4"/>
      <c r="U600" s="4"/>
      <c r="V600" s="4"/>
      <c r="W600" s="4"/>
      <c r="X600" s="4"/>
    </row>
    <row r="601" spans="20:24">
      <c r="T601" s="4"/>
      <c r="U601" s="4"/>
      <c r="V601" s="4"/>
      <c r="W601" s="4"/>
      <c r="X601" s="4"/>
    </row>
    <row r="602" spans="20:24">
      <c r="T602" s="4"/>
      <c r="U602" s="4"/>
      <c r="V602" s="4"/>
      <c r="W602" s="4"/>
      <c r="X602" s="4"/>
    </row>
    <row r="603" spans="20:24">
      <c r="T603" s="4"/>
      <c r="U603" s="4"/>
      <c r="V603" s="4"/>
      <c r="W603" s="4"/>
      <c r="X603" s="4"/>
    </row>
    <row r="604" spans="20:24">
      <c r="T604" s="4"/>
      <c r="U604" s="4"/>
      <c r="V604" s="4"/>
      <c r="W604" s="4"/>
      <c r="X604" s="4"/>
    </row>
    <row r="605" spans="20:24">
      <c r="T605" s="4"/>
      <c r="U605" s="4"/>
      <c r="V605" s="4"/>
      <c r="W605" s="4"/>
      <c r="X605" s="4"/>
    </row>
    <row r="606" spans="20:24">
      <c r="T606" s="4"/>
      <c r="U606" s="4"/>
      <c r="V606" s="4"/>
      <c r="W606" s="4"/>
      <c r="X606" s="4"/>
    </row>
    <row r="607" spans="20:24">
      <c r="T607" s="4"/>
      <c r="U607" s="4"/>
      <c r="V607" s="4"/>
      <c r="W607" s="4"/>
      <c r="X607" s="4"/>
    </row>
    <row r="608" spans="20:24">
      <c r="T608" s="4"/>
      <c r="U608" s="4"/>
      <c r="V608" s="4"/>
      <c r="W608" s="4"/>
      <c r="X608" s="4"/>
    </row>
    <row r="609" spans="20:24">
      <c r="T609" s="4"/>
      <c r="U609" s="4"/>
      <c r="V609" s="4"/>
      <c r="W609" s="4"/>
      <c r="X609" s="4"/>
    </row>
    <row r="610" spans="20:24">
      <c r="T610" s="4"/>
      <c r="U610" s="4"/>
      <c r="V610" s="4"/>
      <c r="W610" s="4"/>
      <c r="X610" s="4"/>
    </row>
    <row r="611" spans="20:24">
      <c r="T611" s="4"/>
      <c r="U611" s="4"/>
      <c r="V611" s="4"/>
      <c r="W611" s="4"/>
      <c r="X611" s="4"/>
    </row>
    <row r="612" spans="20:24">
      <c r="T612" s="4"/>
      <c r="U612" s="4"/>
      <c r="V612" s="4"/>
      <c r="W612" s="4"/>
      <c r="X612" s="4"/>
    </row>
    <row r="613" spans="20:24">
      <c r="T613" s="4"/>
      <c r="U613" s="4"/>
      <c r="V613" s="4"/>
      <c r="W613" s="4"/>
      <c r="X613" s="4"/>
    </row>
    <row r="614" spans="20:24">
      <c r="T614" s="4"/>
      <c r="U614" s="4"/>
      <c r="V614" s="4"/>
      <c r="W614" s="4"/>
      <c r="X614" s="4"/>
    </row>
    <row r="615" spans="20:24">
      <c r="T615" s="4"/>
      <c r="U615" s="4"/>
      <c r="V615" s="4"/>
      <c r="W615" s="4"/>
      <c r="X615" s="4"/>
    </row>
    <row r="616" spans="20:24">
      <c r="T616" s="4"/>
      <c r="U616" s="4"/>
      <c r="V616" s="4"/>
      <c r="W616" s="4"/>
      <c r="X616" s="4"/>
    </row>
    <row r="617" spans="20:24">
      <c r="T617" s="4"/>
      <c r="U617" s="4"/>
      <c r="V617" s="4"/>
      <c r="W617" s="4"/>
      <c r="X617" s="4"/>
    </row>
    <row r="618" spans="20:24">
      <c r="T618" s="4"/>
      <c r="U618" s="4"/>
      <c r="V618" s="4"/>
      <c r="W618" s="4"/>
      <c r="X618" s="4"/>
    </row>
    <row r="619" spans="20:24">
      <c r="T619" s="4"/>
      <c r="U619" s="4"/>
      <c r="V619" s="4"/>
      <c r="W619" s="4"/>
      <c r="X619" s="4"/>
    </row>
    <row r="620" spans="20:24">
      <c r="T620" s="4"/>
      <c r="U620" s="4"/>
      <c r="V620" s="4"/>
      <c r="W620" s="4"/>
      <c r="X620" s="4"/>
    </row>
    <row r="621" spans="20:24">
      <c r="T621" s="4"/>
      <c r="U621" s="4"/>
      <c r="V621" s="4"/>
      <c r="W621" s="4"/>
      <c r="X621" s="4"/>
    </row>
    <row r="622" spans="20:24">
      <c r="T622" s="4"/>
      <c r="U622" s="4"/>
      <c r="V622" s="4"/>
      <c r="W622" s="4"/>
      <c r="X622" s="4"/>
    </row>
    <row r="623" spans="20:24">
      <c r="T623" s="4"/>
      <c r="U623" s="4"/>
      <c r="V623" s="4"/>
      <c r="W623" s="4"/>
      <c r="X623" s="4"/>
    </row>
    <row r="624" spans="20:24">
      <c r="T624" s="4"/>
      <c r="U624" s="4"/>
      <c r="V624" s="4"/>
      <c r="W624" s="4"/>
      <c r="X624" s="4"/>
    </row>
    <row r="625" spans="20:24">
      <c r="T625" s="4"/>
      <c r="U625" s="4"/>
      <c r="V625" s="4"/>
      <c r="W625" s="4"/>
      <c r="X625" s="4"/>
    </row>
    <row r="626" spans="20:24">
      <c r="T626" s="4"/>
      <c r="U626" s="4"/>
      <c r="V626" s="4"/>
      <c r="W626" s="4"/>
      <c r="X626" s="4"/>
    </row>
    <row r="627" spans="20:24">
      <c r="T627" s="4"/>
      <c r="U627" s="4"/>
      <c r="V627" s="4"/>
      <c r="W627" s="4"/>
      <c r="X627" s="4"/>
    </row>
    <row r="628" spans="20:24">
      <c r="T628" s="4"/>
      <c r="U628" s="4"/>
      <c r="V628" s="4"/>
      <c r="W628" s="4"/>
      <c r="X628" s="4"/>
    </row>
    <row r="629" spans="20:24">
      <c r="T629" s="4"/>
      <c r="U629" s="4"/>
      <c r="V629" s="4"/>
      <c r="W629" s="4"/>
      <c r="X629" s="4"/>
    </row>
    <row r="630" spans="20:24">
      <c r="T630" s="4"/>
      <c r="U630" s="4"/>
      <c r="V630" s="4"/>
      <c r="W630" s="4"/>
      <c r="X630" s="4"/>
    </row>
    <row r="631" spans="20:24">
      <c r="T631" s="4"/>
      <c r="U631" s="4"/>
      <c r="V631" s="4"/>
      <c r="W631" s="4"/>
      <c r="X631" s="4"/>
    </row>
    <row r="632" spans="20:24">
      <c r="T632" s="4"/>
      <c r="U632" s="4"/>
      <c r="V632" s="4"/>
      <c r="W632" s="4"/>
      <c r="X632" s="4"/>
    </row>
    <row r="633" spans="20:24">
      <c r="T633" s="4"/>
      <c r="U633" s="4"/>
      <c r="V633" s="4"/>
      <c r="W633" s="4"/>
      <c r="X633" s="4"/>
    </row>
    <row r="634" spans="20:24">
      <c r="T634" s="4"/>
      <c r="U634" s="4"/>
      <c r="V634" s="4"/>
      <c r="W634" s="4"/>
      <c r="X634" s="4"/>
    </row>
    <row r="635" spans="20:24">
      <c r="T635" s="4"/>
      <c r="U635" s="4"/>
      <c r="V635" s="4"/>
      <c r="W635" s="4"/>
      <c r="X635" s="4"/>
    </row>
    <row r="636" spans="20:24">
      <c r="T636" s="4"/>
      <c r="U636" s="4"/>
      <c r="V636" s="4"/>
      <c r="W636" s="4"/>
      <c r="X636" s="4"/>
    </row>
    <row r="637" spans="20:24">
      <c r="T637" s="4"/>
      <c r="U637" s="4"/>
      <c r="V637" s="4"/>
      <c r="W637" s="4"/>
      <c r="X637" s="4"/>
    </row>
    <row r="638" spans="20:24">
      <c r="T638" s="4"/>
      <c r="U638" s="4"/>
      <c r="V638" s="4"/>
      <c r="W638" s="4"/>
      <c r="X638" s="4"/>
    </row>
    <row r="639" spans="20:24">
      <c r="T639" s="4"/>
      <c r="U639" s="4"/>
      <c r="V639" s="4"/>
      <c r="W639" s="4"/>
      <c r="X639" s="4"/>
    </row>
    <row r="640" spans="20:24">
      <c r="T640" s="4"/>
      <c r="U640" s="4"/>
      <c r="V640" s="4"/>
      <c r="W640" s="4"/>
      <c r="X640" s="4"/>
    </row>
    <row r="641" spans="20:24">
      <c r="T641" s="4"/>
      <c r="U641" s="4"/>
      <c r="V641" s="4"/>
      <c r="W641" s="4"/>
      <c r="X641" s="4"/>
    </row>
    <row r="642" spans="20:24">
      <c r="T642" s="4"/>
      <c r="U642" s="4"/>
      <c r="V642" s="4"/>
      <c r="W642" s="4"/>
      <c r="X642" s="4"/>
    </row>
    <row r="643" spans="20:24">
      <c r="T643" s="4"/>
      <c r="U643" s="4"/>
      <c r="V643" s="4"/>
      <c r="W643" s="4"/>
      <c r="X643" s="4"/>
    </row>
    <row r="644" spans="20:24">
      <c r="T644" s="4"/>
      <c r="U644" s="4"/>
      <c r="V644" s="4"/>
      <c r="W644" s="4"/>
      <c r="X644" s="4"/>
    </row>
    <row r="645" spans="20:24">
      <c r="T645" s="4"/>
      <c r="U645" s="4"/>
      <c r="V645" s="4"/>
      <c r="W645" s="4"/>
      <c r="X645" s="4"/>
    </row>
    <row r="646" spans="20:24">
      <c r="T646" s="4"/>
      <c r="U646" s="4"/>
      <c r="V646" s="4"/>
      <c r="W646" s="4"/>
      <c r="X646" s="4"/>
    </row>
    <row r="647" spans="20:24">
      <c r="T647" s="4"/>
      <c r="U647" s="4"/>
      <c r="V647" s="4"/>
      <c r="W647" s="4"/>
      <c r="X647" s="4"/>
    </row>
    <row r="648" spans="20:24">
      <c r="T648" s="4"/>
      <c r="U648" s="4"/>
      <c r="V648" s="4"/>
      <c r="W648" s="4"/>
      <c r="X648" s="4"/>
    </row>
    <row r="649" spans="20:24">
      <c r="T649" s="4"/>
      <c r="U649" s="4"/>
      <c r="V649" s="4"/>
      <c r="W649" s="4"/>
      <c r="X649" s="4"/>
    </row>
    <row r="650" spans="20:24">
      <c r="T650" s="4"/>
      <c r="U650" s="4"/>
      <c r="V650" s="4"/>
      <c r="W650" s="4"/>
      <c r="X650" s="4"/>
    </row>
    <row r="651" spans="20:24">
      <c r="T651" s="4"/>
      <c r="U651" s="4"/>
      <c r="V651" s="4"/>
      <c r="W651" s="4"/>
      <c r="X651" s="4"/>
    </row>
    <row r="652" spans="20:24">
      <c r="T652" s="4"/>
      <c r="U652" s="4"/>
      <c r="V652" s="4"/>
      <c r="W652" s="4"/>
      <c r="X652" s="4"/>
    </row>
    <row r="653" spans="20:24">
      <c r="T653" s="4"/>
      <c r="U653" s="4"/>
      <c r="V653" s="4"/>
      <c r="W653" s="4"/>
      <c r="X653" s="4"/>
    </row>
    <row r="654" spans="20:24">
      <c r="T654" s="4"/>
      <c r="U654" s="4"/>
      <c r="V654" s="4"/>
      <c r="W654" s="4"/>
      <c r="X654" s="4"/>
    </row>
    <row r="655" spans="20:24">
      <c r="T655" s="4"/>
      <c r="U655" s="4"/>
      <c r="V655" s="4"/>
      <c r="W655" s="4"/>
      <c r="X655" s="4"/>
    </row>
    <row r="656" spans="20:24">
      <c r="T656" s="4"/>
      <c r="U656" s="4"/>
      <c r="V656" s="4"/>
      <c r="W656" s="4"/>
      <c r="X656" s="4"/>
    </row>
    <row r="657" spans="20:24">
      <c r="T657" s="4"/>
      <c r="U657" s="4"/>
      <c r="V657" s="4"/>
      <c r="W657" s="4"/>
      <c r="X657" s="4"/>
    </row>
    <row r="658" spans="20:24">
      <c r="T658" s="4"/>
      <c r="U658" s="4"/>
      <c r="V658" s="4"/>
      <c r="W658" s="4"/>
      <c r="X658" s="4"/>
    </row>
    <row r="659" spans="20:24">
      <c r="T659" s="4"/>
      <c r="U659" s="4"/>
      <c r="V659" s="4"/>
      <c r="W659" s="4"/>
      <c r="X659" s="4"/>
    </row>
    <row r="660" spans="20:24">
      <c r="T660" s="4"/>
      <c r="U660" s="4"/>
      <c r="V660" s="4"/>
      <c r="W660" s="4"/>
      <c r="X660" s="4"/>
    </row>
    <row r="661" spans="20:24">
      <c r="T661" s="4"/>
      <c r="U661" s="4"/>
      <c r="V661" s="4"/>
      <c r="W661" s="4"/>
      <c r="X661" s="4"/>
    </row>
    <row r="662" spans="20:24">
      <c r="T662" s="4"/>
      <c r="U662" s="4"/>
      <c r="V662" s="4"/>
      <c r="W662" s="4"/>
      <c r="X662" s="4"/>
    </row>
    <row r="663" spans="20:24">
      <c r="T663" s="4"/>
      <c r="U663" s="4"/>
      <c r="V663" s="4"/>
      <c r="W663" s="4"/>
      <c r="X663" s="4"/>
    </row>
    <row r="664" spans="20:24">
      <c r="T664" s="4"/>
      <c r="U664" s="4"/>
      <c r="V664" s="4"/>
      <c r="W664" s="4"/>
      <c r="X664" s="4"/>
    </row>
    <row r="665" spans="20:24">
      <c r="T665" s="4"/>
      <c r="U665" s="4"/>
      <c r="V665" s="4"/>
      <c r="W665" s="4"/>
      <c r="X665" s="4"/>
    </row>
    <row r="666" spans="20:24">
      <c r="T666" s="4"/>
      <c r="U666" s="4"/>
      <c r="V666" s="4"/>
      <c r="W666" s="4"/>
      <c r="X666" s="4"/>
    </row>
    <row r="667" spans="20:24">
      <c r="T667" s="4"/>
      <c r="U667" s="4"/>
      <c r="V667" s="4"/>
      <c r="W667" s="4"/>
      <c r="X667" s="4"/>
    </row>
    <row r="668" spans="20:24">
      <c r="T668" s="4"/>
      <c r="U668" s="4"/>
      <c r="V668" s="4"/>
      <c r="W668" s="4"/>
      <c r="X668" s="4"/>
    </row>
    <row r="669" spans="20:24">
      <c r="T669" s="4"/>
      <c r="U669" s="4"/>
      <c r="V669" s="4"/>
      <c r="W669" s="4"/>
      <c r="X669" s="4"/>
    </row>
    <row r="670" spans="20:24">
      <c r="T670" s="4"/>
      <c r="U670" s="4"/>
      <c r="V670" s="4"/>
      <c r="W670" s="4"/>
      <c r="X670" s="4"/>
    </row>
    <row r="671" spans="20:24">
      <c r="T671" s="4"/>
      <c r="U671" s="4"/>
      <c r="V671" s="4"/>
      <c r="W671" s="4"/>
      <c r="X671" s="4"/>
    </row>
    <row r="672" spans="20:24">
      <c r="T672" s="4"/>
      <c r="U672" s="4"/>
      <c r="V672" s="4"/>
      <c r="W672" s="4"/>
      <c r="X672" s="4"/>
    </row>
    <row r="673" spans="20:24">
      <c r="T673" s="4"/>
      <c r="U673" s="4"/>
      <c r="V673" s="4"/>
      <c r="W673" s="4"/>
      <c r="X673" s="4"/>
    </row>
    <row r="674" spans="20:24">
      <c r="T674" s="4"/>
      <c r="U674" s="4"/>
      <c r="V674" s="4"/>
      <c r="W674" s="4"/>
      <c r="X674" s="4"/>
    </row>
    <row r="675" spans="20:24">
      <c r="T675" s="4"/>
      <c r="U675" s="4"/>
      <c r="V675" s="4"/>
      <c r="W675" s="4"/>
      <c r="X675" s="4"/>
    </row>
    <row r="676" spans="20:24">
      <c r="T676" s="4"/>
      <c r="U676" s="4"/>
      <c r="V676" s="4"/>
      <c r="W676" s="4"/>
      <c r="X676" s="4"/>
    </row>
    <row r="677" spans="20:24">
      <c r="T677" s="4"/>
      <c r="U677" s="4"/>
      <c r="V677" s="4"/>
      <c r="W677" s="4"/>
      <c r="X677" s="4"/>
    </row>
    <row r="678" spans="20:24">
      <c r="T678" s="4"/>
      <c r="U678" s="4"/>
      <c r="V678" s="4"/>
      <c r="W678" s="4"/>
      <c r="X678" s="4"/>
    </row>
    <row r="679" spans="20:24">
      <c r="T679" s="4"/>
      <c r="U679" s="4"/>
      <c r="V679" s="4"/>
      <c r="W679" s="4"/>
      <c r="X679" s="4"/>
    </row>
    <row r="680" spans="20:24">
      <c r="T680" s="4"/>
      <c r="U680" s="4"/>
      <c r="V680" s="4"/>
      <c r="W680" s="4"/>
      <c r="X680" s="4"/>
    </row>
    <row r="681" spans="20:24">
      <c r="T681" s="4"/>
      <c r="U681" s="4"/>
      <c r="V681" s="4"/>
      <c r="W681" s="4"/>
      <c r="X681" s="4"/>
    </row>
    <row r="682" spans="20:24">
      <c r="T682" s="4"/>
      <c r="U682" s="4"/>
      <c r="V682" s="4"/>
      <c r="W682" s="4"/>
      <c r="X682" s="4"/>
    </row>
    <row r="683" spans="20:24">
      <c r="T683" s="4"/>
      <c r="U683" s="4"/>
      <c r="V683" s="4"/>
      <c r="W683" s="4"/>
      <c r="X683" s="4"/>
    </row>
    <row r="684" spans="20:24">
      <c r="T684" s="4"/>
      <c r="U684" s="4"/>
      <c r="V684" s="4"/>
      <c r="W684" s="4"/>
      <c r="X684" s="4"/>
    </row>
    <row r="685" spans="20:24">
      <c r="T685" s="4"/>
      <c r="U685" s="4"/>
      <c r="V685" s="4"/>
      <c r="W685" s="4"/>
      <c r="X685" s="4"/>
    </row>
    <row r="686" spans="20:24">
      <c r="T686" s="4"/>
      <c r="U686" s="4"/>
      <c r="V686" s="4"/>
      <c r="W686" s="4"/>
      <c r="X686" s="4"/>
    </row>
    <row r="687" spans="20:24">
      <c r="T687" s="4"/>
      <c r="U687" s="4"/>
      <c r="V687" s="4"/>
      <c r="W687" s="4"/>
      <c r="X687" s="4"/>
    </row>
    <row r="688" spans="20:24">
      <c r="T688" s="4"/>
      <c r="U688" s="4"/>
      <c r="V688" s="4"/>
      <c r="W688" s="4"/>
      <c r="X688" s="4"/>
    </row>
    <row r="689" spans="20:24">
      <c r="T689" s="4"/>
      <c r="U689" s="4"/>
      <c r="V689" s="4"/>
      <c r="W689" s="4"/>
      <c r="X689" s="4"/>
    </row>
    <row r="690" spans="20:24">
      <c r="T690" s="4"/>
      <c r="U690" s="4"/>
      <c r="V690" s="4"/>
      <c r="W690" s="4"/>
      <c r="X690" s="4"/>
    </row>
    <row r="691" spans="20:24">
      <c r="T691" s="4"/>
      <c r="U691" s="4"/>
      <c r="V691" s="4"/>
      <c r="W691" s="4"/>
      <c r="X691" s="4"/>
    </row>
    <row r="692" spans="20:24">
      <c r="T692" s="4"/>
      <c r="U692" s="4"/>
      <c r="V692" s="4"/>
      <c r="W692" s="4"/>
      <c r="X692" s="4"/>
    </row>
    <row r="693" spans="20:24">
      <c r="T693" s="4"/>
      <c r="U693" s="4"/>
      <c r="V693" s="4"/>
      <c r="W693" s="4"/>
      <c r="X693" s="4"/>
    </row>
    <row r="694" spans="20:24">
      <c r="T694" s="4"/>
      <c r="U694" s="4"/>
      <c r="V694" s="4"/>
      <c r="W694" s="4"/>
      <c r="X694" s="4"/>
    </row>
    <row r="695" spans="20:24">
      <c r="T695" s="4"/>
      <c r="U695" s="4"/>
      <c r="V695" s="4"/>
      <c r="W695" s="4"/>
      <c r="X695" s="4"/>
    </row>
    <row r="696" spans="20:24">
      <c r="T696" s="4"/>
      <c r="U696" s="4"/>
      <c r="V696" s="4"/>
      <c r="W696" s="4"/>
      <c r="X696" s="4"/>
    </row>
    <row r="697" spans="20:24">
      <c r="T697" s="4"/>
      <c r="U697" s="4"/>
      <c r="V697" s="4"/>
      <c r="W697" s="4"/>
      <c r="X697" s="4"/>
    </row>
    <row r="698" spans="20:24">
      <c r="T698" s="4"/>
      <c r="U698" s="4"/>
      <c r="V698" s="4"/>
      <c r="W698" s="4"/>
      <c r="X698" s="4"/>
    </row>
    <row r="699" spans="20:24">
      <c r="T699" s="4"/>
      <c r="U699" s="4"/>
      <c r="V699" s="4"/>
      <c r="W699" s="4"/>
      <c r="X699" s="4"/>
    </row>
    <row r="700" spans="20:24">
      <c r="T700" s="4"/>
      <c r="U700" s="4"/>
      <c r="V700" s="4"/>
      <c r="W700" s="4"/>
      <c r="X700" s="4"/>
    </row>
    <row r="701" spans="20:24">
      <c r="T701" s="4"/>
      <c r="U701" s="4"/>
      <c r="V701" s="4"/>
      <c r="W701" s="4"/>
      <c r="X701" s="4"/>
    </row>
    <row r="702" spans="20:24">
      <c r="T702" s="4"/>
      <c r="U702" s="4"/>
      <c r="V702" s="4"/>
      <c r="W702" s="4"/>
      <c r="X702" s="4"/>
    </row>
    <row r="703" spans="20:24">
      <c r="T703" s="4"/>
      <c r="U703" s="4"/>
      <c r="V703" s="4"/>
      <c r="W703" s="4"/>
      <c r="X703" s="4"/>
    </row>
    <row r="704" spans="20:24">
      <c r="T704" s="4"/>
      <c r="U704" s="4"/>
      <c r="V704" s="4"/>
      <c r="W704" s="4"/>
      <c r="X704" s="4"/>
    </row>
    <row r="705" spans="20:24">
      <c r="T705" s="4"/>
      <c r="U705" s="4"/>
      <c r="V705" s="4"/>
      <c r="W705" s="4"/>
      <c r="X705" s="4"/>
    </row>
    <row r="706" spans="20:24">
      <c r="T706" s="4"/>
      <c r="U706" s="4"/>
      <c r="V706" s="4"/>
      <c r="W706" s="4"/>
      <c r="X706" s="4"/>
    </row>
    <row r="707" spans="20:24">
      <c r="T707" s="4"/>
      <c r="U707" s="4"/>
      <c r="V707" s="4"/>
      <c r="W707" s="4"/>
      <c r="X707" s="4"/>
    </row>
    <row r="708" spans="20:24">
      <c r="T708" s="4"/>
      <c r="U708" s="4"/>
      <c r="V708" s="4"/>
      <c r="W708" s="4"/>
      <c r="X708" s="4"/>
    </row>
    <row r="709" spans="20:24">
      <c r="T709" s="4"/>
      <c r="U709" s="4"/>
      <c r="V709" s="4"/>
      <c r="W709" s="4"/>
      <c r="X709" s="4"/>
    </row>
    <row r="710" spans="20:24">
      <c r="T710" s="4"/>
      <c r="U710" s="4"/>
      <c r="V710" s="4"/>
      <c r="W710" s="4"/>
      <c r="X710" s="4"/>
    </row>
    <row r="711" spans="20:24">
      <c r="T711" s="4"/>
      <c r="U711" s="4"/>
      <c r="V711" s="4"/>
      <c r="W711" s="4"/>
      <c r="X711" s="4"/>
    </row>
    <row r="712" spans="20:24">
      <c r="T712" s="4"/>
      <c r="U712" s="4"/>
      <c r="V712" s="4"/>
      <c r="W712" s="4"/>
      <c r="X712" s="4"/>
    </row>
    <row r="713" spans="20:24">
      <c r="T713" s="4"/>
      <c r="U713" s="4"/>
      <c r="V713" s="4"/>
      <c r="W713" s="4"/>
      <c r="X713" s="4"/>
    </row>
    <row r="714" spans="20:24">
      <c r="T714" s="4"/>
      <c r="U714" s="4"/>
      <c r="V714" s="4"/>
      <c r="W714" s="4"/>
      <c r="X714" s="4"/>
    </row>
    <row r="715" spans="20:24">
      <c r="T715" s="4"/>
      <c r="U715" s="4"/>
      <c r="V715" s="4"/>
      <c r="W715" s="4"/>
      <c r="X715" s="4"/>
    </row>
    <row r="716" spans="20:24">
      <c r="T716" s="4"/>
      <c r="U716" s="4"/>
      <c r="V716" s="4"/>
      <c r="W716" s="4"/>
      <c r="X716" s="4"/>
    </row>
    <row r="717" spans="20:24">
      <c r="T717" s="4"/>
      <c r="U717" s="4"/>
      <c r="V717" s="4"/>
      <c r="W717" s="4"/>
      <c r="X717" s="4"/>
    </row>
    <row r="718" spans="20:24">
      <c r="T718" s="4"/>
      <c r="U718" s="4"/>
      <c r="V718" s="4"/>
      <c r="W718" s="4"/>
      <c r="X718" s="4"/>
    </row>
    <row r="719" spans="20:24">
      <c r="T719" s="4"/>
      <c r="U719" s="4"/>
      <c r="V719" s="4"/>
      <c r="W719" s="4"/>
      <c r="X719" s="4"/>
    </row>
    <row r="720" spans="20:24">
      <c r="T720" s="4"/>
      <c r="U720" s="4"/>
      <c r="V720" s="4"/>
      <c r="W720" s="4"/>
      <c r="X720" s="4"/>
    </row>
    <row r="721" spans="20:24">
      <c r="T721" s="4"/>
      <c r="U721" s="4"/>
      <c r="V721" s="4"/>
      <c r="W721" s="4"/>
      <c r="X721" s="4"/>
    </row>
    <row r="722" spans="20:24">
      <c r="T722" s="4"/>
      <c r="U722" s="4"/>
      <c r="V722" s="4"/>
      <c r="W722" s="4"/>
      <c r="X722" s="4"/>
    </row>
    <row r="723" spans="20:24">
      <c r="T723" s="4"/>
      <c r="U723" s="4"/>
      <c r="V723" s="4"/>
      <c r="W723" s="4"/>
      <c r="X723" s="4"/>
    </row>
    <row r="724" spans="20:24">
      <c r="T724" s="4"/>
      <c r="U724" s="4"/>
      <c r="V724" s="4"/>
      <c r="W724" s="4"/>
      <c r="X724" s="4"/>
    </row>
    <row r="725" spans="20:24">
      <c r="T725" s="4"/>
      <c r="U725" s="4"/>
      <c r="V725" s="4"/>
      <c r="W725" s="4"/>
      <c r="X725" s="4"/>
    </row>
    <row r="726" spans="20:24">
      <c r="T726" s="4"/>
      <c r="U726" s="4"/>
      <c r="V726" s="4"/>
      <c r="W726" s="4"/>
      <c r="X726" s="4"/>
    </row>
    <row r="727" spans="20:24">
      <c r="T727" s="4"/>
      <c r="U727" s="4"/>
      <c r="V727" s="4"/>
      <c r="W727" s="4"/>
      <c r="X727" s="4"/>
    </row>
    <row r="728" spans="20:24">
      <c r="T728" s="4"/>
      <c r="U728" s="4"/>
      <c r="V728" s="4"/>
      <c r="W728" s="4"/>
      <c r="X728" s="4"/>
    </row>
    <row r="729" spans="20:24">
      <c r="T729" s="4"/>
      <c r="U729" s="4"/>
      <c r="V729" s="4"/>
      <c r="W729" s="4"/>
      <c r="X729" s="4"/>
    </row>
    <row r="730" spans="20:24">
      <c r="T730" s="4"/>
      <c r="U730" s="4"/>
      <c r="V730" s="4"/>
      <c r="W730" s="4"/>
      <c r="X730" s="4"/>
    </row>
    <row r="731" spans="20:24">
      <c r="T731" s="4"/>
      <c r="U731" s="4"/>
      <c r="V731" s="4"/>
      <c r="W731" s="4"/>
      <c r="X731" s="4"/>
    </row>
    <row r="732" spans="20:24">
      <c r="T732" s="4"/>
      <c r="U732" s="4"/>
      <c r="V732" s="4"/>
      <c r="W732" s="4"/>
      <c r="X732" s="4"/>
    </row>
    <row r="733" spans="20:24">
      <c r="T733" s="4"/>
      <c r="U733" s="4"/>
      <c r="V733" s="4"/>
      <c r="W733" s="4"/>
      <c r="X733" s="4"/>
    </row>
    <row r="734" spans="20:24">
      <c r="T734" s="4"/>
      <c r="U734" s="4"/>
      <c r="V734" s="4"/>
      <c r="W734" s="4"/>
      <c r="X734" s="4"/>
    </row>
    <row r="735" spans="20:24">
      <c r="T735" s="4"/>
      <c r="U735" s="4"/>
      <c r="V735" s="4"/>
      <c r="W735" s="4"/>
      <c r="X735" s="4"/>
    </row>
    <row r="736" spans="20:24">
      <c r="T736" s="4"/>
      <c r="U736" s="4"/>
      <c r="V736" s="4"/>
      <c r="W736" s="4"/>
      <c r="X736" s="4"/>
    </row>
    <row r="737" spans="20:24">
      <c r="T737" s="4"/>
      <c r="U737" s="4"/>
      <c r="V737" s="4"/>
      <c r="W737" s="4"/>
      <c r="X737" s="4"/>
    </row>
    <row r="738" spans="20:24">
      <c r="T738" s="4"/>
      <c r="U738" s="4"/>
      <c r="V738" s="4"/>
      <c r="W738" s="4"/>
      <c r="X738" s="4"/>
    </row>
    <row r="739" spans="20:24">
      <c r="T739" s="4"/>
      <c r="U739" s="4"/>
      <c r="V739" s="4"/>
      <c r="W739" s="4"/>
      <c r="X739" s="4"/>
    </row>
    <row r="740" spans="20:24">
      <c r="T740" s="4"/>
      <c r="U740" s="4"/>
      <c r="V740" s="4"/>
      <c r="W740" s="4"/>
      <c r="X740" s="4"/>
    </row>
    <row r="741" spans="20:24">
      <c r="T741" s="4"/>
      <c r="U741" s="4"/>
      <c r="V741" s="4"/>
      <c r="W741" s="4"/>
      <c r="X741" s="4"/>
    </row>
    <row r="742" spans="20:24">
      <c r="T742" s="4"/>
      <c r="U742" s="4"/>
      <c r="V742" s="4"/>
      <c r="W742" s="4"/>
      <c r="X742" s="4"/>
    </row>
    <row r="743" spans="20:24">
      <c r="T743" s="4"/>
      <c r="U743" s="4"/>
      <c r="V743" s="4"/>
      <c r="W743" s="4"/>
      <c r="X743" s="4"/>
    </row>
    <row r="744" spans="20:24">
      <c r="T744" s="4"/>
      <c r="U744" s="4"/>
      <c r="V744" s="4"/>
      <c r="W744" s="4"/>
      <c r="X744" s="4"/>
    </row>
    <row r="745" spans="20:24">
      <c r="T745" s="4"/>
      <c r="U745" s="4"/>
      <c r="V745" s="4"/>
      <c r="W745" s="4"/>
      <c r="X745" s="4"/>
    </row>
    <row r="746" spans="20:24">
      <c r="T746" s="4"/>
      <c r="U746" s="4"/>
      <c r="V746" s="4"/>
      <c r="W746" s="4"/>
      <c r="X746" s="4"/>
    </row>
    <row r="747" spans="20:24">
      <c r="T747" s="4"/>
      <c r="U747" s="4"/>
      <c r="V747" s="4"/>
      <c r="W747" s="4"/>
      <c r="X747" s="4"/>
    </row>
    <row r="748" spans="20:24">
      <c r="T748" s="4"/>
      <c r="U748" s="4"/>
      <c r="V748" s="4"/>
      <c r="W748" s="4"/>
      <c r="X748" s="4"/>
    </row>
    <row r="749" spans="20:24">
      <c r="T749" s="4"/>
      <c r="U749" s="4"/>
      <c r="V749" s="4"/>
      <c r="W749" s="4"/>
      <c r="X749" s="4"/>
    </row>
    <row r="750" spans="20:24">
      <c r="T750" s="4"/>
      <c r="U750" s="4"/>
      <c r="V750" s="4"/>
      <c r="W750" s="4"/>
      <c r="X750" s="4"/>
    </row>
    <row r="751" spans="20:24">
      <c r="T751" s="4"/>
      <c r="U751" s="4"/>
      <c r="V751" s="4"/>
      <c r="W751" s="4"/>
      <c r="X751" s="4"/>
    </row>
    <row r="752" spans="20:24">
      <c r="T752" s="4"/>
      <c r="U752" s="4"/>
      <c r="V752" s="4"/>
      <c r="W752" s="4"/>
      <c r="X752" s="4"/>
    </row>
    <row r="753" spans="20:24">
      <c r="T753" s="4"/>
      <c r="U753" s="4"/>
      <c r="V753" s="4"/>
      <c r="W753" s="4"/>
      <c r="X753" s="4"/>
    </row>
    <row r="754" spans="20:24">
      <c r="T754" s="4"/>
      <c r="U754" s="4"/>
      <c r="V754" s="4"/>
      <c r="W754" s="4"/>
      <c r="X754" s="4"/>
    </row>
    <row r="755" spans="20:24">
      <c r="T755" s="4"/>
      <c r="U755" s="4"/>
      <c r="V755" s="4"/>
      <c r="W755" s="4"/>
      <c r="X755" s="4"/>
    </row>
    <row r="756" spans="20:24">
      <c r="T756" s="4"/>
      <c r="U756" s="4"/>
      <c r="V756" s="4"/>
      <c r="W756" s="4"/>
      <c r="X756" s="4"/>
    </row>
    <row r="757" spans="20:24">
      <c r="T757" s="4"/>
      <c r="U757" s="4"/>
      <c r="V757" s="4"/>
      <c r="W757" s="4"/>
      <c r="X757" s="4"/>
    </row>
    <row r="758" spans="20:24">
      <c r="T758" s="4"/>
      <c r="U758" s="4"/>
      <c r="V758" s="4"/>
      <c r="W758" s="4"/>
      <c r="X758" s="4"/>
    </row>
    <row r="759" spans="20:24">
      <c r="T759" s="4"/>
      <c r="U759" s="4"/>
      <c r="V759" s="4"/>
      <c r="W759" s="4"/>
      <c r="X759" s="4"/>
    </row>
    <row r="760" spans="20:24">
      <c r="T760" s="4"/>
      <c r="U760" s="4"/>
      <c r="V760" s="4"/>
      <c r="W760" s="4"/>
      <c r="X760" s="4"/>
    </row>
    <row r="761" spans="20:24">
      <c r="T761" s="4"/>
      <c r="U761" s="4"/>
      <c r="V761" s="4"/>
      <c r="W761" s="4"/>
      <c r="X761" s="4"/>
    </row>
    <row r="762" spans="20:24">
      <c r="T762" s="4"/>
      <c r="U762" s="4"/>
      <c r="V762" s="4"/>
      <c r="W762" s="4"/>
      <c r="X762" s="4"/>
    </row>
    <row r="763" spans="20:24">
      <c r="T763" s="4"/>
      <c r="U763" s="4"/>
      <c r="V763" s="4"/>
      <c r="W763" s="4"/>
      <c r="X763" s="4"/>
    </row>
    <row r="764" spans="20:24">
      <c r="T764" s="4"/>
      <c r="U764" s="4"/>
      <c r="V764" s="4"/>
      <c r="W764" s="4"/>
      <c r="X764" s="4"/>
    </row>
    <row r="765" spans="20:24">
      <c r="T765" s="4"/>
      <c r="U765" s="4"/>
      <c r="V765" s="4"/>
      <c r="W765" s="4"/>
      <c r="X765" s="4"/>
    </row>
    <row r="766" spans="20:24">
      <c r="T766" s="4"/>
      <c r="U766" s="4"/>
      <c r="V766" s="4"/>
      <c r="W766" s="4"/>
      <c r="X766" s="4"/>
    </row>
    <row r="767" spans="20:24">
      <c r="T767" s="4"/>
      <c r="U767" s="4"/>
      <c r="V767" s="4"/>
      <c r="W767" s="4"/>
      <c r="X767" s="4"/>
    </row>
    <row r="768" spans="20:24">
      <c r="T768" s="4"/>
      <c r="U768" s="4"/>
      <c r="V768" s="4"/>
      <c r="W768" s="4"/>
      <c r="X768" s="4"/>
    </row>
    <row r="769" spans="20:24">
      <c r="T769" s="4"/>
      <c r="U769" s="4"/>
      <c r="V769" s="4"/>
      <c r="W769" s="4"/>
      <c r="X769" s="4"/>
    </row>
    <row r="770" spans="20:24">
      <c r="T770" s="4"/>
      <c r="U770" s="4"/>
      <c r="V770" s="4"/>
      <c r="W770" s="4"/>
      <c r="X770" s="4"/>
    </row>
    <row r="771" spans="20:24">
      <c r="T771" s="4"/>
      <c r="U771" s="4"/>
      <c r="V771" s="4"/>
      <c r="W771" s="4"/>
      <c r="X771" s="4"/>
    </row>
    <row r="772" spans="20:24">
      <c r="T772" s="4"/>
      <c r="U772" s="4"/>
      <c r="V772" s="4"/>
      <c r="W772" s="4"/>
      <c r="X772" s="4"/>
    </row>
    <row r="773" spans="20:24">
      <c r="T773" s="4"/>
      <c r="U773" s="4"/>
      <c r="V773" s="4"/>
      <c r="W773" s="4"/>
      <c r="X773" s="4"/>
    </row>
    <row r="774" spans="20:24">
      <c r="T774" s="4"/>
      <c r="U774" s="4"/>
      <c r="V774" s="4"/>
      <c r="W774" s="4"/>
      <c r="X774" s="4"/>
    </row>
    <row r="775" spans="20:24">
      <c r="T775" s="4"/>
      <c r="U775" s="4"/>
      <c r="V775" s="4"/>
      <c r="W775" s="4"/>
      <c r="X775" s="4"/>
    </row>
    <row r="776" spans="20:24">
      <c r="T776" s="4"/>
      <c r="U776" s="4"/>
      <c r="V776" s="4"/>
      <c r="W776" s="4"/>
      <c r="X776" s="4"/>
    </row>
    <row r="777" spans="20:24">
      <c r="T777" s="4"/>
      <c r="U777" s="4"/>
      <c r="V777" s="4"/>
      <c r="W777" s="4"/>
      <c r="X777" s="4"/>
    </row>
    <row r="778" spans="20:24">
      <c r="T778" s="4"/>
      <c r="U778" s="4"/>
      <c r="V778" s="4"/>
      <c r="W778" s="4"/>
      <c r="X778" s="4"/>
    </row>
    <row r="779" spans="20:24">
      <c r="T779" s="4"/>
      <c r="U779" s="4"/>
      <c r="V779" s="4"/>
      <c r="W779" s="4"/>
      <c r="X779" s="4"/>
    </row>
    <row r="780" spans="20:24">
      <c r="T780" s="4"/>
      <c r="U780" s="4"/>
      <c r="V780" s="4"/>
      <c r="W780" s="4"/>
      <c r="X780" s="4"/>
    </row>
    <row r="781" spans="20:24">
      <c r="T781" s="4"/>
      <c r="U781" s="4"/>
      <c r="V781" s="4"/>
      <c r="W781" s="4"/>
      <c r="X781" s="4"/>
    </row>
    <row r="782" spans="20:24">
      <c r="T782" s="4"/>
      <c r="U782" s="4"/>
      <c r="V782" s="4"/>
      <c r="W782" s="4"/>
      <c r="X782" s="4"/>
    </row>
    <row r="783" spans="20:24">
      <c r="T783" s="4"/>
      <c r="U783" s="4"/>
      <c r="V783" s="4"/>
      <c r="W783" s="4"/>
      <c r="X783" s="4"/>
    </row>
    <row r="784" spans="20:24">
      <c r="T784" s="4"/>
      <c r="U784" s="4"/>
      <c r="V784" s="4"/>
      <c r="W784" s="4"/>
      <c r="X784" s="4"/>
    </row>
    <row r="785" spans="20:24">
      <c r="T785" s="4"/>
      <c r="U785" s="4"/>
      <c r="V785" s="4"/>
      <c r="W785" s="4"/>
      <c r="X785" s="4"/>
    </row>
    <row r="786" spans="20:24">
      <c r="T786" s="4"/>
      <c r="U786" s="4"/>
      <c r="V786" s="4"/>
      <c r="W786" s="4"/>
      <c r="X786" s="4"/>
    </row>
    <row r="787" spans="20:24">
      <c r="T787" s="4"/>
      <c r="U787" s="4"/>
      <c r="V787" s="4"/>
      <c r="W787" s="4"/>
      <c r="X787" s="4"/>
    </row>
    <row r="788" spans="20:24">
      <c r="T788" s="4"/>
      <c r="U788" s="4"/>
      <c r="V788" s="4"/>
      <c r="W788" s="4"/>
      <c r="X788" s="4"/>
    </row>
    <row r="789" spans="20:24">
      <c r="T789" s="4"/>
      <c r="U789" s="4"/>
      <c r="V789" s="4"/>
      <c r="W789" s="4"/>
      <c r="X789" s="4"/>
    </row>
    <row r="790" spans="20:24">
      <c r="T790" s="4"/>
      <c r="U790" s="4"/>
      <c r="V790" s="4"/>
      <c r="W790" s="4"/>
      <c r="X790" s="4"/>
    </row>
    <row r="791" spans="20:24">
      <c r="T791" s="4"/>
      <c r="U791" s="4"/>
      <c r="V791" s="4"/>
      <c r="W791" s="4"/>
      <c r="X791" s="4"/>
    </row>
    <row r="792" spans="20:24">
      <c r="T792" s="4"/>
      <c r="U792" s="4"/>
      <c r="V792" s="4"/>
      <c r="W792" s="4"/>
      <c r="X792" s="4"/>
    </row>
    <row r="793" spans="20:24">
      <c r="T793" s="4"/>
      <c r="U793" s="4"/>
      <c r="V793" s="4"/>
      <c r="W793" s="4"/>
      <c r="X793" s="4"/>
    </row>
    <row r="794" spans="20:24">
      <c r="T794" s="4"/>
      <c r="U794" s="4"/>
      <c r="V794" s="4"/>
      <c r="W794" s="4"/>
      <c r="X794" s="4"/>
    </row>
    <row r="795" spans="20:24">
      <c r="T795" s="4"/>
      <c r="U795" s="4"/>
      <c r="V795" s="4"/>
      <c r="W795" s="4"/>
      <c r="X795" s="4"/>
    </row>
    <row r="796" spans="20:24">
      <c r="T796" s="4"/>
      <c r="U796" s="4"/>
      <c r="V796" s="4"/>
      <c r="W796" s="4"/>
      <c r="X796" s="4"/>
    </row>
    <row r="797" spans="20:24">
      <c r="T797" s="4"/>
      <c r="U797" s="4"/>
      <c r="V797" s="4"/>
      <c r="W797" s="4"/>
      <c r="X797" s="4"/>
    </row>
    <row r="798" spans="20:24">
      <c r="T798" s="4"/>
      <c r="U798" s="4"/>
      <c r="V798" s="4"/>
      <c r="W798" s="4"/>
      <c r="X798" s="4"/>
    </row>
    <row r="799" spans="20:24">
      <c r="T799" s="4"/>
      <c r="U799" s="4"/>
      <c r="V799" s="4"/>
      <c r="W799" s="4"/>
      <c r="X799" s="4"/>
    </row>
    <row r="800" spans="20:24">
      <c r="T800" s="4"/>
      <c r="U800" s="4"/>
      <c r="V800" s="4"/>
      <c r="W800" s="4"/>
      <c r="X800" s="4"/>
    </row>
    <row r="801" spans="20:24">
      <c r="T801" s="4"/>
      <c r="U801" s="4"/>
      <c r="V801" s="4"/>
      <c r="W801" s="4"/>
      <c r="X801" s="4"/>
    </row>
    <row r="802" spans="20:24">
      <c r="T802" s="4"/>
      <c r="U802" s="4"/>
      <c r="V802" s="4"/>
      <c r="W802" s="4"/>
      <c r="X802" s="4"/>
    </row>
    <row r="803" spans="20:24">
      <c r="T803" s="4"/>
      <c r="U803" s="4"/>
      <c r="V803" s="4"/>
      <c r="W803" s="4"/>
      <c r="X803" s="4"/>
    </row>
    <row r="804" spans="20:24">
      <c r="T804" s="4"/>
      <c r="U804" s="4"/>
      <c r="V804" s="4"/>
      <c r="W804" s="4"/>
      <c r="X804" s="4"/>
    </row>
    <row r="805" spans="20:24">
      <c r="T805" s="4"/>
      <c r="U805" s="4"/>
      <c r="V805" s="4"/>
      <c r="W805" s="4"/>
      <c r="X805" s="4"/>
    </row>
    <row r="806" spans="20:24">
      <c r="T806" s="4"/>
      <c r="U806" s="4"/>
      <c r="V806" s="4"/>
      <c r="W806" s="4"/>
      <c r="X806" s="4"/>
    </row>
    <row r="807" spans="20:24">
      <c r="T807" s="4"/>
      <c r="U807" s="4"/>
      <c r="V807" s="4"/>
      <c r="W807" s="4"/>
      <c r="X807" s="4"/>
    </row>
    <row r="808" spans="20:24">
      <c r="T808" s="4"/>
      <c r="U808" s="4"/>
      <c r="V808" s="4"/>
      <c r="W808" s="4"/>
      <c r="X808" s="4"/>
    </row>
    <row r="809" spans="20:24">
      <c r="T809" s="4"/>
      <c r="U809" s="4"/>
      <c r="V809" s="4"/>
      <c r="W809" s="4"/>
      <c r="X809" s="4"/>
    </row>
    <row r="810" spans="20:24">
      <c r="T810" s="4"/>
      <c r="U810" s="4"/>
      <c r="V810" s="4"/>
      <c r="W810" s="4"/>
      <c r="X810" s="4"/>
    </row>
    <row r="811" spans="20:24">
      <c r="T811" s="4"/>
      <c r="U811" s="4"/>
      <c r="V811" s="4"/>
      <c r="W811" s="4"/>
      <c r="X811" s="4"/>
    </row>
    <row r="812" spans="20:24">
      <c r="T812" s="4"/>
      <c r="U812" s="4"/>
      <c r="V812" s="4"/>
      <c r="W812" s="4"/>
      <c r="X812" s="4"/>
    </row>
    <row r="813" spans="20:24">
      <c r="T813" s="4"/>
      <c r="U813" s="4"/>
      <c r="V813" s="4"/>
      <c r="W813" s="4"/>
      <c r="X813" s="4"/>
    </row>
    <row r="814" spans="20:24">
      <c r="T814" s="4"/>
      <c r="U814" s="4"/>
      <c r="V814" s="4"/>
      <c r="W814" s="4"/>
      <c r="X814" s="4"/>
    </row>
    <row r="815" spans="20:24">
      <c r="T815" s="4"/>
      <c r="U815" s="4"/>
      <c r="V815" s="4"/>
      <c r="W815" s="4"/>
      <c r="X815" s="4"/>
    </row>
    <row r="816" spans="20:24">
      <c r="T816" s="4"/>
      <c r="U816" s="4"/>
      <c r="V816" s="4"/>
      <c r="W816" s="4"/>
      <c r="X816" s="4"/>
    </row>
    <row r="817" spans="20:24">
      <c r="T817" s="4"/>
      <c r="U817" s="4"/>
      <c r="V817" s="4"/>
      <c r="W817" s="4"/>
      <c r="X817" s="4"/>
    </row>
    <row r="818" spans="20:24">
      <c r="T818" s="4"/>
      <c r="U818" s="4"/>
      <c r="V818" s="4"/>
      <c r="W818" s="4"/>
      <c r="X818" s="4"/>
    </row>
    <row r="819" spans="20:24">
      <c r="T819" s="4"/>
      <c r="U819" s="4"/>
      <c r="V819" s="4"/>
      <c r="W819" s="4"/>
      <c r="X819" s="4"/>
    </row>
    <row r="820" spans="20:24">
      <c r="T820" s="4"/>
      <c r="U820" s="4"/>
      <c r="V820" s="4"/>
      <c r="W820" s="4"/>
      <c r="X820" s="4"/>
    </row>
    <row r="821" spans="20:24">
      <c r="T821" s="4"/>
      <c r="U821" s="4"/>
      <c r="V821" s="4"/>
      <c r="W821" s="4"/>
      <c r="X821" s="4"/>
    </row>
    <row r="822" spans="20:24">
      <c r="T822" s="4"/>
      <c r="U822" s="4"/>
      <c r="V822" s="4"/>
      <c r="W822" s="4"/>
      <c r="X822" s="4"/>
    </row>
    <row r="823" spans="20:24">
      <c r="T823" s="4"/>
      <c r="U823" s="4"/>
      <c r="V823" s="4"/>
      <c r="W823" s="4"/>
      <c r="X823" s="4"/>
    </row>
    <row r="824" spans="20:24">
      <c r="T824" s="4"/>
      <c r="U824" s="4"/>
      <c r="V824" s="4"/>
      <c r="W824" s="4"/>
      <c r="X824" s="4"/>
    </row>
    <row r="825" spans="20:24">
      <c r="T825" s="4"/>
      <c r="U825" s="4"/>
      <c r="V825" s="4"/>
      <c r="W825" s="4"/>
      <c r="X825" s="4"/>
    </row>
    <row r="826" spans="20:24">
      <c r="T826" s="4"/>
      <c r="U826" s="4"/>
      <c r="V826" s="4"/>
      <c r="W826" s="4"/>
      <c r="X826" s="4"/>
    </row>
    <row r="827" spans="20:24">
      <c r="T827" s="4"/>
      <c r="U827" s="4"/>
      <c r="V827" s="4"/>
      <c r="W827" s="4"/>
      <c r="X827" s="4"/>
    </row>
    <row r="828" spans="20:24">
      <c r="T828" s="4"/>
      <c r="U828" s="4"/>
      <c r="V828" s="4"/>
      <c r="W828" s="4"/>
      <c r="X828" s="4"/>
    </row>
    <row r="829" spans="20:24">
      <c r="T829" s="4"/>
      <c r="U829" s="4"/>
      <c r="V829" s="4"/>
      <c r="W829" s="4"/>
      <c r="X829" s="4"/>
    </row>
    <row r="830" spans="20:24">
      <c r="T830" s="4"/>
      <c r="U830" s="4"/>
      <c r="V830" s="4"/>
      <c r="W830" s="4"/>
      <c r="X830" s="4"/>
    </row>
    <row r="831" spans="20:24">
      <c r="T831" s="4"/>
      <c r="U831" s="4"/>
      <c r="V831" s="4"/>
      <c r="W831" s="4"/>
      <c r="X831" s="4"/>
    </row>
    <row r="832" spans="20:24">
      <c r="T832" s="4"/>
      <c r="U832" s="4"/>
      <c r="V832" s="4"/>
      <c r="W832" s="4"/>
      <c r="X832" s="4"/>
    </row>
    <row r="833" spans="20:24">
      <c r="T833" s="4"/>
      <c r="U833" s="4"/>
      <c r="V833" s="4"/>
      <c r="W833" s="4"/>
      <c r="X833" s="4"/>
    </row>
    <row r="834" spans="20:24">
      <c r="T834" s="4"/>
      <c r="U834" s="4"/>
      <c r="V834" s="4"/>
      <c r="W834" s="4"/>
      <c r="X834" s="4"/>
    </row>
    <row r="835" spans="20:24">
      <c r="T835" s="4"/>
      <c r="U835" s="4"/>
      <c r="V835" s="4"/>
      <c r="W835" s="4"/>
      <c r="X835" s="4"/>
    </row>
    <row r="836" spans="20:24">
      <c r="T836" s="4"/>
      <c r="U836" s="4"/>
      <c r="V836" s="4"/>
      <c r="W836" s="4"/>
      <c r="X836" s="4"/>
    </row>
    <row r="837" spans="20:24">
      <c r="T837" s="4"/>
      <c r="U837" s="4"/>
      <c r="V837" s="4"/>
      <c r="W837" s="4"/>
      <c r="X837" s="4"/>
    </row>
    <row r="838" spans="20:24">
      <c r="T838" s="4"/>
      <c r="U838" s="4"/>
      <c r="V838" s="4"/>
      <c r="W838" s="4"/>
      <c r="X838" s="4"/>
    </row>
    <row r="839" spans="20:24">
      <c r="T839" s="4"/>
      <c r="U839" s="4"/>
      <c r="V839" s="4"/>
      <c r="W839" s="4"/>
      <c r="X839" s="4"/>
    </row>
    <row r="840" spans="20:24">
      <c r="T840" s="4"/>
      <c r="U840" s="4"/>
      <c r="V840" s="4"/>
      <c r="W840" s="4"/>
      <c r="X840" s="4"/>
    </row>
    <row r="841" spans="20:24">
      <c r="T841" s="4"/>
      <c r="U841" s="4"/>
      <c r="V841" s="4"/>
      <c r="W841" s="4"/>
      <c r="X841" s="4"/>
    </row>
    <row r="842" spans="20:24">
      <c r="T842" s="4"/>
      <c r="U842" s="4"/>
      <c r="V842" s="4"/>
      <c r="W842" s="4"/>
      <c r="X842" s="4"/>
    </row>
    <row r="843" spans="20:24">
      <c r="T843" s="4"/>
      <c r="U843" s="4"/>
      <c r="V843" s="4"/>
      <c r="W843" s="4"/>
      <c r="X843" s="4"/>
    </row>
    <row r="844" spans="20:24">
      <c r="T844" s="4"/>
      <c r="U844" s="4"/>
      <c r="V844" s="4"/>
      <c r="W844" s="4"/>
      <c r="X844" s="4"/>
    </row>
    <row r="845" spans="20:24">
      <c r="T845" s="4"/>
      <c r="U845" s="4"/>
      <c r="V845" s="4"/>
      <c r="W845" s="4"/>
      <c r="X845" s="4"/>
    </row>
    <row r="846" spans="20:24">
      <c r="T846" s="4"/>
      <c r="U846" s="4"/>
      <c r="V846" s="4"/>
      <c r="W846" s="4"/>
      <c r="X846" s="4"/>
    </row>
    <row r="847" spans="20:24">
      <c r="T847" s="4"/>
      <c r="U847" s="4"/>
      <c r="V847" s="4"/>
      <c r="W847" s="4"/>
      <c r="X847" s="4"/>
    </row>
    <row r="848" spans="20:24">
      <c r="T848" s="4"/>
      <c r="U848" s="4"/>
      <c r="V848" s="4"/>
      <c r="W848" s="4"/>
      <c r="X848" s="4"/>
    </row>
    <row r="849" spans="20:24">
      <c r="T849" s="4"/>
      <c r="U849" s="4"/>
      <c r="V849" s="4"/>
      <c r="W849" s="4"/>
      <c r="X849" s="4"/>
    </row>
    <row r="850" spans="20:24">
      <c r="T850" s="4"/>
      <c r="U850" s="4"/>
      <c r="V850" s="4"/>
      <c r="W850" s="4"/>
      <c r="X850" s="4"/>
    </row>
    <row r="851" spans="20:24">
      <c r="T851" s="4"/>
      <c r="U851" s="4"/>
      <c r="V851" s="4"/>
      <c r="W851" s="4"/>
      <c r="X851" s="4"/>
    </row>
    <row r="852" spans="20:24">
      <c r="T852" s="4"/>
      <c r="U852" s="4"/>
      <c r="V852" s="4"/>
      <c r="W852" s="4"/>
      <c r="X852" s="4"/>
    </row>
    <row r="853" spans="20:24">
      <c r="T853" s="4"/>
      <c r="U853" s="4"/>
      <c r="V853" s="4"/>
      <c r="W853" s="4"/>
      <c r="X853" s="4"/>
    </row>
    <row r="854" spans="20:24">
      <c r="T854" s="4"/>
      <c r="U854" s="4"/>
      <c r="V854" s="4"/>
      <c r="W854" s="4"/>
      <c r="X854" s="4"/>
    </row>
    <row r="855" spans="20:24">
      <c r="T855" s="4"/>
      <c r="U855" s="4"/>
      <c r="V855" s="4"/>
      <c r="W855" s="4"/>
      <c r="X855" s="4"/>
    </row>
    <row r="856" spans="20:24">
      <c r="T856" s="4"/>
      <c r="U856" s="4"/>
      <c r="V856" s="4"/>
      <c r="W856" s="4"/>
      <c r="X856" s="4"/>
    </row>
    <row r="857" spans="20:24">
      <c r="T857" s="4"/>
      <c r="U857" s="4"/>
      <c r="V857" s="4"/>
      <c r="W857" s="4"/>
      <c r="X857" s="4"/>
    </row>
    <row r="858" spans="20:24">
      <c r="T858" s="4"/>
      <c r="U858" s="4"/>
      <c r="V858" s="4"/>
      <c r="W858" s="4"/>
      <c r="X858" s="4"/>
    </row>
    <row r="859" spans="20:24">
      <c r="T859" s="4"/>
      <c r="U859" s="4"/>
      <c r="V859" s="4"/>
      <c r="W859" s="4"/>
      <c r="X859" s="4"/>
    </row>
    <row r="860" spans="20:24">
      <c r="T860" s="4"/>
      <c r="U860" s="4"/>
      <c r="V860" s="4"/>
      <c r="W860" s="4"/>
      <c r="X860" s="4"/>
    </row>
    <row r="861" spans="20:24">
      <c r="T861" s="4"/>
      <c r="U861" s="4"/>
      <c r="V861" s="4"/>
      <c r="W861" s="4"/>
      <c r="X861" s="4"/>
    </row>
    <row r="862" spans="20:24">
      <c r="T862" s="4"/>
      <c r="U862" s="4"/>
      <c r="V862" s="4"/>
      <c r="W862" s="4"/>
      <c r="X862" s="4"/>
    </row>
    <row r="863" spans="20:24">
      <c r="T863" s="4"/>
      <c r="U863" s="4"/>
      <c r="V863" s="4"/>
      <c r="W863" s="4"/>
      <c r="X863" s="4"/>
    </row>
    <row r="864" spans="20:24">
      <c r="T864" s="4"/>
      <c r="U864" s="4"/>
      <c r="V864" s="4"/>
      <c r="W864" s="4"/>
      <c r="X864" s="4"/>
    </row>
    <row r="865" spans="20:24">
      <c r="T865" s="4"/>
      <c r="U865" s="4"/>
      <c r="V865" s="4"/>
      <c r="W865" s="4"/>
      <c r="X865" s="4"/>
    </row>
    <row r="866" spans="20:24">
      <c r="T866" s="4"/>
      <c r="U866" s="4"/>
      <c r="V866" s="4"/>
      <c r="W866" s="4"/>
      <c r="X866" s="4"/>
    </row>
    <row r="867" spans="20:24">
      <c r="T867" s="4"/>
      <c r="U867" s="4"/>
      <c r="V867" s="4"/>
      <c r="W867" s="4"/>
      <c r="X867" s="4"/>
    </row>
    <row r="868" spans="20:24">
      <c r="T868" s="4"/>
      <c r="U868" s="4"/>
      <c r="V868" s="4"/>
      <c r="W868" s="4"/>
      <c r="X868" s="4"/>
    </row>
    <row r="869" spans="20:24">
      <c r="T869" s="4"/>
      <c r="U869" s="4"/>
      <c r="V869" s="4"/>
      <c r="W869" s="4"/>
      <c r="X869" s="4"/>
    </row>
    <row r="870" spans="20:24">
      <c r="T870" s="4"/>
      <c r="U870" s="4"/>
      <c r="V870" s="4"/>
      <c r="W870" s="4"/>
      <c r="X870" s="4"/>
    </row>
    <row r="871" spans="20:24">
      <c r="T871" s="4"/>
      <c r="U871" s="4"/>
      <c r="V871" s="4"/>
      <c r="W871" s="4"/>
      <c r="X871" s="4"/>
    </row>
    <row r="872" spans="20:24">
      <c r="T872" s="4"/>
      <c r="U872" s="4"/>
      <c r="V872" s="4"/>
      <c r="W872" s="4"/>
      <c r="X872" s="4"/>
    </row>
    <row r="873" spans="20:24">
      <c r="T873" s="4"/>
      <c r="U873" s="4"/>
      <c r="V873" s="4"/>
      <c r="W873" s="4"/>
      <c r="X873" s="4"/>
    </row>
    <row r="874" spans="20:24">
      <c r="T874" s="4"/>
      <c r="U874" s="4"/>
      <c r="V874" s="4"/>
      <c r="W874" s="4"/>
      <c r="X874" s="4"/>
    </row>
    <row r="875" spans="20:24">
      <c r="T875" s="4"/>
      <c r="U875" s="4"/>
      <c r="V875" s="4"/>
      <c r="W875" s="4"/>
      <c r="X875" s="4"/>
    </row>
    <row r="876" spans="20:24">
      <c r="T876" s="4"/>
      <c r="U876" s="4"/>
      <c r="V876" s="4"/>
      <c r="W876" s="4"/>
      <c r="X876" s="4"/>
    </row>
    <row r="877" spans="20:24">
      <c r="T877" s="4"/>
      <c r="U877" s="4"/>
      <c r="V877" s="4"/>
      <c r="W877" s="4"/>
      <c r="X877" s="4"/>
    </row>
    <row r="878" spans="20:24">
      <c r="T878" s="4"/>
      <c r="U878" s="4"/>
      <c r="V878" s="4"/>
      <c r="W878" s="4"/>
      <c r="X878" s="4"/>
    </row>
    <row r="879" spans="20:24">
      <c r="T879" s="4"/>
      <c r="U879" s="4"/>
      <c r="V879" s="4"/>
      <c r="W879" s="4"/>
      <c r="X879" s="4"/>
    </row>
    <row r="880" spans="20:24">
      <c r="T880" s="4"/>
      <c r="U880" s="4"/>
      <c r="V880" s="4"/>
      <c r="W880" s="4"/>
      <c r="X880" s="4"/>
    </row>
    <row r="881" spans="20:20">
      <c r="T881" s="4"/>
    </row>
    <row r="882" spans="20:20">
      <c r="T882" s="4"/>
    </row>
    <row r="883" spans="20:20">
      <c r="T883" s="4"/>
    </row>
    <row r="884" spans="20:20">
      <c r="T884" s="4"/>
    </row>
    <row r="885" spans="20:20">
      <c r="T885" s="4"/>
    </row>
    <row r="886" spans="20:20">
      <c r="T886" s="4"/>
    </row>
    <row r="887" spans="20:20">
      <c r="T887" s="4"/>
    </row>
    <row r="888" spans="20:20">
      <c r="T888" s="4"/>
    </row>
    <row r="889" spans="20:20">
      <c r="T889" s="4"/>
    </row>
    <row r="890" spans="20:20">
      <c r="T890" s="4"/>
    </row>
    <row r="891" spans="20:20">
      <c r="T891" s="4"/>
    </row>
    <row r="892" spans="20:20">
      <c r="T892" s="4"/>
    </row>
    <row r="893" spans="20:20">
      <c r="T893" s="4"/>
    </row>
    <row r="894" spans="20:20">
      <c r="T894" s="4"/>
    </row>
    <row r="895" spans="20:20">
      <c r="T895" s="4"/>
    </row>
    <row r="896" spans="20:20">
      <c r="T896" s="4"/>
    </row>
    <row r="897" spans="20:20">
      <c r="T897" s="4"/>
    </row>
    <row r="898" spans="20:20">
      <c r="T898" s="4"/>
    </row>
    <row r="899" spans="20:20">
      <c r="T899" s="4"/>
    </row>
    <row r="900" spans="20:20">
      <c r="T900" s="4"/>
    </row>
    <row r="901" spans="20:20">
      <c r="T901" s="4"/>
    </row>
    <row r="902" spans="20:20">
      <c r="T902" s="4"/>
    </row>
    <row r="903" spans="20:20">
      <c r="T903" s="4"/>
    </row>
    <row r="904" spans="20:20">
      <c r="T904" s="4"/>
    </row>
    <row r="905" spans="20:20">
      <c r="T905" s="4"/>
    </row>
    <row r="906" spans="20:20">
      <c r="T906" s="4"/>
    </row>
    <row r="907" spans="20:20">
      <c r="T907" s="4"/>
    </row>
    <row r="908" spans="20:20">
      <c r="T908" s="4"/>
    </row>
    <row r="909" spans="20:20">
      <c r="T909" s="4"/>
    </row>
    <row r="910" spans="20:20">
      <c r="T910" s="4"/>
    </row>
    <row r="911" spans="20:20">
      <c r="T911" s="4"/>
    </row>
    <row r="912" spans="20:20">
      <c r="T912" s="4"/>
    </row>
    <row r="913" spans="20:20">
      <c r="T913" s="4"/>
    </row>
    <row r="914" spans="20:20">
      <c r="T914" s="4"/>
    </row>
    <row r="915" spans="20:20">
      <c r="T915" s="4"/>
    </row>
    <row r="916" spans="20:20">
      <c r="T916" s="4"/>
    </row>
    <row r="917" spans="20:20">
      <c r="T917" s="4"/>
    </row>
    <row r="918" spans="20:20">
      <c r="T918" s="4"/>
    </row>
    <row r="919" spans="20:20">
      <c r="T919" s="4"/>
    </row>
    <row r="920" spans="20:20">
      <c r="T920" s="4"/>
    </row>
    <row r="921" spans="20:20">
      <c r="T921" s="4"/>
    </row>
    <row r="922" spans="20:20">
      <c r="T922" s="4"/>
    </row>
    <row r="923" spans="20:20">
      <c r="T923" s="4"/>
    </row>
    <row r="924" spans="20:20">
      <c r="T924" s="4"/>
    </row>
    <row r="925" spans="20:20">
      <c r="T925" s="4"/>
    </row>
    <row r="926" spans="20:20">
      <c r="T926" s="4"/>
    </row>
    <row r="927" spans="20:20">
      <c r="T927" s="4"/>
    </row>
    <row r="928" spans="20:20">
      <c r="T928" s="4"/>
    </row>
    <row r="929" spans="20:20">
      <c r="T929" s="4"/>
    </row>
    <row r="930" spans="20:20">
      <c r="T930" s="4"/>
    </row>
    <row r="931" spans="20:20">
      <c r="T931" s="4"/>
    </row>
    <row r="932" spans="20:20">
      <c r="T932" s="4"/>
    </row>
    <row r="933" spans="20:20">
      <c r="T933" s="4"/>
    </row>
    <row r="934" spans="20:20">
      <c r="T934" s="4"/>
    </row>
    <row r="935" spans="20:20">
      <c r="T935" s="4"/>
    </row>
    <row r="936" spans="20:20">
      <c r="T936" s="4"/>
    </row>
    <row r="937" spans="20:20">
      <c r="T937" s="4"/>
    </row>
    <row r="938" spans="20:20">
      <c r="T938" s="4"/>
    </row>
    <row r="939" spans="20:20">
      <c r="T939" s="4"/>
    </row>
    <row r="940" spans="20:20">
      <c r="T940" s="4"/>
    </row>
    <row r="941" spans="20:20">
      <c r="T941" s="4"/>
    </row>
    <row r="942" spans="20:20">
      <c r="T942" s="4"/>
    </row>
    <row r="943" spans="20:20">
      <c r="T943" s="4"/>
    </row>
    <row r="944" spans="20:20">
      <c r="T944" s="4"/>
    </row>
    <row r="945" spans="20:20">
      <c r="T945" s="4"/>
    </row>
    <row r="946" spans="20:20">
      <c r="T946" s="4"/>
    </row>
    <row r="947" spans="20:20">
      <c r="T947" s="4"/>
    </row>
    <row r="948" spans="20:20">
      <c r="T948" s="4"/>
    </row>
    <row r="949" spans="20:20">
      <c r="T949" s="4"/>
    </row>
    <row r="950" spans="20:20">
      <c r="T950" s="4"/>
    </row>
    <row r="951" spans="20:20">
      <c r="T951" s="4"/>
    </row>
    <row r="952" spans="20:20">
      <c r="T952" s="4"/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8FFEB-A582-4BD6-9638-772E33509275}">
  <dimension ref="A1:D817"/>
  <sheetViews>
    <sheetView workbookViewId="0">
      <selection activeCell="J25" sqref="J25"/>
    </sheetView>
  </sheetViews>
  <sheetFormatPr defaultRowHeight="15"/>
  <cols>
    <col min="1" max="1" width="21.5703125" bestFit="1" customWidth="1"/>
    <col min="2" max="2" width="10.7109375" bestFit="1" customWidth="1"/>
    <col min="3" max="3" width="15.28515625" customWidth="1"/>
    <col min="4" max="4" width="10.85546875" bestFit="1" customWidth="1"/>
  </cols>
  <sheetData>
    <row r="1" spans="1:4">
      <c r="A1" s="6" t="s">
        <v>93</v>
      </c>
      <c r="B1" s="7" t="s">
        <v>94</v>
      </c>
      <c r="C1" s="8" t="s">
        <v>132</v>
      </c>
      <c r="D1" s="9" t="s">
        <v>131</v>
      </c>
    </row>
    <row r="2" spans="1:4">
      <c r="A2" s="6" t="s">
        <v>95</v>
      </c>
      <c r="B2" s="7">
        <v>46387</v>
      </c>
      <c r="C2" s="8"/>
      <c r="D2" s="9"/>
    </row>
    <row r="3" spans="1:4">
      <c r="A3" s="10" t="s">
        <v>95</v>
      </c>
      <c r="B3" s="11">
        <v>46356</v>
      </c>
      <c r="C3" s="12"/>
      <c r="D3" s="13"/>
    </row>
    <row r="4" spans="1:4">
      <c r="A4" s="10" t="s">
        <v>95</v>
      </c>
      <c r="B4" s="11">
        <v>46326</v>
      </c>
      <c r="C4" s="12"/>
      <c r="D4" s="13"/>
    </row>
    <row r="5" spans="1:4">
      <c r="A5" s="10" t="s">
        <v>95</v>
      </c>
      <c r="B5" s="11">
        <v>46295</v>
      </c>
      <c r="C5" s="12"/>
      <c r="D5" s="13"/>
    </row>
    <row r="6" spans="1:4">
      <c r="A6" s="10" t="s">
        <v>95</v>
      </c>
      <c r="B6" s="11">
        <v>46265</v>
      </c>
      <c r="C6" s="12"/>
      <c r="D6" s="13"/>
    </row>
    <row r="7" spans="1:4">
      <c r="A7" s="10" t="s">
        <v>95</v>
      </c>
      <c r="B7" s="11">
        <v>46234</v>
      </c>
      <c r="C7" s="12"/>
      <c r="D7" s="13"/>
    </row>
    <row r="8" spans="1:4">
      <c r="A8" s="10" t="s">
        <v>95</v>
      </c>
      <c r="B8" s="11">
        <v>46203</v>
      </c>
      <c r="C8" s="12"/>
      <c r="D8" s="13"/>
    </row>
    <row r="9" spans="1:4">
      <c r="A9" s="10" t="s">
        <v>95</v>
      </c>
      <c r="B9" s="11">
        <v>46173</v>
      </c>
      <c r="C9" s="12"/>
      <c r="D9" s="13"/>
    </row>
    <row r="10" spans="1:4">
      <c r="A10" s="10" t="s">
        <v>95</v>
      </c>
      <c r="B10" s="11">
        <v>46142</v>
      </c>
      <c r="C10" s="12"/>
      <c r="D10" s="13"/>
    </row>
    <row r="11" spans="1:4">
      <c r="A11" s="10" t="s">
        <v>95</v>
      </c>
      <c r="B11" s="11">
        <v>46112</v>
      </c>
      <c r="C11" s="12">
        <v>-4.59688252143075E-2</v>
      </c>
      <c r="D11" s="13">
        <v>-7.1319006151634001E-2</v>
      </c>
    </row>
    <row r="12" spans="1:4">
      <c r="A12" s="10" t="s">
        <v>95</v>
      </c>
      <c r="B12" s="11">
        <v>46081</v>
      </c>
      <c r="C12" s="12">
        <v>-9.0138919679864996E-3</v>
      </c>
      <c r="D12" s="13">
        <v>1.3108000372317E-2</v>
      </c>
    </row>
    <row r="13" spans="1:4">
      <c r="A13" s="10" t="s">
        <v>95</v>
      </c>
      <c r="B13" s="11">
        <v>46053</v>
      </c>
      <c r="C13" s="12">
        <v>1.4868079743559E-2</v>
      </c>
      <c r="D13" s="13">
        <v>2.9840669164503002E-2</v>
      </c>
    </row>
    <row r="14" spans="1:4">
      <c r="A14" s="10" t="s">
        <v>95</v>
      </c>
      <c r="B14" s="11">
        <v>46022</v>
      </c>
      <c r="C14" s="12">
        <v>5.0658716999689201E-3</v>
      </c>
      <c r="D14" s="13">
        <v>1.0737514322301999E-2</v>
      </c>
    </row>
    <row r="15" spans="1:4">
      <c r="A15" s="10" t="s">
        <v>95</v>
      </c>
      <c r="B15" s="11">
        <v>45991</v>
      </c>
      <c r="C15" s="12">
        <v>-8.3335008981658999E-3</v>
      </c>
      <c r="D15" s="13">
        <v>1.68526070983E-4</v>
      </c>
    </row>
    <row r="16" spans="1:4">
      <c r="A16" s="10" t="s">
        <v>95</v>
      </c>
      <c r="B16" s="11">
        <v>45961</v>
      </c>
      <c r="C16" s="12">
        <v>2.4695848519727899E-2</v>
      </c>
      <c r="D16" s="13">
        <v>2.2557686673905002E-2</v>
      </c>
    </row>
    <row r="17" spans="1:4">
      <c r="A17" s="10" t="s">
        <v>95</v>
      </c>
      <c r="B17" s="11">
        <v>45930</v>
      </c>
      <c r="C17" s="12">
        <v>3.7831659631734203E-2</v>
      </c>
      <c r="D17" s="13">
        <v>3.6606987348102998E-2</v>
      </c>
    </row>
    <row r="18" spans="1:4">
      <c r="A18" s="10" t="s">
        <v>95</v>
      </c>
      <c r="B18" s="11">
        <v>45900</v>
      </c>
      <c r="C18" s="12">
        <v>1.7091365282412702E-2</v>
      </c>
      <c r="D18" s="13">
        <v>2.5143411757704001E-2</v>
      </c>
    </row>
    <row r="19" spans="1:4">
      <c r="A19" s="10" t="s">
        <v>95</v>
      </c>
      <c r="B19" s="11">
        <v>45869</v>
      </c>
      <c r="C19" s="12">
        <v>1.6497474044959801E-2</v>
      </c>
      <c r="D19" s="13">
        <v>1.3817591088419999E-2</v>
      </c>
    </row>
    <row r="20" spans="1:4">
      <c r="A20" s="10" t="s">
        <v>95</v>
      </c>
      <c r="B20" s="11">
        <v>45838</v>
      </c>
      <c r="C20" s="12">
        <v>4.65114456385914E-2</v>
      </c>
      <c r="D20" s="13">
        <v>4.5330823310222E-2</v>
      </c>
    </row>
    <row r="21" spans="1:4">
      <c r="A21" s="10" t="s">
        <v>95</v>
      </c>
      <c r="B21" s="11">
        <v>45808</v>
      </c>
      <c r="C21" s="12">
        <v>6.8001630792717704E-2</v>
      </c>
      <c r="D21" s="13">
        <v>5.8131057992443003E-2</v>
      </c>
    </row>
    <row r="22" spans="1:4">
      <c r="A22" s="10" t="s">
        <v>95</v>
      </c>
      <c r="B22" s="11">
        <v>45777</v>
      </c>
      <c r="C22" s="12">
        <v>3.66380990553376E-3</v>
      </c>
      <c r="D22" s="13">
        <v>9.7771879438869995E-3</v>
      </c>
    </row>
    <row r="23" spans="1:4">
      <c r="A23" s="10" t="s">
        <v>95</v>
      </c>
      <c r="B23" s="11">
        <v>45747</v>
      </c>
      <c r="C23" s="12">
        <v>-6.3888232078859603E-2</v>
      </c>
      <c r="D23" s="13">
        <v>-3.8964921108614999E-2</v>
      </c>
    </row>
    <row r="24" spans="1:4">
      <c r="A24" s="10" t="s">
        <v>95</v>
      </c>
      <c r="B24" s="11">
        <v>45716</v>
      </c>
      <c r="C24" s="12">
        <v>-1.8797240436031998E-2</v>
      </c>
      <c r="D24" s="13">
        <v>-5.7460161780080003E-3</v>
      </c>
    </row>
    <row r="25" spans="1:4">
      <c r="A25" s="10" t="s">
        <v>95</v>
      </c>
      <c r="B25" s="11">
        <v>45688</v>
      </c>
      <c r="C25" s="12">
        <v>2.6223117769577298E-2</v>
      </c>
      <c r="D25" s="13">
        <v>3.3792503072510999E-2</v>
      </c>
    </row>
    <row r="26" spans="1:4">
      <c r="A26" s="10" t="s">
        <v>95</v>
      </c>
      <c r="B26" s="11">
        <v>45657</v>
      </c>
      <c r="C26" s="12">
        <v>-9.3296661709572105E-3</v>
      </c>
      <c r="D26" s="13">
        <v>-2.3341185414135001E-2</v>
      </c>
    </row>
    <row r="27" spans="1:4">
      <c r="A27" s="10" t="s">
        <v>95</v>
      </c>
      <c r="B27" s="11">
        <v>45626</v>
      </c>
      <c r="C27" s="12">
        <v>6.4066417381126506E-2</v>
      </c>
      <c r="D27" s="13">
        <v>3.7726154516863002E-2</v>
      </c>
    </row>
    <row r="28" spans="1:4">
      <c r="A28" s="10" t="s">
        <v>95</v>
      </c>
      <c r="B28" s="11">
        <v>45596</v>
      </c>
      <c r="C28" s="12">
        <v>-5.5168735437856496E-3</v>
      </c>
      <c r="D28" s="13">
        <v>-2.2112822594970001E-2</v>
      </c>
    </row>
    <row r="29" spans="1:4">
      <c r="A29" s="10" t="s">
        <v>95</v>
      </c>
      <c r="B29" s="11">
        <v>45565</v>
      </c>
      <c r="C29" s="12">
        <v>2.0788241767721701E-2</v>
      </c>
      <c r="D29" s="13">
        <v>2.3606298476292E-2</v>
      </c>
    </row>
    <row r="30" spans="1:4">
      <c r="A30" s="10" t="s">
        <v>95</v>
      </c>
      <c r="B30" s="11">
        <v>45535</v>
      </c>
      <c r="C30" s="12">
        <v>2.5751871909860301E-2</v>
      </c>
      <c r="D30" s="13">
        <v>2.5737899723437999E-2</v>
      </c>
    </row>
    <row r="31" spans="1:4">
      <c r="A31" s="10" t="s">
        <v>95</v>
      </c>
      <c r="B31" s="11">
        <v>45504</v>
      </c>
      <c r="C31" s="12">
        <v>-1.54825792968733E-2</v>
      </c>
      <c r="D31" s="13">
        <v>1.6405606828718999E-2</v>
      </c>
    </row>
    <row r="32" spans="1:4">
      <c r="A32" s="10" t="s">
        <v>95</v>
      </c>
      <c r="B32" s="11">
        <v>45473</v>
      </c>
      <c r="C32" s="12">
        <v>3.6318727478048297E-2</v>
      </c>
      <c r="D32" s="13">
        <v>2.2631351566913999E-2</v>
      </c>
    </row>
    <row r="33" spans="1:4">
      <c r="A33" s="10" t="s">
        <v>95</v>
      </c>
      <c r="B33" s="11">
        <v>45443</v>
      </c>
      <c r="C33" s="12">
        <v>5.4667807576875102E-2</v>
      </c>
      <c r="D33" s="13">
        <v>4.1247101975847002E-2</v>
      </c>
    </row>
    <row r="34" spans="1:4">
      <c r="A34" s="10" t="s">
        <v>95</v>
      </c>
      <c r="B34" s="11">
        <v>45412</v>
      </c>
      <c r="C34" s="12">
        <v>-4.6150554988060997E-2</v>
      </c>
      <c r="D34" s="13">
        <v>-3.2566910858054E-2</v>
      </c>
    </row>
    <row r="35" spans="1:4">
      <c r="A35" s="10" t="s">
        <v>95</v>
      </c>
      <c r="B35" s="11">
        <v>45382</v>
      </c>
      <c r="C35" s="12">
        <v>3.0406961625164701E-2</v>
      </c>
      <c r="D35" s="13">
        <v>3.1949194504899997E-2</v>
      </c>
    </row>
    <row r="36" spans="1:4">
      <c r="A36" s="10" t="s">
        <v>95</v>
      </c>
      <c r="B36" s="11">
        <v>45351</v>
      </c>
      <c r="C36" s="12">
        <v>4.6834996657172299E-2</v>
      </c>
      <c r="D36" s="13">
        <v>4.3285518633315999E-2</v>
      </c>
    </row>
    <row r="37" spans="1:4">
      <c r="A37" s="10" t="s">
        <v>95</v>
      </c>
      <c r="B37" s="11">
        <v>45322</v>
      </c>
      <c r="C37" s="12">
        <v>6.7183143894499701E-3</v>
      </c>
      <c r="D37" s="13">
        <v>6.0735718041229998E-3</v>
      </c>
    </row>
    <row r="38" spans="1:4">
      <c r="A38" s="10" t="s">
        <v>95</v>
      </c>
      <c r="B38" s="11">
        <v>45291</v>
      </c>
      <c r="C38" s="12">
        <v>3.3674197642649902E-2</v>
      </c>
      <c r="D38" s="13">
        <v>4.8386279255420002E-2</v>
      </c>
    </row>
    <row r="39" spans="1:4">
      <c r="A39" s="10" t="s">
        <v>95</v>
      </c>
      <c r="B39" s="11">
        <v>45260</v>
      </c>
      <c r="C39" s="12">
        <v>7.0508855407030002E-2</v>
      </c>
      <c r="D39" s="13">
        <v>9.2775939183295006E-2</v>
      </c>
    </row>
    <row r="40" spans="1:4">
      <c r="A40" s="10" t="s">
        <v>95</v>
      </c>
      <c r="B40" s="11">
        <v>45230</v>
      </c>
      <c r="C40" s="12">
        <v>-4.7088031217837004E-3</v>
      </c>
      <c r="D40" s="13">
        <v>-2.9843427796100001E-2</v>
      </c>
    </row>
    <row r="41" spans="1:4">
      <c r="A41" s="10" t="s">
        <v>95</v>
      </c>
      <c r="B41" s="11">
        <v>45199</v>
      </c>
      <c r="C41" s="12">
        <v>-3.8707413791812403E-2</v>
      </c>
      <c r="D41" s="13">
        <v>-4.1000502441349999E-2</v>
      </c>
    </row>
    <row r="42" spans="1:4">
      <c r="A42" s="10" t="s">
        <v>95</v>
      </c>
      <c r="B42" s="11">
        <v>45169</v>
      </c>
      <c r="C42" s="12">
        <v>-2.0583689308898399E-2</v>
      </c>
      <c r="D42" s="13">
        <v>-2.7543394784481999E-2</v>
      </c>
    </row>
    <row r="43" spans="1:4">
      <c r="A43" s="10" t="s">
        <v>95</v>
      </c>
      <c r="B43" s="11">
        <v>45138</v>
      </c>
      <c r="C43" s="12">
        <v>1.9476539730084799E-2</v>
      </c>
      <c r="D43" s="13">
        <v>3.6906408932364E-2</v>
      </c>
    </row>
    <row r="44" spans="1:4">
      <c r="A44" s="10" t="s">
        <v>95</v>
      </c>
      <c r="B44" s="11">
        <v>45107</v>
      </c>
      <c r="C44" s="12">
        <v>3.5046831209222001E-2</v>
      </c>
      <c r="D44" s="13">
        <v>5.8502007590341E-2</v>
      </c>
    </row>
    <row r="45" spans="1:4">
      <c r="A45" s="10" t="s">
        <v>95</v>
      </c>
      <c r="B45" s="11">
        <v>45077</v>
      </c>
      <c r="C45" s="12">
        <v>-4.2134138580460501E-2</v>
      </c>
      <c r="D45" s="13">
        <v>-9.9988428840769999E-3</v>
      </c>
    </row>
    <row r="46" spans="1:4">
      <c r="A46" s="10" t="s">
        <v>95</v>
      </c>
      <c r="B46" s="11">
        <v>45046</v>
      </c>
      <c r="C46" s="12">
        <v>2.04267114997932E-2</v>
      </c>
      <c r="D46" s="13">
        <v>1.4851450952219E-2</v>
      </c>
    </row>
    <row r="47" spans="1:4">
      <c r="A47" s="10" t="s">
        <v>95</v>
      </c>
      <c r="B47" s="11">
        <v>45016</v>
      </c>
      <c r="C47" s="12">
        <v>5.4175277311580396E-3</v>
      </c>
      <c r="D47" s="13">
        <v>3.1527066919666002E-2</v>
      </c>
    </row>
    <row r="48" spans="1:4">
      <c r="A48" s="10" t="s">
        <v>95</v>
      </c>
      <c r="B48" s="11">
        <v>44985</v>
      </c>
      <c r="C48" s="12">
        <v>-3.5241353246940298E-2</v>
      </c>
      <c r="D48" s="13">
        <v>-2.8308901930049001E-2</v>
      </c>
    </row>
    <row r="49" spans="1:4">
      <c r="A49" s="10" t="s">
        <v>95</v>
      </c>
      <c r="B49" s="11">
        <v>44957</v>
      </c>
      <c r="C49" s="12">
        <v>3.7682498528377302E-2</v>
      </c>
      <c r="D49" s="13">
        <v>7.1928157933798004E-2</v>
      </c>
    </row>
    <row r="50" spans="1:4">
      <c r="A50" s="10" t="s">
        <v>95</v>
      </c>
      <c r="B50" s="11">
        <v>44926</v>
      </c>
      <c r="C50" s="12">
        <v>-2.9318994581113599E-2</v>
      </c>
      <c r="D50" s="13">
        <v>-3.8953501515983001E-2</v>
      </c>
    </row>
    <row r="51" spans="1:4">
      <c r="A51" s="10" t="s">
        <v>95</v>
      </c>
      <c r="B51" s="11">
        <v>44895</v>
      </c>
      <c r="C51" s="12">
        <v>5.1958177784371597E-2</v>
      </c>
      <c r="D51" s="13">
        <v>7.8022242096159003E-2</v>
      </c>
    </row>
    <row r="52" spans="1:4">
      <c r="A52" s="10" t="s">
        <v>95</v>
      </c>
      <c r="B52" s="11">
        <v>44865</v>
      </c>
      <c r="C52" s="12">
        <v>8.2147770382539398E-2</v>
      </c>
      <c r="D52" s="13">
        <v>6.0602659566174E-2</v>
      </c>
    </row>
    <row r="53" spans="1:4">
      <c r="A53" s="10" t="s">
        <v>95</v>
      </c>
      <c r="B53" s="11">
        <v>44834</v>
      </c>
      <c r="C53" s="12">
        <v>-7.8059092162872407E-2</v>
      </c>
      <c r="D53" s="13">
        <v>-9.5309497725432998E-2</v>
      </c>
    </row>
    <row r="54" spans="1:4">
      <c r="A54" s="10" t="s">
        <v>95</v>
      </c>
      <c r="B54" s="11">
        <v>44804</v>
      </c>
      <c r="C54" s="12">
        <v>-1.9395349218756901E-2</v>
      </c>
      <c r="D54" s="13">
        <v>-3.6425053761657E-2</v>
      </c>
    </row>
    <row r="55" spans="1:4">
      <c r="A55" s="10" t="s">
        <v>95</v>
      </c>
      <c r="B55" s="11">
        <v>44773</v>
      </c>
      <c r="C55" s="12">
        <v>5.1226191257371899E-2</v>
      </c>
      <c r="D55" s="13">
        <v>7.0186236044514003E-2</v>
      </c>
    </row>
    <row r="56" spans="1:4">
      <c r="A56" s="10" t="s">
        <v>95</v>
      </c>
      <c r="B56" s="11">
        <v>44742</v>
      </c>
      <c r="C56" s="12">
        <v>-8.7931631276225899E-2</v>
      </c>
      <c r="D56" s="13">
        <v>-8.3884390506253001E-2</v>
      </c>
    </row>
    <row r="57" spans="1:4">
      <c r="A57" s="10" t="s">
        <v>95</v>
      </c>
      <c r="B57" s="11">
        <v>44712</v>
      </c>
      <c r="C57" s="12">
        <v>2.9133040173149299E-2</v>
      </c>
      <c r="D57" s="13">
        <v>1.880929682605E-3</v>
      </c>
    </row>
    <row r="58" spans="1:4">
      <c r="A58" s="10" t="s">
        <v>95</v>
      </c>
      <c r="B58" s="11">
        <v>44681</v>
      </c>
      <c r="C58" s="12">
        <v>-5.6841372444963602E-2</v>
      </c>
      <c r="D58" s="13">
        <v>-7.9667734570160006E-2</v>
      </c>
    </row>
    <row r="59" spans="1:4">
      <c r="A59" s="10" t="s">
        <v>95</v>
      </c>
      <c r="B59" s="11">
        <v>44651</v>
      </c>
      <c r="C59" s="12">
        <v>3.2952782821584002E-2</v>
      </c>
      <c r="D59" s="13">
        <v>2.2249296057949002E-2</v>
      </c>
    </row>
    <row r="60" spans="1:4">
      <c r="A60" s="10" t="s">
        <v>95</v>
      </c>
      <c r="B60" s="11">
        <v>44620</v>
      </c>
      <c r="C60" s="12">
        <v>-4.7160196048217301E-3</v>
      </c>
      <c r="D60" s="13">
        <v>-2.5527741579659001E-2</v>
      </c>
    </row>
    <row r="61" spans="1:4">
      <c r="A61" s="10" t="s">
        <v>95</v>
      </c>
      <c r="B61" s="11">
        <v>44592</v>
      </c>
      <c r="C61" s="12">
        <v>-1.2994622158332201E-2</v>
      </c>
      <c r="D61" s="13">
        <v>-4.8925402308018E-2</v>
      </c>
    </row>
    <row r="62" spans="1:4">
      <c r="A62" s="10" t="s">
        <v>95</v>
      </c>
      <c r="B62" s="11">
        <v>44561</v>
      </c>
      <c r="C62" s="12">
        <v>5.9544425962154403E-2</v>
      </c>
      <c r="D62" s="13">
        <v>4.0320951026473997E-2</v>
      </c>
    </row>
    <row r="63" spans="1:4">
      <c r="A63" s="10" t="s">
        <v>95</v>
      </c>
      <c r="B63" s="11">
        <v>44530</v>
      </c>
      <c r="C63" s="12">
        <v>-3.2197558647398102E-2</v>
      </c>
      <c r="D63" s="13">
        <v>-2.3776525781761999E-2</v>
      </c>
    </row>
    <row r="64" spans="1:4">
      <c r="A64" s="10" t="s">
        <v>95</v>
      </c>
      <c r="B64" s="11">
        <v>44500</v>
      </c>
      <c r="C64" s="12">
        <v>5.2395563901711198E-2</v>
      </c>
      <c r="D64" s="13">
        <v>5.1299491550718002E-2</v>
      </c>
    </row>
    <row r="65" spans="1:4">
      <c r="A65" s="10" t="s">
        <v>95</v>
      </c>
      <c r="B65" s="11">
        <v>44469</v>
      </c>
      <c r="C65" s="12">
        <v>-3.3196112480757899E-2</v>
      </c>
      <c r="D65" s="13">
        <v>-4.0881398867616998E-2</v>
      </c>
    </row>
    <row r="66" spans="1:4">
      <c r="A66" s="10" t="s">
        <v>95</v>
      </c>
      <c r="B66" s="11">
        <v>44439</v>
      </c>
      <c r="C66" s="12">
        <v>2.4047133235259199E-2</v>
      </c>
      <c r="D66" s="13">
        <v>2.5340888159013E-2</v>
      </c>
    </row>
    <row r="67" spans="1:4">
      <c r="A67" s="10" t="s">
        <v>95</v>
      </c>
      <c r="B67" s="11">
        <v>44408</v>
      </c>
      <c r="C67" s="12">
        <v>-1.1469763589747601E-2</v>
      </c>
      <c r="D67" s="13">
        <v>7.1802352629159998E-3</v>
      </c>
    </row>
    <row r="68" spans="1:4">
      <c r="A68" s="10" t="s">
        <v>95</v>
      </c>
      <c r="B68" s="11">
        <v>44377</v>
      </c>
      <c r="C68" s="12">
        <v>-3.0403381007436301E-3</v>
      </c>
      <c r="D68" s="13">
        <v>1.3978820094356E-2</v>
      </c>
    </row>
    <row r="69" spans="1:4">
      <c r="A69" s="10" t="s">
        <v>95</v>
      </c>
      <c r="B69" s="11">
        <v>44347</v>
      </c>
      <c r="C69" s="12">
        <v>-2.41144035993643E-3</v>
      </c>
      <c r="D69" s="13">
        <v>1.5626974888215999E-2</v>
      </c>
    </row>
    <row r="70" spans="1:4">
      <c r="A70" s="10" t="s">
        <v>95</v>
      </c>
      <c r="B70" s="11">
        <v>44316</v>
      </c>
      <c r="C70" s="12">
        <v>5.3244554873816401E-2</v>
      </c>
      <c r="D70" s="13">
        <v>4.4135245602010001E-2</v>
      </c>
    </row>
    <row r="71" spans="1:4">
      <c r="A71" s="10" t="s">
        <v>95</v>
      </c>
      <c r="B71" s="11">
        <v>44286</v>
      </c>
      <c r="C71" s="12">
        <v>2.01420565091944E-2</v>
      </c>
      <c r="D71" s="13">
        <v>2.7240734593358001E-2</v>
      </c>
    </row>
    <row r="72" spans="1:4">
      <c r="A72" s="10" t="s">
        <v>95</v>
      </c>
      <c r="B72" s="11">
        <v>44255</v>
      </c>
      <c r="C72" s="12">
        <v>1.3734308810692699E-2</v>
      </c>
      <c r="D72" s="13">
        <v>2.3461471244076999E-2</v>
      </c>
    </row>
    <row r="73" spans="1:4">
      <c r="A73" s="10" t="s">
        <v>95</v>
      </c>
      <c r="B73" s="11">
        <v>44227</v>
      </c>
      <c r="C73" s="12">
        <v>-6.9136446752615698E-3</v>
      </c>
      <c r="D73" s="13">
        <v>-4.3067900623099996E-3</v>
      </c>
    </row>
    <row r="74" spans="1:4">
      <c r="A74" s="10" t="s">
        <v>95</v>
      </c>
      <c r="B74" s="11">
        <v>44196</v>
      </c>
      <c r="C74" s="12">
        <v>4.98088155840491E-2</v>
      </c>
      <c r="D74" s="13">
        <v>4.6797839310762E-2</v>
      </c>
    </row>
    <row r="75" spans="1:4">
      <c r="A75" s="10" t="s">
        <v>95</v>
      </c>
      <c r="B75" s="11">
        <v>44165</v>
      </c>
      <c r="C75" s="12">
        <v>8.4531043219530894E-2</v>
      </c>
      <c r="D75" s="13">
        <v>0.12363262508860901</v>
      </c>
    </row>
    <row r="76" spans="1:4">
      <c r="A76" s="10" t="s">
        <v>95</v>
      </c>
      <c r="B76" s="11">
        <v>44135</v>
      </c>
      <c r="C76" s="12">
        <v>-2.8580509366427399E-2</v>
      </c>
      <c r="D76" s="13">
        <v>-2.4064814019403E-2</v>
      </c>
    </row>
    <row r="77" spans="1:4">
      <c r="A77" s="10" t="s">
        <v>95</v>
      </c>
      <c r="B77" s="11">
        <v>44104</v>
      </c>
      <c r="C77" s="12">
        <v>-4.3008171859130501E-2</v>
      </c>
      <c r="D77" s="13">
        <v>-3.1872984426000998E-2</v>
      </c>
    </row>
    <row r="78" spans="1:4">
      <c r="A78" s="10" t="s">
        <v>95</v>
      </c>
      <c r="B78" s="11">
        <v>44074</v>
      </c>
      <c r="C78" s="12">
        <v>8.2216042470971695E-2</v>
      </c>
      <c r="D78" s="13">
        <v>6.1582566526216999E-2</v>
      </c>
    </row>
    <row r="79" spans="1:4">
      <c r="A79" s="10" t="s">
        <v>95</v>
      </c>
      <c r="B79" s="11">
        <v>44043</v>
      </c>
      <c r="C79" s="12">
        <v>7.4320285171630696E-2</v>
      </c>
      <c r="D79" s="13">
        <v>5.3287635732637E-2</v>
      </c>
    </row>
    <row r="80" spans="1:4">
      <c r="A80" s="10" t="s">
        <v>95</v>
      </c>
      <c r="B80" s="11">
        <v>44012</v>
      </c>
      <c r="C80" s="12">
        <v>3.4195210894763101E-2</v>
      </c>
      <c r="D80" s="13">
        <v>3.2387759728400002E-2</v>
      </c>
    </row>
    <row r="81" spans="1:4">
      <c r="A81" s="10" t="s">
        <v>95</v>
      </c>
      <c r="B81" s="11">
        <v>43982</v>
      </c>
      <c r="C81" s="12">
        <v>5.4378102370337002E-2</v>
      </c>
      <c r="D81" s="13">
        <v>4.4096205101346E-2</v>
      </c>
    </row>
    <row r="82" spans="1:4">
      <c r="A82" s="10" t="s">
        <v>95</v>
      </c>
      <c r="B82" s="11">
        <v>43951</v>
      </c>
      <c r="C82" s="12">
        <v>0.137559228787002</v>
      </c>
      <c r="D82" s="13">
        <v>0.10763094135308</v>
      </c>
    </row>
    <row r="83" spans="1:4">
      <c r="A83" s="10" t="s">
        <v>95</v>
      </c>
      <c r="B83" s="11">
        <v>43921</v>
      </c>
      <c r="C83" s="12">
        <v>-0.114493626489525</v>
      </c>
      <c r="D83" s="13">
        <v>-0.13439753987592701</v>
      </c>
    </row>
    <row r="84" spans="1:4">
      <c r="A84" s="10" t="s">
        <v>95</v>
      </c>
      <c r="B84" s="11">
        <v>43890</v>
      </c>
      <c r="C84" s="12">
        <v>-7.2718671572539403E-2</v>
      </c>
      <c r="D84" s="13">
        <v>-8.0382880433062007E-2</v>
      </c>
    </row>
    <row r="85" spans="1:4">
      <c r="A85" s="10" t="s">
        <v>95</v>
      </c>
      <c r="B85" s="11">
        <v>43861</v>
      </c>
      <c r="C85" s="12">
        <v>6.8504481687318101E-3</v>
      </c>
      <c r="D85" s="13">
        <v>-1.0794481249363001E-2</v>
      </c>
    </row>
    <row r="86" spans="1:4">
      <c r="A86" s="10" t="s">
        <v>95</v>
      </c>
      <c r="B86" s="11">
        <v>43830</v>
      </c>
      <c r="C86" s="12">
        <v>2.3647600351545801E-2</v>
      </c>
      <c r="D86" s="13">
        <v>3.5631893064937997E-2</v>
      </c>
    </row>
    <row r="87" spans="1:4">
      <c r="A87" s="10" t="s">
        <v>95</v>
      </c>
      <c r="B87" s="11">
        <v>43799</v>
      </c>
      <c r="C87" s="12">
        <v>3.3997909374470503E-2</v>
      </c>
      <c r="D87" s="13">
        <v>2.4833319221919E-2</v>
      </c>
    </row>
    <row r="88" spans="1:4">
      <c r="A88" s="10" t="s">
        <v>95</v>
      </c>
      <c r="B88" s="11">
        <v>43769</v>
      </c>
      <c r="C88" s="12">
        <v>2.4621446214324699E-2</v>
      </c>
      <c r="D88" s="13">
        <v>2.7626486736271001E-2</v>
      </c>
    </row>
    <row r="89" spans="1:4">
      <c r="A89" s="10" t="s">
        <v>95</v>
      </c>
      <c r="B89" s="11">
        <v>43738</v>
      </c>
      <c r="C89" s="12">
        <v>1.40057844367109E-2</v>
      </c>
      <c r="D89" s="13">
        <v>2.1501414363717001E-2</v>
      </c>
    </row>
    <row r="90" spans="1:4">
      <c r="A90" s="10" t="s">
        <v>95</v>
      </c>
      <c r="B90" s="11">
        <v>43708</v>
      </c>
      <c r="C90" s="12">
        <v>-9.0976662191205194E-3</v>
      </c>
      <c r="D90" s="13">
        <v>-2.3255852925103002E-2</v>
      </c>
    </row>
    <row r="91" spans="1:4">
      <c r="A91" s="10" t="s">
        <v>95</v>
      </c>
      <c r="B91" s="11">
        <v>43677</v>
      </c>
      <c r="C91" s="12">
        <v>2.1555791325408899E-2</v>
      </c>
      <c r="D91" s="13">
        <v>3.269633278748E-3</v>
      </c>
    </row>
    <row r="92" spans="1:4">
      <c r="A92" s="10" t="s">
        <v>95</v>
      </c>
      <c r="B92" s="11">
        <v>43646</v>
      </c>
      <c r="C92" s="12">
        <v>6.0732601006281001E-2</v>
      </c>
      <c r="D92" s="13">
        <v>6.5931909673597994E-2</v>
      </c>
    </row>
    <row r="93" spans="1:4">
      <c r="A93" s="10" t="s">
        <v>95</v>
      </c>
      <c r="B93" s="11">
        <v>43616</v>
      </c>
      <c r="C93" s="12">
        <v>-5.7476839642299E-2</v>
      </c>
      <c r="D93" s="13">
        <v>-5.8474800937300002E-2</v>
      </c>
    </row>
    <row r="94" spans="1:4">
      <c r="A94" s="10" t="s">
        <v>95</v>
      </c>
      <c r="B94" s="11">
        <v>43585</v>
      </c>
      <c r="C94" s="12">
        <v>3.2936279422665797E-2</v>
      </c>
      <c r="D94" s="13">
        <v>3.4293689669672001E-2</v>
      </c>
    </row>
    <row r="95" spans="1:4">
      <c r="A95" s="10" t="s">
        <v>95</v>
      </c>
      <c r="B95" s="11">
        <v>43555</v>
      </c>
      <c r="C95" s="12">
        <v>2.29711595955795E-2</v>
      </c>
      <c r="D95" s="13">
        <v>1.3197267533851E-2</v>
      </c>
    </row>
    <row r="96" spans="1:4">
      <c r="A96" s="10" t="s">
        <v>95</v>
      </c>
      <c r="B96" s="11">
        <v>43524</v>
      </c>
      <c r="C96" s="12">
        <v>2.5835079634643699E-2</v>
      </c>
      <c r="D96" s="13">
        <v>2.7232716760026001E-2</v>
      </c>
    </row>
    <row r="97" spans="1:4">
      <c r="A97" s="10" t="s">
        <v>95</v>
      </c>
      <c r="B97" s="11">
        <v>43496</v>
      </c>
      <c r="C97" s="12">
        <v>8.3000000000000004E-2</v>
      </c>
      <c r="D97" s="13">
        <v>7.9248884500795994E-2</v>
      </c>
    </row>
    <row r="98" spans="1:4">
      <c r="A98" s="10" t="s">
        <v>95</v>
      </c>
      <c r="B98" s="11">
        <v>43465</v>
      </c>
      <c r="C98" s="12">
        <v>-7.67578543927043E-2</v>
      </c>
      <c r="D98" s="13">
        <v>-7.0030156926793999E-2</v>
      </c>
    </row>
    <row r="99" spans="1:4">
      <c r="A99" s="10" t="s">
        <v>95</v>
      </c>
      <c r="B99" s="11">
        <v>43434</v>
      </c>
      <c r="C99" s="12">
        <v>1.05202734888627E-2</v>
      </c>
      <c r="D99" s="13">
        <v>1.5099179118093E-2</v>
      </c>
    </row>
    <row r="100" spans="1:4">
      <c r="A100" s="10" t="s">
        <v>95</v>
      </c>
      <c r="B100" s="11">
        <v>43404</v>
      </c>
      <c r="C100" s="12">
        <v>-8.2655095303880294E-2</v>
      </c>
      <c r="D100" s="13">
        <v>-7.4718765790495995E-2</v>
      </c>
    </row>
    <row r="101" spans="1:4">
      <c r="A101" s="10" t="s">
        <v>95</v>
      </c>
      <c r="B101" s="11">
        <v>43373</v>
      </c>
      <c r="C101" s="12">
        <v>-3.10357351994173E-3</v>
      </c>
      <c r="D101" s="13">
        <v>4.7612195801899999E-3</v>
      </c>
    </row>
    <row r="102" spans="1:4">
      <c r="A102" s="10" t="s">
        <v>95</v>
      </c>
      <c r="B102" s="11">
        <v>43343</v>
      </c>
      <c r="C102" s="12">
        <v>-5.0086392287141896E-3</v>
      </c>
      <c r="D102" s="13">
        <v>8.3050642850459998E-3</v>
      </c>
    </row>
    <row r="103" spans="1:4">
      <c r="A103" s="10" t="s">
        <v>95</v>
      </c>
      <c r="B103" s="11">
        <v>43312</v>
      </c>
      <c r="C103" s="12">
        <v>2.3271590253677199E-2</v>
      </c>
      <c r="D103" s="13">
        <v>3.0481696130742999E-2</v>
      </c>
    </row>
    <row r="104" spans="1:4">
      <c r="A104" s="10" t="s">
        <v>95</v>
      </c>
      <c r="B104" s="11">
        <v>43281</v>
      </c>
      <c r="C104" s="12">
        <v>-1.5774987085454599E-2</v>
      </c>
      <c r="D104" s="13">
        <v>-5.0166015808650001E-3</v>
      </c>
    </row>
    <row r="105" spans="1:4">
      <c r="A105" s="10" t="s">
        <v>95</v>
      </c>
      <c r="B105" s="11">
        <v>43251</v>
      </c>
      <c r="C105" s="12">
        <v>2.8086456409600201E-3</v>
      </c>
      <c r="D105" s="13">
        <v>2.111045882303E-3</v>
      </c>
    </row>
    <row r="106" spans="1:4">
      <c r="A106" s="10" t="s">
        <v>95</v>
      </c>
      <c r="B106" s="11">
        <v>43220</v>
      </c>
      <c r="C106" s="12">
        <v>8.8076101295112806E-3</v>
      </c>
      <c r="D106" s="13">
        <v>1.0848776768010999E-2</v>
      </c>
    </row>
    <row r="107" spans="1:4">
      <c r="A107" s="10" t="s">
        <v>95</v>
      </c>
      <c r="B107" s="11">
        <v>43190</v>
      </c>
      <c r="C107" s="12">
        <v>-3.5146262305991798E-3</v>
      </c>
      <c r="D107" s="13">
        <v>-2.1518736232321999E-2</v>
      </c>
    </row>
    <row r="108" spans="1:4">
      <c r="A108" s="10" t="s">
        <v>95</v>
      </c>
      <c r="B108" s="11">
        <v>43159</v>
      </c>
      <c r="C108" s="12">
        <v>-5.1874568655774E-2</v>
      </c>
      <c r="D108" s="13">
        <v>-4.1610606420488999E-2</v>
      </c>
    </row>
    <row r="109" spans="1:4">
      <c r="A109" s="10" t="s">
        <v>95</v>
      </c>
      <c r="B109" s="11">
        <v>43131</v>
      </c>
      <c r="C109" s="12">
        <v>6.0494866979383499E-2</v>
      </c>
      <c r="D109" s="13">
        <v>5.6624462914608001E-2</v>
      </c>
    </row>
    <row r="110" spans="1:4">
      <c r="A110" s="10" t="s">
        <v>95</v>
      </c>
      <c r="B110" s="11">
        <v>43100</v>
      </c>
      <c r="C110" s="12">
        <v>2.46955913614899E-2</v>
      </c>
      <c r="D110" s="13">
        <v>1.6459000000000001E-2</v>
      </c>
    </row>
    <row r="111" spans="1:4">
      <c r="A111" s="10" t="s">
        <v>95</v>
      </c>
      <c r="B111" s="11">
        <v>43069</v>
      </c>
      <c r="C111" s="12">
        <v>1.1180346632657601E-2</v>
      </c>
      <c r="D111" s="13">
        <v>1.9814999999999999E-2</v>
      </c>
    </row>
    <row r="112" spans="1:4">
      <c r="A112" s="10" t="s">
        <v>95</v>
      </c>
      <c r="B112" s="11">
        <v>43039</v>
      </c>
      <c r="C112" s="12">
        <v>2.8515037374362201E-2</v>
      </c>
      <c r="D112" s="13">
        <v>2.0996000000000001E-2</v>
      </c>
    </row>
    <row r="113" spans="1:4">
      <c r="A113" s="10" t="s">
        <v>95</v>
      </c>
      <c r="B113" s="11">
        <v>43008</v>
      </c>
      <c r="C113" s="12">
        <v>1.3992111904090301E-2</v>
      </c>
      <c r="D113" s="13">
        <v>1.9692999999999999E-2</v>
      </c>
    </row>
    <row r="114" spans="1:4">
      <c r="A114" s="10" t="s">
        <v>95</v>
      </c>
      <c r="B114" s="11">
        <v>42978</v>
      </c>
      <c r="C114" s="12">
        <v>9.1746296418413597E-3</v>
      </c>
      <c r="D114" s="13">
        <v>4.3210000000000002E-3</v>
      </c>
    </row>
    <row r="115" spans="1:4">
      <c r="A115" s="10" t="s">
        <v>95</v>
      </c>
      <c r="B115" s="11">
        <v>42947</v>
      </c>
      <c r="C115" s="12">
        <v>3.02298842293071E-2</v>
      </c>
      <c r="D115" s="13">
        <v>2.8310999999999999E-2</v>
      </c>
    </row>
    <row r="116" spans="1:4">
      <c r="A116" s="10" t="s">
        <v>95</v>
      </c>
      <c r="B116" s="11">
        <v>42916</v>
      </c>
      <c r="C116" s="12">
        <v>1.02708038729299E-2</v>
      </c>
      <c r="D116" s="13">
        <v>4.9620000000000003E-3</v>
      </c>
    </row>
    <row r="117" spans="1:4">
      <c r="A117" s="10" t="s">
        <v>95</v>
      </c>
      <c r="B117" s="11">
        <v>42886</v>
      </c>
      <c r="C117" s="12">
        <v>1.0613499578757001E-2</v>
      </c>
      <c r="D117" s="13">
        <v>2.2967000000000001E-2</v>
      </c>
    </row>
    <row r="118" spans="1:4">
      <c r="A118" s="10" t="s">
        <v>95</v>
      </c>
      <c r="B118" s="11">
        <v>42855</v>
      </c>
      <c r="C118" s="12">
        <v>3.6788289428074401E-3</v>
      </c>
      <c r="D118" s="13">
        <v>1.6046999999999999E-2</v>
      </c>
    </row>
    <row r="119" spans="1:4">
      <c r="A119" s="10" t="s">
        <v>95</v>
      </c>
      <c r="B119" s="11">
        <v>42825</v>
      </c>
      <c r="C119" s="12">
        <v>1.3086321010480401E-3</v>
      </c>
      <c r="D119" s="13">
        <v>1.29E-2</v>
      </c>
    </row>
    <row r="120" spans="1:4">
      <c r="A120" s="10" t="s">
        <v>95</v>
      </c>
      <c r="B120" s="11">
        <v>42794</v>
      </c>
      <c r="C120" s="12">
        <v>2.9516463492806299E-2</v>
      </c>
      <c r="D120" s="13">
        <v>2.8497999999999999E-2</v>
      </c>
    </row>
    <row r="121" spans="1:4">
      <c r="A121" s="10" t="s">
        <v>95</v>
      </c>
      <c r="B121" s="11">
        <v>42766</v>
      </c>
      <c r="C121" s="12">
        <v>1.86094618439211E-2</v>
      </c>
      <c r="D121" s="13">
        <v>2.7557000000000002E-2</v>
      </c>
    </row>
    <row r="122" spans="1:4">
      <c r="A122" s="10" t="s">
        <v>95</v>
      </c>
      <c r="B122" s="11">
        <v>42735</v>
      </c>
      <c r="C122" s="12">
        <v>1.90867791248851E-2</v>
      </c>
      <c r="D122" s="13">
        <v>2.1999000000000001E-2</v>
      </c>
    </row>
    <row r="123" spans="1:4">
      <c r="A123" s="10" t="s">
        <v>95</v>
      </c>
      <c r="B123" s="11">
        <v>42704</v>
      </c>
      <c r="C123" s="12">
        <v>2.2830420629774601E-2</v>
      </c>
      <c r="D123" s="13">
        <v>8.09E-3</v>
      </c>
    </row>
    <row r="124" spans="1:4">
      <c r="A124" s="10" t="s">
        <v>95</v>
      </c>
      <c r="B124" s="11">
        <v>42674</v>
      </c>
      <c r="C124" s="12">
        <v>-1.8722704850734101E-2</v>
      </c>
      <c r="D124" s="13">
        <v>-1.6733000000000001E-2</v>
      </c>
    </row>
    <row r="125" spans="1:4">
      <c r="A125" s="10" t="s">
        <v>95</v>
      </c>
      <c r="B125" s="11">
        <v>42643</v>
      </c>
      <c r="C125" s="12">
        <v>1.6128493579526601E-3</v>
      </c>
      <c r="D125" s="13">
        <v>6.5620000000000001E-3</v>
      </c>
    </row>
    <row r="126" spans="1:4">
      <c r="A126" s="10" t="s">
        <v>95</v>
      </c>
      <c r="B126" s="11">
        <v>42613</v>
      </c>
      <c r="C126" s="12">
        <v>-3.78391156376535E-3</v>
      </c>
      <c r="D126" s="13">
        <v>3.8500000000000001E-3</v>
      </c>
    </row>
    <row r="127" spans="1:4">
      <c r="A127" s="10" t="s">
        <v>95</v>
      </c>
      <c r="B127" s="11">
        <v>42582</v>
      </c>
      <c r="C127" s="12">
        <v>3.2362493449905799E-2</v>
      </c>
      <c r="D127" s="13">
        <v>4.3396999999999998E-2</v>
      </c>
    </row>
    <row r="128" spans="1:4">
      <c r="A128" s="10" t="s">
        <v>95</v>
      </c>
      <c r="B128" s="11">
        <v>42551</v>
      </c>
      <c r="C128" s="12">
        <v>1.10086766650241E-2</v>
      </c>
      <c r="D128" s="13">
        <v>-5.5269999999999998E-3</v>
      </c>
    </row>
    <row r="129" spans="1:4">
      <c r="A129" s="10" t="s">
        <v>95</v>
      </c>
      <c r="B129" s="11">
        <v>42521</v>
      </c>
      <c r="C129" s="12">
        <v>9.6217603777824894E-3</v>
      </c>
      <c r="D129" s="13">
        <v>2.1080000000000001E-3</v>
      </c>
    </row>
    <row r="130" spans="1:4">
      <c r="A130" s="10" t="s">
        <v>95</v>
      </c>
      <c r="B130" s="11">
        <v>42490</v>
      </c>
      <c r="C130" s="12">
        <v>-9.4955250955936702E-4</v>
      </c>
      <c r="D130" s="13">
        <v>1.5351E-2</v>
      </c>
    </row>
    <row r="131" spans="1:4">
      <c r="A131" s="10" t="s">
        <v>95</v>
      </c>
      <c r="B131" s="11">
        <v>42460</v>
      </c>
      <c r="C131" s="12">
        <v>4.5536594062220603E-2</v>
      </c>
      <c r="D131" s="13">
        <v>7.4798000000000003E-2</v>
      </c>
    </row>
    <row r="132" spans="1:4">
      <c r="A132" s="10" t="s">
        <v>95</v>
      </c>
      <c r="B132" s="11">
        <v>42429</v>
      </c>
      <c r="C132" s="12">
        <v>-1.34060122150013E-2</v>
      </c>
      <c r="D132" s="13">
        <v>-6.3229999999999996E-3</v>
      </c>
    </row>
    <row r="133" spans="1:4">
      <c r="A133" s="10" t="s">
        <v>95</v>
      </c>
      <c r="B133" s="11">
        <v>42400</v>
      </c>
      <c r="C133" s="12">
        <v>-4.0827716235813598E-2</v>
      </c>
      <c r="D133" s="13">
        <v>-6.0075000000000003E-2</v>
      </c>
    </row>
    <row r="134" spans="1:4">
      <c r="A134" s="10" t="s">
        <v>95</v>
      </c>
      <c r="B134" s="11">
        <v>42369</v>
      </c>
      <c r="C134" s="12">
        <v>-1.4673145203822201E-2</v>
      </c>
      <c r="D134" s="13">
        <v>-1.7613E-2</v>
      </c>
    </row>
    <row r="135" spans="1:4">
      <c r="A135" s="10" t="s">
        <v>95</v>
      </c>
      <c r="B135" s="11">
        <v>42338</v>
      </c>
      <c r="C135" s="12">
        <v>5.96477654824174E-3</v>
      </c>
      <c r="D135" s="13">
        <v>-7.8130000000000005E-3</v>
      </c>
    </row>
    <row r="136" spans="1:4">
      <c r="A136" s="10" t="s">
        <v>95</v>
      </c>
      <c r="B136" s="11">
        <v>42308</v>
      </c>
      <c r="C136" s="12">
        <v>5.9313605304419398E-2</v>
      </c>
      <c r="D136" s="13">
        <v>7.8750000000000001E-2</v>
      </c>
    </row>
    <row r="137" spans="1:4">
      <c r="A137" s="10" t="s">
        <v>95</v>
      </c>
      <c r="B137" s="11">
        <v>42277</v>
      </c>
      <c r="C137" s="12">
        <v>-3.2903998247902098E-2</v>
      </c>
      <c r="D137" s="13">
        <v>-3.5785999999999998E-2</v>
      </c>
    </row>
    <row r="138" spans="1:4">
      <c r="A138" s="10" t="s">
        <v>95</v>
      </c>
      <c r="B138" s="11">
        <v>42247</v>
      </c>
      <c r="C138" s="12">
        <v>-6.4770886462723901E-2</v>
      </c>
      <c r="D138" s="13">
        <v>-6.8145999999999998E-2</v>
      </c>
    </row>
    <row r="139" spans="1:4">
      <c r="A139" s="10" t="s">
        <v>95</v>
      </c>
      <c r="B139" s="11">
        <v>42216</v>
      </c>
      <c r="C139" s="12">
        <v>2.3624747501009801E-2</v>
      </c>
      <c r="D139" s="13">
        <v>9.0480000000000005E-3</v>
      </c>
    </row>
    <row r="140" spans="1:4">
      <c r="A140" s="10" t="s">
        <v>95</v>
      </c>
      <c r="B140" s="11">
        <v>42185</v>
      </c>
      <c r="C140" s="12">
        <v>-2.4024747793587001E-2</v>
      </c>
      <c r="D140" s="13">
        <v>-2.3099000000000001E-2</v>
      </c>
    </row>
    <row r="141" spans="1:4">
      <c r="A141" s="10" t="s">
        <v>95</v>
      </c>
      <c r="B141" s="11">
        <v>42155</v>
      </c>
      <c r="C141" s="12">
        <v>1.8177543292942501E-2</v>
      </c>
      <c r="D141" s="13">
        <v>-5.2700000000000002E-4</v>
      </c>
    </row>
    <row r="142" spans="1:4">
      <c r="A142" s="10" t="s">
        <v>95</v>
      </c>
      <c r="B142" s="11">
        <v>42124</v>
      </c>
      <c r="C142" s="12">
        <v>7.6825892445542901E-3</v>
      </c>
      <c r="D142" s="13">
        <v>2.9506000000000001E-2</v>
      </c>
    </row>
    <row r="143" spans="1:4">
      <c r="A143" s="10" t="s">
        <v>95</v>
      </c>
      <c r="B143" s="11">
        <v>42094</v>
      </c>
      <c r="C143" s="12">
        <v>-6.6440746111549997E-3</v>
      </c>
      <c r="D143" s="13">
        <v>-1.4898E-2</v>
      </c>
    </row>
    <row r="144" spans="1:4">
      <c r="A144" s="10" t="s">
        <v>95</v>
      </c>
      <c r="B144" s="11">
        <v>42063</v>
      </c>
      <c r="C144" s="12">
        <v>4.8912911666970697E-2</v>
      </c>
      <c r="D144" s="13">
        <v>5.6128999999999998E-2</v>
      </c>
    </row>
    <row r="145" spans="1:4">
      <c r="A145" s="10" t="s">
        <v>95</v>
      </c>
      <c r="B145" s="11">
        <v>42035</v>
      </c>
      <c r="C145" s="12">
        <v>-1.01272322052936E-2</v>
      </c>
      <c r="D145" s="13">
        <v>-1.5410999999999999E-2</v>
      </c>
    </row>
    <row r="146" spans="1:4">
      <c r="A146" s="10" t="s">
        <v>95</v>
      </c>
      <c r="B146" s="11">
        <v>42004</v>
      </c>
      <c r="C146" s="12">
        <v>-2.0579109537015999E-2</v>
      </c>
      <c r="D146" s="13">
        <v>-1.8880000000000001E-2</v>
      </c>
    </row>
    <row r="147" spans="1:4">
      <c r="A147" s="10" t="s">
        <v>95</v>
      </c>
      <c r="B147" s="11">
        <v>41973</v>
      </c>
      <c r="C147" s="12">
        <v>1.6846412003409399E-2</v>
      </c>
      <c r="D147" s="13">
        <v>1.7155E-2</v>
      </c>
    </row>
    <row r="148" spans="1:4">
      <c r="A148" s="10" t="s">
        <v>95</v>
      </c>
      <c r="B148" s="11">
        <v>41943</v>
      </c>
      <c r="C148" s="12">
        <v>1.6711948945690201E-2</v>
      </c>
      <c r="D148" s="13">
        <v>7.2690000000000003E-3</v>
      </c>
    </row>
    <row r="149" spans="1:4">
      <c r="A149" s="10" t="s">
        <v>95</v>
      </c>
      <c r="B149" s="11">
        <v>41912</v>
      </c>
      <c r="C149" s="12">
        <v>-3.2183580544844E-2</v>
      </c>
      <c r="D149" s="13">
        <v>-3.2043000000000002E-2</v>
      </c>
    </row>
    <row r="150" spans="1:4">
      <c r="A150" s="10" t="s">
        <v>95</v>
      </c>
      <c r="B150" s="11">
        <v>41882</v>
      </c>
      <c r="C150" s="12">
        <v>2.94145943011828E-2</v>
      </c>
      <c r="D150" s="13">
        <v>2.2499999999999999E-2</v>
      </c>
    </row>
    <row r="151" spans="1:4">
      <c r="A151" s="10" t="s">
        <v>95</v>
      </c>
      <c r="B151" s="11">
        <v>41851</v>
      </c>
      <c r="C151" s="12">
        <v>-1.44722323610813E-2</v>
      </c>
      <c r="D151" s="13">
        <v>-1.1826E-2</v>
      </c>
    </row>
    <row r="152" spans="1:4">
      <c r="A152" s="10" t="s">
        <v>95</v>
      </c>
      <c r="B152" s="11">
        <v>41820</v>
      </c>
      <c r="C152" s="12">
        <v>2.1027492571075598E-2</v>
      </c>
      <c r="D152" s="13">
        <v>1.9262000000000001E-2</v>
      </c>
    </row>
    <row r="153" spans="1:4">
      <c r="A153" s="10" t="s">
        <v>95</v>
      </c>
      <c r="B153" s="11">
        <v>41790</v>
      </c>
      <c r="C153" s="12">
        <v>2.1593537561660901E-2</v>
      </c>
      <c r="D153" s="13">
        <v>2.2137E-2</v>
      </c>
    </row>
    <row r="154" spans="1:4">
      <c r="A154" s="10" t="s">
        <v>95</v>
      </c>
      <c r="B154" s="11">
        <v>41759</v>
      </c>
      <c r="C154" s="12">
        <v>4.4312539014766603E-5</v>
      </c>
      <c r="D154" s="13">
        <v>1.0048E-2</v>
      </c>
    </row>
    <row r="155" spans="1:4">
      <c r="A155" s="10" t="s">
        <v>95</v>
      </c>
      <c r="B155" s="11">
        <v>41729</v>
      </c>
      <c r="C155" s="12">
        <v>-5.4214912275881598E-3</v>
      </c>
      <c r="D155" s="13">
        <v>4.9789999999999999E-3</v>
      </c>
    </row>
    <row r="156" spans="1:4">
      <c r="A156" s="10" t="s">
        <v>95</v>
      </c>
      <c r="B156" s="11">
        <v>41698</v>
      </c>
      <c r="C156" s="12">
        <v>4.6348624224777597E-2</v>
      </c>
      <c r="D156" s="13">
        <v>4.8807999999999997E-2</v>
      </c>
    </row>
    <row r="157" spans="1:4">
      <c r="A157" s="10" t="s">
        <v>95</v>
      </c>
      <c r="B157" s="11">
        <v>41670</v>
      </c>
      <c r="C157" s="12">
        <v>-3.65793311129037E-2</v>
      </c>
      <c r="D157" s="13">
        <v>-3.9778000000000001E-2</v>
      </c>
    </row>
    <row r="158" spans="1:4">
      <c r="A158" s="10" t="s">
        <v>95</v>
      </c>
      <c r="B158" s="11">
        <v>41639</v>
      </c>
      <c r="C158" s="12">
        <v>2.11685544440368E-2</v>
      </c>
      <c r="D158" s="13">
        <v>1.7597000000000002E-2</v>
      </c>
    </row>
    <row r="159" spans="1:4">
      <c r="A159" s="10" t="s">
        <v>95</v>
      </c>
      <c r="B159" s="11">
        <v>41608</v>
      </c>
      <c r="C159" s="12">
        <v>2.0128094577219102E-2</v>
      </c>
      <c r="D159" s="13">
        <v>1.4585000000000001E-2</v>
      </c>
    </row>
    <row r="160" spans="1:4">
      <c r="A160" s="10" t="s">
        <v>95</v>
      </c>
      <c r="B160" s="11">
        <v>41578</v>
      </c>
      <c r="C160" s="12">
        <v>3.6951822491917398E-2</v>
      </c>
      <c r="D160" s="13">
        <v>4.0416000000000001E-2</v>
      </c>
    </row>
    <row r="161" spans="1:4">
      <c r="A161" s="10" t="s">
        <v>95</v>
      </c>
      <c r="B161" s="11">
        <v>41547</v>
      </c>
      <c r="C161" s="12">
        <v>4.6912106789965401E-2</v>
      </c>
      <c r="D161" s="13">
        <v>5.2039000000000002E-2</v>
      </c>
    </row>
    <row r="162" spans="1:4">
      <c r="A162" s="10" t="s">
        <v>95</v>
      </c>
      <c r="B162" s="11">
        <v>41517</v>
      </c>
      <c r="C162" s="12">
        <v>-3.01551358508442E-2</v>
      </c>
      <c r="D162" s="13">
        <v>-2.0414000000000002E-2</v>
      </c>
    </row>
    <row r="163" spans="1:4">
      <c r="A163" s="10" t="s">
        <v>95</v>
      </c>
      <c r="B163" s="11">
        <v>41486</v>
      </c>
      <c r="C163" s="12">
        <v>5.0879896275744199E-2</v>
      </c>
      <c r="D163" s="13">
        <v>4.8193E-2</v>
      </c>
    </row>
    <row r="164" spans="1:4">
      <c r="A164" s="10" t="s">
        <v>95</v>
      </c>
      <c r="B164" s="11">
        <v>41455</v>
      </c>
      <c r="C164" s="12">
        <v>-2.0345178570981299E-2</v>
      </c>
      <c r="D164" s="13">
        <v>-2.8822E-2</v>
      </c>
    </row>
    <row r="165" spans="1:4">
      <c r="A165" s="10" t="s">
        <v>95</v>
      </c>
      <c r="B165" s="11">
        <v>41425</v>
      </c>
      <c r="C165" s="12">
        <v>-7.5443089712725802E-3</v>
      </c>
      <c r="D165" s="13">
        <v>-1.902E-3</v>
      </c>
    </row>
    <row r="166" spans="1:4">
      <c r="A166" s="10" t="s">
        <v>95</v>
      </c>
      <c r="B166" s="11">
        <v>41394</v>
      </c>
      <c r="C166" s="12">
        <v>2.27384947904932E-2</v>
      </c>
      <c r="D166" s="13">
        <v>2.9453133556116E-2</v>
      </c>
    </row>
    <row r="167" spans="1:4">
      <c r="A167" s="10" t="s">
        <v>95</v>
      </c>
      <c r="B167" s="11">
        <v>41364</v>
      </c>
      <c r="C167" s="12">
        <v>1.3847552441863101E-2</v>
      </c>
      <c r="D167" s="13">
        <v>1.8551382181058999E-2</v>
      </c>
    </row>
    <row r="168" spans="1:4">
      <c r="A168" s="10" t="s">
        <v>95</v>
      </c>
      <c r="B168" s="11">
        <v>41333</v>
      </c>
      <c r="C168" s="12">
        <v>-1.08376445512337E-2</v>
      </c>
      <c r="D168" s="13">
        <v>2.9799999999999998E-4</v>
      </c>
    </row>
    <row r="169" spans="1:4">
      <c r="A169" s="10" t="s">
        <v>95</v>
      </c>
      <c r="B169" s="11">
        <v>41305</v>
      </c>
      <c r="C169" s="12">
        <v>3.8332612090731098E-2</v>
      </c>
      <c r="D169" s="13">
        <v>4.6356000000000001E-2</v>
      </c>
    </row>
    <row r="170" spans="1:4">
      <c r="A170" s="10" t="s">
        <v>95</v>
      </c>
      <c r="B170" s="11">
        <v>41274</v>
      </c>
      <c r="C170" s="12">
        <v>2.3437663495869399E-2</v>
      </c>
      <c r="D170" s="13">
        <v>2.3134999999999999E-2</v>
      </c>
    </row>
    <row r="171" spans="1:4">
      <c r="A171" s="10" t="s">
        <v>95</v>
      </c>
      <c r="B171" s="11">
        <v>41243</v>
      </c>
      <c r="C171" s="12">
        <v>-7.6068021765643098E-4</v>
      </c>
      <c r="D171" s="13">
        <v>1.3271E-2</v>
      </c>
    </row>
    <row r="172" spans="1:4">
      <c r="A172" s="10" t="s">
        <v>95</v>
      </c>
      <c r="B172" s="11">
        <v>41213</v>
      </c>
      <c r="C172" s="12">
        <v>-8.0680747749041805E-3</v>
      </c>
      <c r="D172" s="13">
        <v>-6.4079999999999996E-3</v>
      </c>
    </row>
    <row r="173" spans="1:4">
      <c r="A173" s="10" t="s">
        <v>95</v>
      </c>
      <c r="B173" s="11">
        <v>41182</v>
      </c>
      <c r="C173" s="12">
        <v>2.1380737617084901E-2</v>
      </c>
      <c r="D173" s="13">
        <v>3.1914999999999999E-2</v>
      </c>
    </row>
    <row r="174" spans="1:4">
      <c r="A174" s="10" t="s">
        <v>95</v>
      </c>
      <c r="B174" s="11">
        <v>41152</v>
      </c>
      <c r="C174" s="12">
        <v>1.7484183666045299E-2</v>
      </c>
      <c r="D174" s="13">
        <v>2.2245000000000001E-2</v>
      </c>
    </row>
    <row r="175" spans="1:4">
      <c r="A175" s="10" t="s">
        <v>95</v>
      </c>
      <c r="B175" s="11">
        <v>41121</v>
      </c>
      <c r="C175" s="12">
        <v>1.6487241235927302E-2</v>
      </c>
      <c r="D175" s="13">
        <v>1.4019E-2</v>
      </c>
    </row>
    <row r="176" spans="1:4">
      <c r="A176" s="10" t="s">
        <v>95</v>
      </c>
      <c r="B176" s="11">
        <v>41090</v>
      </c>
      <c r="C176" s="12">
        <v>3.3757470738750198E-2</v>
      </c>
      <c r="D176" s="13">
        <v>4.9886E-2</v>
      </c>
    </row>
    <row r="177" spans="1:4">
      <c r="A177" s="10" t="s">
        <v>95</v>
      </c>
      <c r="B177" s="11">
        <v>41060</v>
      </c>
      <c r="C177" s="12">
        <v>-6.5798803456906405E-2</v>
      </c>
      <c r="D177" s="13">
        <v>-8.8762999999999995E-2</v>
      </c>
    </row>
    <row r="178" spans="1:4">
      <c r="A178" s="10" t="s">
        <v>95</v>
      </c>
      <c r="B178" s="11">
        <v>41029</v>
      </c>
      <c r="C178" s="12">
        <v>1.4028076317687899E-3</v>
      </c>
      <c r="D178" s="13">
        <v>-1.0788000000000001E-2</v>
      </c>
    </row>
    <row r="179" spans="1:4">
      <c r="A179" s="10" t="s">
        <v>95</v>
      </c>
      <c r="B179" s="11">
        <v>40999</v>
      </c>
      <c r="C179" s="12">
        <v>1.7575731268863401E-2</v>
      </c>
      <c r="D179" s="13">
        <v>7.1310000000000002E-3</v>
      </c>
    </row>
    <row r="180" spans="1:4">
      <c r="A180" s="10" t="s">
        <v>95</v>
      </c>
      <c r="B180" s="11">
        <v>40968</v>
      </c>
      <c r="C180" s="12">
        <v>2.4439179425297601E-2</v>
      </c>
      <c r="D180" s="13">
        <v>5.0817000000000001E-2</v>
      </c>
    </row>
    <row r="181" spans="1:4">
      <c r="A181" s="10" t="s">
        <v>95</v>
      </c>
      <c r="B181" s="11">
        <v>40939</v>
      </c>
      <c r="C181" s="12">
        <v>4.6560069241730603E-2</v>
      </c>
      <c r="D181" s="13">
        <v>5.8424999999999998E-2</v>
      </c>
    </row>
    <row r="182" spans="1:4">
      <c r="A182" s="10" t="s">
        <v>95</v>
      </c>
      <c r="B182" s="11">
        <v>40908</v>
      </c>
      <c r="C182" s="12">
        <v>-1.2389927859750099E-2</v>
      </c>
      <c r="D182" s="13">
        <v>-1.6770000000000001E-3</v>
      </c>
    </row>
    <row r="183" spans="1:4">
      <c r="A183" s="10" t="s">
        <v>95</v>
      </c>
      <c r="B183" s="11">
        <v>40877</v>
      </c>
      <c r="C183" s="12">
        <v>-9.74865780323945E-4</v>
      </c>
      <c r="D183" s="13">
        <v>-2.9436E-2</v>
      </c>
    </row>
    <row r="184" spans="1:4">
      <c r="A184" s="10" t="s">
        <v>95</v>
      </c>
      <c r="B184" s="11">
        <v>40847</v>
      </c>
      <c r="C184" s="12">
        <v>6.6286085154271507E-2</v>
      </c>
      <c r="D184" s="13">
        <v>0.107409</v>
      </c>
    </row>
    <row r="185" spans="1:4">
      <c r="A185" s="10" t="s">
        <v>95</v>
      </c>
      <c r="B185" s="11">
        <v>40816</v>
      </c>
      <c r="C185" s="12">
        <v>-9.5634104229779998E-2</v>
      </c>
      <c r="D185" s="13">
        <v>-9.4048000000000007E-2</v>
      </c>
    </row>
    <row r="186" spans="1:4">
      <c r="A186" s="10" t="s">
        <v>95</v>
      </c>
      <c r="B186" s="11">
        <v>40786</v>
      </c>
      <c r="C186" s="12">
        <v>-3.1033713809298698E-2</v>
      </c>
      <c r="D186" s="13">
        <v>-7.2638999999999995E-2</v>
      </c>
    </row>
    <row r="187" spans="1:4">
      <c r="A187" s="10" t="s">
        <v>95</v>
      </c>
      <c r="B187" s="11">
        <v>40755</v>
      </c>
      <c r="C187" s="12">
        <v>3.3325257426154598E-3</v>
      </c>
      <c r="D187" s="13">
        <v>-1.5959000000000001E-2</v>
      </c>
    </row>
    <row r="188" spans="1:4">
      <c r="A188" s="10" t="s">
        <v>95</v>
      </c>
      <c r="B188" s="11">
        <v>40724</v>
      </c>
      <c r="C188" s="12">
        <v>-1.67089593952316E-2</v>
      </c>
      <c r="D188" s="13">
        <v>-1.5369000000000001E-2</v>
      </c>
    </row>
    <row r="189" spans="1:4">
      <c r="A189" s="10" t="s">
        <v>95</v>
      </c>
      <c r="B189" s="11">
        <v>40694</v>
      </c>
      <c r="C189" s="12">
        <v>-2.3763127877385801E-2</v>
      </c>
      <c r="D189" s="13">
        <v>-2.0560999999999999E-2</v>
      </c>
    </row>
    <row r="190" spans="1:4">
      <c r="A190" s="10" t="s">
        <v>95</v>
      </c>
      <c r="B190" s="11">
        <v>40663</v>
      </c>
      <c r="C190" s="12">
        <v>3.5212202698299597E-2</v>
      </c>
      <c r="D190" s="13">
        <v>4.1488999999999998E-2</v>
      </c>
    </row>
    <row r="191" spans="1:4">
      <c r="A191" s="10" t="s">
        <v>95</v>
      </c>
      <c r="B191" s="11">
        <v>40633</v>
      </c>
      <c r="C191" s="12">
        <v>1.44600759247365E-2</v>
      </c>
      <c r="D191" s="13">
        <v>-5.8299999999999997E-4</v>
      </c>
    </row>
    <row r="192" spans="1:4">
      <c r="A192" s="10" t="s">
        <v>95</v>
      </c>
      <c r="B192" s="11">
        <v>40602</v>
      </c>
      <c r="C192" s="12">
        <v>3.2530691348207103E-2</v>
      </c>
      <c r="D192" s="13">
        <v>2.9530000000000001E-2</v>
      </c>
    </row>
    <row r="193" spans="1:4">
      <c r="A193" s="10" t="s">
        <v>95</v>
      </c>
      <c r="B193" s="11">
        <v>40574</v>
      </c>
      <c r="C193" s="12">
        <v>-6.0785900760610299E-3</v>
      </c>
      <c r="D193" s="13">
        <v>1.592E-2</v>
      </c>
    </row>
    <row r="194" spans="1:4">
      <c r="A194" s="10" t="s">
        <v>95</v>
      </c>
      <c r="B194" s="11">
        <v>40543</v>
      </c>
      <c r="C194" s="12">
        <v>5.2660801445857199E-2</v>
      </c>
      <c r="D194" s="13">
        <v>7.3524999999999993E-2</v>
      </c>
    </row>
    <row r="195" spans="1:4">
      <c r="A195" s="10" t="s">
        <v>95</v>
      </c>
      <c r="B195" s="11">
        <v>40512</v>
      </c>
      <c r="C195" s="12">
        <v>-3.9095247934108703E-4</v>
      </c>
      <c r="D195" s="13">
        <v>-2.1838E-2</v>
      </c>
    </row>
    <row r="196" spans="1:4">
      <c r="A196" s="10" t="s">
        <v>95</v>
      </c>
      <c r="B196" s="11">
        <v>40482</v>
      </c>
      <c r="C196" s="12">
        <v>3.25809403696556E-2</v>
      </c>
      <c r="D196" s="13">
        <v>3.6345000000000002E-2</v>
      </c>
    </row>
    <row r="197" spans="1:4">
      <c r="A197" s="10" t="s">
        <v>95</v>
      </c>
      <c r="B197" s="11">
        <v>40451</v>
      </c>
      <c r="C197" s="12">
        <v>8.2489390130054505E-2</v>
      </c>
      <c r="D197" s="13">
        <v>9.6018999999999993E-2</v>
      </c>
    </row>
    <row r="198" spans="1:4">
      <c r="A198" s="10" t="s">
        <v>95</v>
      </c>
      <c r="B198" s="11">
        <v>40421</v>
      </c>
      <c r="C198" s="12">
        <v>-2.3484470921201699E-2</v>
      </c>
      <c r="D198" s="13">
        <v>-3.456E-2</v>
      </c>
    </row>
    <row r="199" spans="1:4">
      <c r="A199" s="10" t="s">
        <v>95</v>
      </c>
      <c r="B199" s="11">
        <v>40390</v>
      </c>
      <c r="C199" s="12">
        <v>6.9025296855211096E-2</v>
      </c>
      <c r="D199" s="13">
        <v>8.1685999999999995E-2</v>
      </c>
    </row>
    <row r="200" spans="1:4">
      <c r="A200" s="10" t="s">
        <v>95</v>
      </c>
      <c r="B200" s="11">
        <v>40359</v>
      </c>
      <c r="C200" s="12">
        <v>-3.0323299791589601E-2</v>
      </c>
      <c r="D200" s="13">
        <v>-2.9504233124463E-2</v>
      </c>
    </row>
    <row r="201" spans="1:4">
      <c r="A201" s="10" t="s">
        <v>95</v>
      </c>
      <c r="B201" s="11">
        <v>40329</v>
      </c>
      <c r="C201" s="12">
        <v>-7.6720583678166698E-2</v>
      </c>
      <c r="D201" s="13">
        <v>-9.4814776610146007E-2</v>
      </c>
    </row>
    <row r="202" spans="1:4">
      <c r="A202" s="10" t="s">
        <v>95</v>
      </c>
      <c r="B202" s="11">
        <v>40298</v>
      </c>
      <c r="C202" s="12">
        <v>1.0605294270382599E-2</v>
      </c>
      <c r="D202" s="13">
        <v>2.2030000000000001E-3</v>
      </c>
    </row>
    <row r="203" spans="1:4">
      <c r="A203" s="10" t="s">
        <v>95</v>
      </c>
      <c r="B203" s="11">
        <v>40268</v>
      </c>
      <c r="C203" s="12">
        <v>5.5980000000000002E-2</v>
      </c>
      <c r="D203" s="13">
        <v>6.4824999999999994E-2</v>
      </c>
    </row>
    <row r="204" spans="1:4">
      <c r="A204" s="10" t="s">
        <v>95</v>
      </c>
      <c r="B204" s="11">
        <v>40237</v>
      </c>
      <c r="C204" s="12"/>
      <c r="D204" s="13"/>
    </row>
    <row r="205" spans="1:4">
      <c r="A205" s="14" t="s">
        <v>95</v>
      </c>
      <c r="B205" s="15">
        <v>40209</v>
      </c>
      <c r="C205" s="16"/>
      <c r="D205" s="17"/>
    </row>
    <row r="206" spans="1:4">
      <c r="A206" s="10" t="s">
        <v>96</v>
      </c>
      <c r="B206" s="11">
        <v>46387</v>
      </c>
      <c r="C206" s="12"/>
      <c r="D206" s="13"/>
    </row>
    <row r="207" spans="1:4">
      <c r="A207" s="10" t="s">
        <v>96</v>
      </c>
      <c r="B207" s="11">
        <v>46356</v>
      </c>
      <c r="C207" s="12"/>
      <c r="D207" s="13"/>
    </row>
    <row r="208" spans="1:4">
      <c r="A208" s="10" t="s">
        <v>96</v>
      </c>
      <c r="B208" s="11">
        <v>46326</v>
      </c>
      <c r="C208" s="12"/>
      <c r="D208" s="13"/>
    </row>
    <row r="209" spans="1:4">
      <c r="A209" s="10" t="s">
        <v>96</v>
      </c>
      <c r="B209" s="11">
        <v>46295</v>
      </c>
      <c r="C209" s="12"/>
      <c r="D209" s="13"/>
    </row>
    <row r="210" spans="1:4">
      <c r="A210" s="10" t="s">
        <v>96</v>
      </c>
      <c r="B210" s="11">
        <v>46265</v>
      </c>
      <c r="C210" s="12"/>
      <c r="D210" s="13"/>
    </row>
    <row r="211" spans="1:4">
      <c r="A211" s="10" t="s">
        <v>96</v>
      </c>
      <c r="B211" s="11">
        <v>46234</v>
      </c>
      <c r="C211" s="12"/>
      <c r="D211" s="13"/>
    </row>
    <row r="212" spans="1:4">
      <c r="A212" s="10" t="s">
        <v>96</v>
      </c>
      <c r="B212" s="11">
        <v>46203</v>
      </c>
      <c r="C212" s="12"/>
      <c r="D212" s="13"/>
    </row>
    <row r="213" spans="1:4">
      <c r="A213" s="10" t="s">
        <v>96</v>
      </c>
      <c r="B213" s="11">
        <v>46173</v>
      </c>
      <c r="C213" s="12"/>
      <c r="D213" s="13"/>
    </row>
    <row r="214" spans="1:4">
      <c r="A214" s="10" t="s">
        <v>96</v>
      </c>
      <c r="B214" s="11">
        <v>46142</v>
      </c>
      <c r="C214" s="12"/>
      <c r="D214" s="13"/>
    </row>
    <row r="215" spans="1:4">
      <c r="A215" s="10" t="s">
        <v>96</v>
      </c>
      <c r="B215" s="11">
        <v>46112</v>
      </c>
      <c r="C215" s="12">
        <v>-4.2757012587491101E-2</v>
      </c>
      <c r="D215" s="13">
        <v>-4.9839515295844398E-2</v>
      </c>
    </row>
    <row r="216" spans="1:4">
      <c r="A216" s="10" t="s">
        <v>96</v>
      </c>
      <c r="B216" s="11">
        <v>46081</v>
      </c>
      <c r="C216" s="12">
        <v>-1.7098196904893699E-3</v>
      </c>
      <c r="D216" s="13">
        <v>1.4414201420995001E-2</v>
      </c>
    </row>
    <row r="217" spans="1:4">
      <c r="A217" s="10" t="s">
        <v>96</v>
      </c>
      <c r="B217" s="11">
        <v>46053</v>
      </c>
      <c r="C217" s="12">
        <v>1.13635556311577E-2</v>
      </c>
      <c r="D217" s="13">
        <v>1.8331844715595399E-2</v>
      </c>
    </row>
    <row r="218" spans="1:4">
      <c r="A218" s="10" t="s">
        <v>96</v>
      </c>
      <c r="B218" s="11">
        <v>46022</v>
      </c>
      <c r="C218" s="12">
        <v>2.7814827828313501E-3</v>
      </c>
      <c r="D218" s="13">
        <v>5.8507548853556001E-3</v>
      </c>
    </row>
    <row r="219" spans="1:4">
      <c r="A219" s="10" t="s">
        <v>96</v>
      </c>
      <c r="B219" s="11">
        <v>45991</v>
      </c>
      <c r="C219" s="12">
        <v>-4.0640984804380499E-3</v>
      </c>
      <c r="D219" s="13">
        <v>2.5872136834829999E-3</v>
      </c>
    </row>
    <row r="220" spans="1:4">
      <c r="A220" s="10" t="s">
        <v>96</v>
      </c>
      <c r="B220" s="11">
        <v>45961</v>
      </c>
      <c r="C220" s="12">
        <v>1.8952016827391598E-2</v>
      </c>
      <c r="D220" s="13">
        <v>1.60327934625338E-2</v>
      </c>
    </row>
    <row r="221" spans="1:4">
      <c r="A221" s="10" t="s">
        <v>96</v>
      </c>
      <c r="B221" s="11">
        <v>45930</v>
      </c>
      <c r="C221" s="12">
        <v>2.7834885052151401E-2</v>
      </c>
      <c r="D221" s="13">
        <v>2.6327569283138601E-2</v>
      </c>
    </row>
    <row r="222" spans="1:4">
      <c r="A222" s="10" t="s">
        <v>96</v>
      </c>
      <c r="B222" s="11">
        <v>45900</v>
      </c>
      <c r="C222" s="12">
        <v>1.51984801649381E-2</v>
      </c>
      <c r="D222" s="13">
        <v>1.9871498717949999E-2</v>
      </c>
    </row>
    <row r="223" spans="1:4">
      <c r="A223" s="10" t="s">
        <v>96</v>
      </c>
      <c r="B223" s="11">
        <v>45869</v>
      </c>
      <c r="C223" s="12">
        <v>9.8661912178195192E-3</v>
      </c>
      <c r="D223" s="13">
        <v>7.2348073297492004E-3</v>
      </c>
    </row>
    <row r="224" spans="1:4">
      <c r="A224" s="10" t="s">
        <v>96</v>
      </c>
      <c r="B224" s="11">
        <v>45838</v>
      </c>
      <c r="C224" s="12">
        <v>3.3180657573428599E-2</v>
      </c>
      <c r="D224" s="13">
        <v>3.3348553292824802E-2</v>
      </c>
    </row>
    <row r="225" spans="1:4">
      <c r="A225" s="10" t="s">
        <v>96</v>
      </c>
      <c r="B225" s="11">
        <v>45808</v>
      </c>
      <c r="C225" s="12">
        <v>3.85153249736883E-2</v>
      </c>
      <c r="D225" s="13">
        <v>3.2015104081575402E-2</v>
      </c>
    </row>
    <row r="226" spans="1:4">
      <c r="A226" s="10" t="s">
        <v>96</v>
      </c>
      <c r="B226" s="11">
        <v>45777</v>
      </c>
      <c r="C226" s="12">
        <v>3.8671760142754302E-3</v>
      </c>
      <c r="D226" s="13">
        <v>7.4379311866246004E-3</v>
      </c>
    </row>
    <row r="227" spans="1:4">
      <c r="A227" s="10" t="s">
        <v>96</v>
      </c>
      <c r="B227" s="11">
        <v>45747</v>
      </c>
      <c r="C227" s="12">
        <v>-3.9437497111859801E-2</v>
      </c>
      <c r="D227" s="13">
        <v>-2.3227778396808198E-2</v>
      </c>
    </row>
    <row r="228" spans="1:4">
      <c r="A228" s="10" t="s">
        <v>96</v>
      </c>
      <c r="B228" s="11">
        <v>45716</v>
      </c>
      <c r="C228" s="12">
        <v>-3.61504176501841E-3</v>
      </c>
      <c r="D228" s="13">
        <v>5.3534663437987996E-3</v>
      </c>
    </row>
    <row r="229" spans="1:4">
      <c r="A229" s="10" t="s">
        <v>96</v>
      </c>
      <c r="B229" s="11">
        <v>45688</v>
      </c>
      <c r="C229" s="12">
        <v>1.8419879472567902E-2</v>
      </c>
      <c r="D229" s="13">
        <v>2.2396989443036999E-2</v>
      </c>
    </row>
    <row r="230" spans="1:4">
      <c r="A230" s="10" t="s">
        <v>96</v>
      </c>
      <c r="B230" s="11">
        <v>45657</v>
      </c>
      <c r="C230" s="12">
        <v>-1.18770892806191E-2</v>
      </c>
      <c r="D230" s="13">
        <v>-2.0470381383511E-2</v>
      </c>
    </row>
    <row r="231" spans="1:4">
      <c r="A231" s="10" t="s">
        <v>96</v>
      </c>
      <c r="B231" s="11">
        <v>45626</v>
      </c>
      <c r="C231" s="12">
        <v>4.4050679824835903E-2</v>
      </c>
      <c r="D231" s="13">
        <v>2.6877421904964002E-2</v>
      </c>
    </row>
    <row r="232" spans="1:4">
      <c r="A232" s="10" t="s">
        <v>96</v>
      </c>
      <c r="B232" s="11">
        <v>45596</v>
      </c>
      <c r="C232" s="12">
        <v>-1.22557483862165E-2</v>
      </c>
      <c r="D232" s="13">
        <v>-2.3091231121128999E-2</v>
      </c>
    </row>
    <row r="233" spans="1:4">
      <c r="A233" s="10" t="s">
        <v>96</v>
      </c>
      <c r="B233" s="11">
        <v>45565</v>
      </c>
      <c r="C233" s="12">
        <v>1.6193224980749502E-2</v>
      </c>
      <c r="D233" s="13">
        <v>1.9671334580488999E-2</v>
      </c>
    </row>
    <row r="234" spans="1:4">
      <c r="A234" s="10" t="s">
        <v>96</v>
      </c>
      <c r="B234" s="11">
        <v>45535</v>
      </c>
      <c r="C234" s="12">
        <v>2.04977153087165E-2</v>
      </c>
      <c r="D234" s="13">
        <v>2.1615920248941999E-2</v>
      </c>
    </row>
    <row r="235" spans="1:4">
      <c r="A235" s="10" t="s">
        <v>96</v>
      </c>
      <c r="B235" s="11">
        <v>45504</v>
      </c>
      <c r="C235" s="12">
        <v>-2.0232494400798601E-3</v>
      </c>
      <c r="D235" s="13">
        <v>1.928459341627E-2</v>
      </c>
    </row>
    <row r="236" spans="1:4">
      <c r="A236" s="10" t="s">
        <v>96</v>
      </c>
      <c r="B236" s="11">
        <v>45473</v>
      </c>
      <c r="C236" s="12">
        <v>2.41857259999506E-2</v>
      </c>
      <c r="D236" s="13">
        <v>1.7390157440028999E-2</v>
      </c>
    </row>
    <row r="237" spans="1:4">
      <c r="A237" s="10" t="s">
        <v>96</v>
      </c>
      <c r="B237" s="11">
        <v>45443</v>
      </c>
      <c r="C237" s="12">
        <v>3.7413640911525603E-2</v>
      </c>
      <c r="D237" s="13">
        <v>3.1509004118582998E-2</v>
      </c>
    </row>
    <row r="238" spans="1:4">
      <c r="A238" s="10" t="s">
        <v>96</v>
      </c>
      <c r="B238" s="11">
        <v>45412</v>
      </c>
      <c r="C238" s="12">
        <v>-3.3645263721978597E-2</v>
      </c>
      <c r="D238" s="13">
        <v>-2.9542700979841002E-2</v>
      </c>
    </row>
    <row r="239" spans="1:4">
      <c r="A239" s="10" t="s">
        <v>96</v>
      </c>
      <c r="B239" s="11">
        <v>45382</v>
      </c>
      <c r="C239" s="12">
        <v>2.08121324688312E-2</v>
      </c>
      <c r="D239" s="13">
        <v>2.2877647137453001E-2</v>
      </c>
    </row>
    <row r="240" spans="1:4">
      <c r="A240" s="10" t="s">
        <v>96</v>
      </c>
      <c r="B240" s="11">
        <v>45351</v>
      </c>
      <c r="C240" s="12">
        <v>2.27374561424591E-2</v>
      </c>
      <c r="D240" s="13">
        <v>2.0024082054799001E-2</v>
      </c>
    </row>
    <row r="241" spans="1:4">
      <c r="A241" s="10" t="s">
        <v>96</v>
      </c>
      <c r="B241" s="11">
        <v>45322</v>
      </c>
      <c r="C241" s="12">
        <v>4.3114235037516498E-3</v>
      </c>
      <c r="D241" s="13">
        <v>2.6217723269510002E-3</v>
      </c>
    </row>
    <row r="242" spans="1:4">
      <c r="A242" s="10" t="s">
        <v>96</v>
      </c>
      <c r="B242" s="11">
        <v>45291</v>
      </c>
      <c r="C242" s="12">
        <v>2.88939035261143E-2</v>
      </c>
      <c r="D242" s="13">
        <v>4.4394184902528E-2</v>
      </c>
    </row>
    <row r="243" spans="1:4">
      <c r="A243" s="10" t="s">
        <v>96</v>
      </c>
      <c r="B243" s="11">
        <v>45260</v>
      </c>
      <c r="C243" s="12">
        <v>5.1198674686220497E-2</v>
      </c>
      <c r="D243" s="13">
        <v>7.3630511717695996E-2</v>
      </c>
    </row>
    <row r="244" spans="1:4">
      <c r="A244" s="10" t="s">
        <v>96</v>
      </c>
      <c r="B244" s="11">
        <v>45230</v>
      </c>
      <c r="C244" s="12">
        <v>-4.9964167578345799E-3</v>
      </c>
      <c r="D244" s="13">
        <v>-2.4072477770975001E-2</v>
      </c>
    </row>
    <row r="245" spans="1:4">
      <c r="A245" s="10" t="s">
        <v>96</v>
      </c>
      <c r="B245" s="11">
        <v>45199</v>
      </c>
      <c r="C245" s="12">
        <v>-2.6845729431428499E-2</v>
      </c>
      <c r="D245" s="13">
        <v>-3.4720751290059998E-2</v>
      </c>
    </row>
    <row r="246" spans="1:4">
      <c r="A246" s="10" t="s">
        <v>96</v>
      </c>
      <c r="B246" s="11">
        <v>45169</v>
      </c>
      <c r="C246" s="12">
        <v>-1.17546152550295E-2</v>
      </c>
      <c r="D246" s="13">
        <v>-1.9034845164471001E-2</v>
      </c>
    </row>
    <row r="247" spans="1:4">
      <c r="A247" s="10" t="s">
        <v>96</v>
      </c>
      <c r="B247" s="11">
        <v>45138</v>
      </c>
      <c r="C247" s="12">
        <v>1.16422898597072E-2</v>
      </c>
      <c r="D247" s="13">
        <v>2.1735634484491999E-2</v>
      </c>
    </row>
    <row r="248" spans="1:4">
      <c r="A248" s="10" t="s">
        <v>96</v>
      </c>
      <c r="B248" s="11">
        <v>45107</v>
      </c>
      <c r="C248" s="12">
        <v>1.76269426694972E-2</v>
      </c>
      <c r="D248" s="13">
        <v>3.3387250058703001E-2</v>
      </c>
    </row>
    <row r="249" spans="1:4">
      <c r="A249" s="10" t="s">
        <v>96</v>
      </c>
      <c r="B249" s="11">
        <v>45077</v>
      </c>
      <c r="C249" s="12">
        <v>-2.6825239279029401E-2</v>
      </c>
      <c r="D249" s="13">
        <v>-1.0143965774908999E-2</v>
      </c>
    </row>
    <row r="250" spans="1:4">
      <c r="A250" s="10" t="s">
        <v>96</v>
      </c>
      <c r="B250" s="11">
        <v>45046</v>
      </c>
      <c r="C250" s="12">
        <v>1.3093635914280999E-2</v>
      </c>
      <c r="D250" s="13">
        <v>1.1460011957574999E-2</v>
      </c>
    </row>
    <row r="251" spans="1:4">
      <c r="A251" s="10" t="s">
        <v>96</v>
      </c>
      <c r="B251" s="11">
        <v>45016</v>
      </c>
      <c r="C251" s="12">
        <v>1.2159721717868201E-2</v>
      </c>
      <c r="D251" s="13">
        <v>2.9506164765783001E-2</v>
      </c>
    </row>
    <row r="252" spans="1:4">
      <c r="A252" s="10" t="s">
        <v>96</v>
      </c>
      <c r="B252" s="11">
        <v>44985</v>
      </c>
      <c r="C252" s="12">
        <v>-2.6778065899387998E-2</v>
      </c>
      <c r="D252" s="13">
        <v>-2.7261450840582999E-2</v>
      </c>
    </row>
    <row r="253" spans="1:4">
      <c r="A253" s="10" t="s">
        <v>96</v>
      </c>
      <c r="B253" s="11">
        <v>44957</v>
      </c>
      <c r="C253" s="12">
        <v>2.9524394070473199E-2</v>
      </c>
      <c r="D253" s="13">
        <v>5.5442962844E-2</v>
      </c>
    </row>
    <row r="254" spans="1:4">
      <c r="A254" s="10" t="s">
        <v>96</v>
      </c>
      <c r="B254" s="11">
        <v>44926</v>
      </c>
      <c r="C254" s="12">
        <v>-1.8253710613726801E-2</v>
      </c>
      <c r="D254" s="13">
        <v>-2.5114740613762E-2</v>
      </c>
    </row>
    <row r="255" spans="1:4">
      <c r="A255" s="10" t="s">
        <v>96</v>
      </c>
      <c r="B255" s="11">
        <v>44895</v>
      </c>
      <c r="C255" s="12">
        <v>3.8428965850885899E-2</v>
      </c>
      <c r="D255" s="13">
        <v>6.1683722800216001E-2</v>
      </c>
    </row>
    <row r="256" spans="1:4">
      <c r="A256" s="10" t="s">
        <v>96</v>
      </c>
      <c r="B256" s="11">
        <v>44865</v>
      </c>
      <c r="C256" s="12">
        <v>4.2645399944973197E-2</v>
      </c>
      <c r="D256" s="13">
        <v>3.0913154377952001E-2</v>
      </c>
    </row>
    <row r="257" spans="1:4">
      <c r="A257" s="10" t="s">
        <v>96</v>
      </c>
      <c r="B257" s="11">
        <v>44834</v>
      </c>
      <c r="C257" s="12">
        <v>-5.5246188208029602E-2</v>
      </c>
      <c r="D257" s="13">
        <v>-7.4551117111029006E-2</v>
      </c>
    </row>
    <row r="258" spans="1:4">
      <c r="A258" s="10" t="s">
        <v>96</v>
      </c>
      <c r="B258" s="11">
        <v>44804</v>
      </c>
      <c r="C258" s="12">
        <v>-1.8731689656803701E-2</v>
      </c>
      <c r="D258" s="13">
        <v>-3.2995815172195998E-2</v>
      </c>
    </row>
    <row r="259" spans="1:4">
      <c r="A259" s="10" t="s">
        <v>96</v>
      </c>
      <c r="B259" s="11">
        <v>44773</v>
      </c>
      <c r="C259" s="12">
        <v>3.9941982608091203E-2</v>
      </c>
      <c r="D259" s="13">
        <v>5.1931422709412998E-2</v>
      </c>
    </row>
    <row r="260" spans="1:4">
      <c r="A260" s="10" t="s">
        <v>96</v>
      </c>
      <c r="B260" s="11">
        <v>44742</v>
      </c>
      <c r="C260" s="12">
        <v>-7.5083185801424104E-2</v>
      </c>
      <c r="D260" s="13">
        <v>-5.6685288221133001E-2</v>
      </c>
    </row>
    <row r="261" spans="1:4">
      <c r="A261" s="10" t="s">
        <v>96</v>
      </c>
      <c r="B261" s="11">
        <v>44712</v>
      </c>
      <c r="C261" s="12">
        <v>2.4748409021629801E-2</v>
      </c>
      <c r="D261" s="13">
        <v>4.38904314074E-3</v>
      </c>
    </row>
    <row r="262" spans="1:4">
      <c r="A262" s="10" t="s">
        <v>96</v>
      </c>
      <c r="B262" s="11">
        <v>44681</v>
      </c>
      <c r="C262" s="12">
        <v>-5.5068211044552999E-2</v>
      </c>
      <c r="D262" s="13">
        <v>-6.2930515656376002E-2</v>
      </c>
    </row>
    <row r="263" spans="1:4">
      <c r="A263" s="10" t="s">
        <v>96</v>
      </c>
      <c r="B263" s="11">
        <v>44651</v>
      </c>
      <c r="C263" s="12">
        <v>2.2959152737560301E-2</v>
      </c>
      <c r="D263" s="13">
        <v>2.5284564966530001E-3</v>
      </c>
    </row>
    <row r="264" spans="1:4">
      <c r="A264" s="10" t="s">
        <v>96</v>
      </c>
      <c r="B264" s="11">
        <v>44620</v>
      </c>
      <c r="C264" s="12">
        <v>-5.1981593697438804E-3</v>
      </c>
      <c r="D264" s="13">
        <v>-1.9488184773581999E-2</v>
      </c>
    </row>
    <row r="265" spans="1:4">
      <c r="A265" s="10" t="s">
        <v>96</v>
      </c>
      <c r="B265" s="11">
        <v>44592</v>
      </c>
      <c r="C265" s="12">
        <v>-1.4353462388100801E-2</v>
      </c>
      <c r="D265" s="13">
        <v>-3.7842277549486998E-2</v>
      </c>
    </row>
    <row r="266" spans="1:4">
      <c r="A266" s="10" t="s">
        <v>96</v>
      </c>
      <c r="B266" s="11">
        <v>44561</v>
      </c>
      <c r="C266" s="12">
        <v>4.5781371039888101E-2</v>
      </c>
      <c r="D266" s="13">
        <v>2.3210081219919E-2</v>
      </c>
    </row>
    <row r="267" spans="1:4">
      <c r="A267" s="10" t="s">
        <v>96</v>
      </c>
      <c r="B267" s="11">
        <v>44530</v>
      </c>
      <c r="C267" s="12">
        <v>-2.5272640680568999E-2</v>
      </c>
      <c r="D267" s="13">
        <v>-1.2992314943795E-2</v>
      </c>
    </row>
    <row r="268" spans="1:4">
      <c r="A268" s="10" t="s">
        <v>96</v>
      </c>
      <c r="B268" s="11">
        <v>44500</v>
      </c>
      <c r="C268" s="12">
        <v>4.33751822968165E-2</v>
      </c>
      <c r="D268" s="13">
        <v>3.0480836888327999E-2</v>
      </c>
    </row>
    <row r="269" spans="1:4">
      <c r="A269" s="10" t="s">
        <v>96</v>
      </c>
      <c r="B269" s="11">
        <v>44469</v>
      </c>
      <c r="C269" s="12">
        <v>-2.8999548419374101E-2</v>
      </c>
      <c r="D269" s="13">
        <v>-2.7988858103672E-2</v>
      </c>
    </row>
    <row r="270" spans="1:4">
      <c r="A270" s="10" t="s">
        <v>96</v>
      </c>
      <c r="B270" s="11">
        <v>44439</v>
      </c>
      <c r="C270" s="12">
        <v>1.8682397726106002E-2</v>
      </c>
      <c r="D270" s="13">
        <v>1.4417349266865999E-2</v>
      </c>
    </row>
    <row r="271" spans="1:4">
      <c r="A271" s="10" t="s">
        <v>96</v>
      </c>
      <c r="B271" s="11">
        <v>44408</v>
      </c>
      <c r="C271" s="12">
        <v>-6.5399381790171903E-3</v>
      </c>
      <c r="D271" s="13">
        <v>8.9524900056950005E-3</v>
      </c>
    </row>
    <row r="272" spans="1:4">
      <c r="A272" s="10" t="s">
        <v>96</v>
      </c>
      <c r="B272" s="11">
        <v>44377</v>
      </c>
      <c r="C272" s="12">
        <v>-8.0364711207250904E-4</v>
      </c>
      <c r="D272" s="13">
        <v>1.126417757251E-2</v>
      </c>
    </row>
    <row r="273" spans="1:4">
      <c r="A273" s="10" t="s">
        <v>96</v>
      </c>
      <c r="B273" s="11">
        <v>44347</v>
      </c>
      <c r="C273" s="12">
        <v>-1.8504622548730699E-3</v>
      </c>
      <c r="D273" s="13">
        <v>1.075959924564E-2</v>
      </c>
    </row>
    <row r="274" spans="1:4">
      <c r="A274" s="10" t="s">
        <v>96</v>
      </c>
      <c r="B274" s="11">
        <v>44316</v>
      </c>
      <c r="C274" s="12">
        <v>4.5312698961688103E-2</v>
      </c>
      <c r="D274" s="13">
        <v>2.9561975173140999E-2</v>
      </c>
    </row>
    <row r="275" spans="1:4">
      <c r="A275" s="10" t="s">
        <v>96</v>
      </c>
      <c r="B275" s="11">
        <v>44286</v>
      </c>
      <c r="C275" s="12">
        <v>1.51888125206963E-2</v>
      </c>
      <c r="D275" s="13">
        <v>1.1348183448127E-2</v>
      </c>
    </row>
    <row r="276" spans="1:4">
      <c r="A276" s="10" t="s">
        <v>96</v>
      </c>
      <c r="B276" s="11">
        <v>44255</v>
      </c>
      <c r="C276" s="12">
        <v>1.19940940211058E-2</v>
      </c>
      <c r="D276" s="13">
        <v>8.2945842663479999E-3</v>
      </c>
    </row>
    <row r="277" spans="1:4">
      <c r="A277" s="10" t="s">
        <v>96</v>
      </c>
      <c r="B277" s="11">
        <v>44227</v>
      </c>
      <c r="C277" s="12">
        <v>-4.7973447937089599E-3</v>
      </c>
      <c r="D277" s="13">
        <v>-5.2695797256199998E-3</v>
      </c>
    </row>
    <row r="278" spans="1:4">
      <c r="A278" s="10" t="s">
        <v>96</v>
      </c>
      <c r="B278" s="11">
        <v>44196</v>
      </c>
      <c r="C278" s="12">
        <v>4.0573767736501801E-2</v>
      </c>
      <c r="D278" s="13">
        <v>2.8470223273090001E-2</v>
      </c>
    </row>
    <row r="279" spans="1:4">
      <c r="A279" s="10" t="s">
        <v>96</v>
      </c>
      <c r="B279" s="11">
        <v>44165</v>
      </c>
      <c r="C279" s="12">
        <v>7.0307060914143404E-2</v>
      </c>
      <c r="D279" s="13">
        <v>7.6924639470301995E-2</v>
      </c>
    </row>
    <row r="280" spans="1:4">
      <c r="A280" s="10" t="s">
        <v>96</v>
      </c>
      <c r="B280" s="11">
        <v>44135</v>
      </c>
      <c r="C280" s="12">
        <v>-2.4149777891440499E-2</v>
      </c>
      <c r="D280" s="13">
        <v>-1.5985296223585001E-2</v>
      </c>
    </row>
    <row r="281" spans="1:4">
      <c r="A281" s="10" t="s">
        <v>96</v>
      </c>
      <c r="B281" s="11">
        <v>44104</v>
      </c>
      <c r="C281" s="12">
        <v>-3.6390727051048198E-2</v>
      </c>
      <c r="D281" s="13">
        <v>-1.9141932914974E-2</v>
      </c>
    </row>
    <row r="282" spans="1:4">
      <c r="A282" s="10" t="s">
        <v>96</v>
      </c>
      <c r="B282" s="11">
        <v>44074</v>
      </c>
      <c r="C282" s="12">
        <v>5.6233684977539701E-2</v>
      </c>
      <c r="D282" s="13">
        <v>3.3242380043571003E-2</v>
      </c>
    </row>
    <row r="283" spans="1:4">
      <c r="A283" s="10" t="s">
        <v>96</v>
      </c>
      <c r="B283" s="11">
        <v>44043</v>
      </c>
      <c r="C283" s="12">
        <v>6.5188469910390401E-2</v>
      </c>
      <c r="D283" s="13">
        <v>3.7943314047567997E-2</v>
      </c>
    </row>
    <row r="284" spans="1:4">
      <c r="A284" s="10" t="s">
        <v>96</v>
      </c>
      <c r="B284" s="11">
        <v>44012</v>
      </c>
      <c r="C284" s="12">
        <v>2.9050261354620702E-2</v>
      </c>
      <c r="D284" s="13">
        <v>2.2507441125121999E-2</v>
      </c>
    </row>
    <row r="285" spans="1:4">
      <c r="A285" s="10" t="s">
        <v>96</v>
      </c>
      <c r="B285" s="11">
        <v>43982</v>
      </c>
      <c r="C285" s="12">
        <v>4.54501049540115E-2</v>
      </c>
      <c r="D285" s="13">
        <v>2.8547384120428999E-2</v>
      </c>
    </row>
    <row r="286" spans="1:4">
      <c r="A286" s="10" t="s">
        <v>96</v>
      </c>
      <c r="B286" s="11">
        <v>43951</v>
      </c>
      <c r="C286" s="12">
        <v>0.10976390661947499</v>
      </c>
      <c r="D286" s="13">
        <v>7.2063736231363001E-2</v>
      </c>
    </row>
    <row r="287" spans="1:4">
      <c r="A287" s="10" t="s">
        <v>96</v>
      </c>
      <c r="B287" s="11">
        <v>43921</v>
      </c>
      <c r="C287" s="12">
        <v>-9.1491046145748905E-2</v>
      </c>
      <c r="D287" s="13">
        <v>-7.9663400526493997E-2</v>
      </c>
    </row>
    <row r="288" spans="1:4">
      <c r="A288" s="10" t="s">
        <v>96</v>
      </c>
      <c r="B288" s="11">
        <v>43890</v>
      </c>
      <c r="C288" s="12">
        <v>-5.5672754564415498E-2</v>
      </c>
      <c r="D288" s="13">
        <v>-4.1725112248450998E-2</v>
      </c>
    </row>
    <row r="289" spans="1:4">
      <c r="A289" s="10" t="s">
        <v>96</v>
      </c>
      <c r="B289" s="11">
        <v>43861</v>
      </c>
      <c r="C289" s="12">
        <v>1.00755100192486E-2</v>
      </c>
      <c r="D289" s="13">
        <v>1.2355870685599999E-3</v>
      </c>
    </row>
    <row r="290" spans="1:4">
      <c r="A290" s="10" t="s">
        <v>96</v>
      </c>
      <c r="B290" s="11">
        <v>43830</v>
      </c>
      <c r="C290" s="12">
        <v>1.8845320710809899E-2</v>
      </c>
      <c r="D290" s="13">
        <v>2.1013987232699E-2</v>
      </c>
    </row>
    <row r="291" spans="1:4">
      <c r="A291" s="10" t="s">
        <v>96</v>
      </c>
      <c r="B291" s="11">
        <v>43799</v>
      </c>
      <c r="C291" s="12">
        <v>2.71455206309788E-2</v>
      </c>
      <c r="D291" s="13">
        <v>1.4676491168079999E-2</v>
      </c>
    </row>
    <row r="292" spans="1:4">
      <c r="A292" s="10" t="s">
        <v>96</v>
      </c>
      <c r="B292" s="11">
        <v>43769</v>
      </c>
      <c r="C292" s="12">
        <v>2.0099859327044198E-2</v>
      </c>
      <c r="D292" s="13">
        <v>1.7881384352194999E-2</v>
      </c>
    </row>
    <row r="293" spans="1:4">
      <c r="A293" s="10" t="s">
        <v>96</v>
      </c>
      <c r="B293" s="11">
        <v>43738</v>
      </c>
      <c r="C293" s="12">
        <v>9.7993069851687199E-3</v>
      </c>
      <c r="D293" s="13">
        <v>1.0781376429749001E-2</v>
      </c>
    </row>
    <row r="294" spans="1:4">
      <c r="A294" s="10" t="s">
        <v>96</v>
      </c>
      <c r="B294" s="11">
        <v>43708</v>
      </c>
      <c r="C294" s="12">
        <v>-1.1472172497560601E-3</v>
      </c>
      <c r="D294" s="13">
        <v>-3.4602821702810001E-3</v>
      </c>
    </row>
    <row r="295" spans="1:4">
      <c r="A295" s="10" t="s">
        <v>96</v>
      </c>
      <c r="B295" s="11">
        <v>43677</v>
      </c>
      <c r="C295" s="12">
        <v>1.74998242139758E-2</v>
      </c>
      <c r="D295" s="13">
        <v>2.8836355965480001E-3</v>
      </c>
    </row>
    <row r="296" spans="1:4">
      <c r="A296" s="10" t="s">
        <v>96</v>
      </c>
      <c r="B296" s="11">
        <v>43646</v>
      </c>
      <c r="C296" s="12">
        <v>4.9946207627833902E-2</v>
      </c>
      <c r="D296" s="13">
        <v>4.4344484273523999E-2</v>
      </c>
    </row>
    <row r="297" spans="1:4">
      <c r="A297" s="10" t="s">
        <v>96</v>
      </c>
      <c r="B297" s="11">
        <v>43616</v>
      </c>
      <c r="C297" s="12">
        <v>-4.1803162598561303E-2</v>
      </c>
      <c r="D297" s="13">
        <v>-2.8496765970761E-2</v>
      </c>
    </row>
    <row r="298" spans="1:4">
      <c r="A298" s="10" t="s">
        <v>96</v>
      </c>
      <c r="B298" s="11">
        <v>43585</v>
      </c>
      <c r="C298" s="12">
        <v>1.7930380424827301E-2</v>
      </c>
      <c r="D298" s="13">
        <v>2.0595814287997002E-2</v>
      </c>
    </row>
    <row r="299" spans="1:4">
      <c r="A299" s="10" t="s">
        <v>96</v>
      </c>
      <c r="B299" s="11">
        <v>43555</v>
      </c>
      <c r="C299" s="12">
        <v>2.2299109808243098E-2</v>
      </c>
      <c r="D299" s="13">
        <v>1.5732649528155E-2</v>
      </c>
    </row>
    <row r="300" spans="1:4">
      <c r="A300" s="10" t="s">
        <v>96</v>
      </c>
      <c r="B300" s="11">
        <v>43524</v>
      </c>
      <c r="C300" s="12">
        <v>1.42037159343278E-2</v>
      </c>
      <c r="D300" s="13">
        <v>1.6085576692056E-2</v>
      </c>
    </row>
    <row r="301" spans="1:4">
      <c r="A301" s="10" t="s">
        <v>96</v>
      </c>
      <c r="B301" s="11">
        <v>43496</v>
      </c>
      <c r="C301" s="12">
        <v>5.03983633736357E-2</v>
      </c>
      <c r="D301" s="13">
        <v>5.1538521152651999E-2</v>
      </c>
    </row>
    <row r="302" spans="1:4">
      <c r="A302" s="10" t="s">
        <v>96</v>
      </c>
      <c r="B302" s="11">
        <v>43465</v>
      </c>
      <c r="C302" s="12">
        <v>-4.0475210421280897E-2</v>
      </c>
      <c r="D302" s="13">
        <v>-3.4669567399999997E-2</v>
      </c>
    </row>
    <row r="303" spans="1:4">
      <c r="A303" s="10" t="s">
        <v>96</v>
      </c>
      <c r="B303" s="11">
        <v>43434</v>
      </c>
      <c r="C303" s="12">
        <v>9.3092350632237794E-3</v>
      </c>
      <c r="D303" s="13">
        <v>1.1447334999999999E-2</v>
      </c>
    </row>
    <row r="304" spans="1:4">
      <c r="A304" s="10" t="s">
        <v>96</v>
      </c>
      <c r="B304" s="11">
        <v>43404</v>
      </c>
      <c r="C304" s="12">
        <v>-6.19079976313704E-2</v>
      </c>
      <c r="D304" s="13">
        <v>-4.7992224399999998E-2</v>
      </c>
    </row>
    <row r="305" spans="1:4">
      <c r="A305" s="10" t="s">
        <v>96</v>
      </c>
      <c r="B305" s="11">
        <v>43373</v>
      </c>
      <c r="C305" s="12">
        <v>-2.87014432163266E-3</v>
      </c>
      <c r="D305" s="13">
        <v>2.8091775999999999E-4</v>
      </c>
    </row>
    <row r="306" spans="1:4">
      <c r="A306" s="10" t="s">
        <v>96</v>
      </c>
      <c r="B306" s="11">
        <v>43343</v>
      </c>
      <c r="C306" s="12">
        <v>-2.9810717431915899E-3</v>
      </c>
      <c r="D306" s="13">
        <v>7.5568490399999999E-3</v>
      </c>
    </row>
    <row r="307" spans="1:4">
      <c r="A307" s="10" t="s">
        <v>96</v>
      </c>
      <c r="B307" s="11">
        <v>43312</v>
      </c>
      <c r="C307" s="12">
        <v>1.79181775249076E-2</v>
      </c>
      <c r="D307" s="13">
        <v>1.8384146723999999E-2</v>
      </c>
    </row>
    <row r="308" spans="1:4">
      <c r="A308" s="10" t="s">
        <v>96</v>
      </c>
      <c r="B308" s="11">
        <v>43281</v>
      </c>
      <c r="C308" s="12">
        <v>-1.2303027222531E-2</v>
      </c>
      <c r="D308" s="13">
        <v>-3.5019383000000001E-3</v>
      </c>
    </row>
    <row r="309" spans="1:4">
      <c r="A309" s="10" t="s">
        <v>96</v>
      </c>
      <c r="B309" s="11">
        <v>43251</v>
      </c>
      <c r="C309" s="12">
        <v>3.2915341748868802E-3</v>
      </c>
      <c r="D309" s="13">
        <v>4.1213628999999998E-3</v>
      </c>
    </row>
    <row r="310" spans="1:4">
      <c r="A310" s="10" t="s">
        <v>96</v>
      </c>
      <c r="B310" s="11">
        <v>43220</v>
      </c>
      <c r="C310" s="12">
        <v>4.3464749026744104E-3</v>
      </c>
      <c r="D310" s="13">
        <v>3.0935486E-3</v>
      </c>
    </row>
    <row r="311" spans="1:4">
      <c r="A311" s="10" t="s">
        <v>96</v>
      </c>
      <c r="B311" s="11">
        <v>43190</v>
      </c>
      <c r="C311" s="12">
        <v>-1.30547657642177E-3</v>
      </c>
      <c r="D311" s="13">
        <v>-9.9191172000000008E-3</v>
      </c>
    </row>
    <row r="312" spans="1:4">
      <c r="A312" s="10" t="s">
        <v>96</v>
      </c>
      <c r="B312" s="11">
        <v>43159</v>
      </c>
      <c r="C312" s="12">
        <v>-4.2350923290236098E-2</v>
      </c>
      <c r="D312" s="13">
        <v>-2.8758148599999998E-2</v>
      </c>
    </row>
    <row r="313" spans="1:4">
      <c r="A313" s="10" t="s">
        <v>96</v>
      </c>
      <c r="B313" s="11">
        <v>43131</v>
      </c>
      <c r="C313" s="12">
        <v>4.3896021352153002E-2</v>
      </c>
      <c r="D313" s="13">
        <v>2.9367938199999999E-2</v>
      </c>
    </row>
    <row r="314" spans="1:4">
      <c r="A314" s="10" t="s">
        <v>96</v>
      </c>
      <c r="B314" s="11">
        <v>43100</v>
      </c>
      <c r="C314" s="12">
        <v>1.9662796547443299E-2</v>
      </c>
      <c r="D314" s="13">
        <v>1.1710748888826001E-2</v>
      </c>
    </row>
    <row r="315" spans="1:4">
      <c r="A315" s="10" t="s">
        <v>96</v>
      </c>
      <c r="B315" s="11">
        <v>43069</v>
      </c>
      <c r="C315" s="12">
        <v>8.1954380989414603E-3</v>
      </c>
      <c r="D315" s="13">
        <v>1.1376067069842E-2</v>
      </c>
    </row>
    <row r="316" spans="1:4">
      <c r="A316" s="10" t="s">
        <v>96</v>
      </c>
      <c r="B316" s="11">
        <v>43039</v>
      </c>
      <c r="C316" s="12">
        <v>2.1596976977313501E-2</v>
      </c>
      <c r="D316" s="13">
        <v>1.2828916371878E-2</v>
      </c>
    </row>
    <row r="317" spans="1:4">
      <c r="A317" s="10" t="s">
        <v>96</v>
      </c>
      <c r="B317" s="11">
        <v>43008</v>
      </c>
      <c r="C317" s="12">
        <v>8.7086108710832996E-3</v>
      </c>
      <c r="D317" s="13">
        <v>9.9111490832199996E-3</v>
      </c>
    </row>
    <row r="318" spans="1:4">
      <c r="A318" s="10" t="s">
        <v>96</v>
      </c>
      <c r="B318" s="11">
        <v>42978</v>
      </c>
      <c r="C318" s="12">
        <v>1.1758432318925901E-2</v>
      </c>
      <c r="D318" s="13">
        <v>6.1802769647350004E-3</v>
      </c>
    </row>
    <row r="319" spans="1:4">
      <c r="A319" s="10" t="s">
        <v>96</v>
      </c>
      <c r="B319" s="11">
        <v>42947</v>
      </c>
      <c r="C319" s="12">
        <v>2.8803572357671201E-2</v>
      </c>
      <c r="D319" s="13">
        <v>1.8707436072486001E-2</v>
      </c>
    </row>
    <row r="320" spans="1:4">
      <c r="A320" s="10" t="s">
        <v>96</v>
      </c>
      <c r="B320" s="11">
        <v>42916</v>
      </c>
      <c r="C320" s="12">
        <v>3.8670466237842802E-4</v>
      </c>
      <c r="D320" s="13">
        <v>2.5744126019560001E-3</v>
      </c>
    </row>
    <row r="321" spans="1:4">
      <c r="A321" s="10" t="s">
        <v>96</v>
      </c>
      <c r="B321" s="11">
        <v>42886</v>
      </c>
      <c r="C321" s="12">
        <v>9.2591912679706005E-3</v>
      </c>
      <c r="D321" s="13">
        <v>1.6859141007535001E-2</v>
      </c>
    </row>
    <row r="322" spans="1:4">
      <c r="A322" s="10" t="s">
        <v>96</v>
      </c>
      <c r="B322" s="11">
        <v>42855</v>
      </c>
      <c r="C322" s="12">
        <v>5.0089242996880102E-3</v>
      </c>
      <c r="D322" s="13">
        <v>1.2714890529457E-2</v>
      </c>
    </row>
    <row r="323" spans="1:4">
      <c r="A323" s="10" t="s">
        <v>96</v>
      </c>
      <c r="B323" s="11">
        <v>42825</v>
      </c>
      <c r="C323" s="12">
        <v>1.3984782115498201E-3</v>
      </c>
      <c r="D323" s="13">
        <v>7.5301084963209997E-3</v>
      </c>
    </row>
    <row r="324" spans="1:4">
      <c r="A324" s="10" t="s">
        <v>96</v>
      </c>
      <c r="B324" s="11">
        <v>42794</v>
      </c>
      <c r="C324" s="12">
        <v>2.3691100415413401E-2</v>
      </c>
      <c r="D324" s="13">
        <v>1.9787214295839E-2</v>
      </c>
    </row>
    <row r="325" spans="1:4">
      <c r="A325" s="10" t="s">
        <v>96</v>
      </c>
      <c r="B325" s="11">
        <v>42766</v>
      </c>
      <c r="C325" s="12">
        <v>1.3539174175512699E-2</v>
      </c>
      <c r="D325" s="13">
        <v>1.7319293269622001E-2</v>
      </c>
    </row>
    <row r="326" spans="1:4">
      <c r="A326" s="10" t="s">
        <v>96</v>
      </c>
      <c r="B326" s="11">
        <v>42735</v>
      </c>
      <c r="C326" s="12">
        <v>1.5800486398153301E-2</v>
      </c>
      <c r="D326" s="13">
        <v>1.3761644613657999E-2</v>
      </c>
    </row>
    <row r="327" spans="1:4">
      <c r="A327" s="10" t="s">
        <v>96</v>
      </c>
      <c r="B327" s="11">
        <v>42704</v>
      </c>
      <c r="C327" s="12">
        <v>9.2148225764733908E-3</v>
      </c>
      <c r="D327" s="13">
        <v>-4.6332175586300001E-3</v>
      </c>
    </row>
    <row r="328" spans="1:4">
      <c r="A328" s="10" t="s">
        <v>96</v>
      </c>
      <c r="B328" s="11">
        <v>42674</v>
      </c>
      <c r="C328" s="12">
        <v>-1.49289022720961E-2</v>
      </c>
      <c r="D328" s="13">
        <v>-1.3067028420987999E-2</v>
      </c>
    </row>
    <row r="329" spans="1:4">
      <c r="A329" s="10" t="s">
        <v>96</v>
      </c>
      <c r="B329" s="11">
        <v>42643</v>
      </c>
      <c r="C329" s="12">
        <v>-7.3869952694660104E-4</v>
      </c>
      <c r="D329" s="13">
        <v>3.8162141488339999E-3</v>
      </c>
    </row>
    <row r="330" spans="1:4">
      <c r="A330" s="10" t="s">
        <v>96</v>
      </c>
      <c r="B330" s="11">
        <v>42613</v>
      </c>
      <c r="C330" s="12">
        <v>-2.97862990292224E-3</v>
      </c>
      <c r="D330" s="13">
        <v>1.887454393103E-3</v>
      </c>
    </row>
    <row r="331" spans="1:4">
      <c r="A331" s="10" t="s">
        <v>96</v>
      </c>
      <c r="B331" s="11">
        <v>42582</v>
      </c>
      <c r="C331" s="12">
        <v>2.2242031122911E-2</v>
      </c>
      <c r="D331" s="13">
        <v>2.8494449605402001E-2</v>
      </c>
    </row>
    <row r="332" spans="1:4">
      <c r="A332" s="10" t="s">
        <v>96</v>
      </c>
      <c r="B332" s="11">
        <v>42551</v>
      </c>
      <c r="C332" s="12">
        <v>1.52567997366561E-2</v>
      </c>
      <c r="D332" s="13">
        <v>4.5205038125170002E-3</v>
      </c>
    </row>
    <row r="333" spans="1:4">
      <c r="A333" s="10" t="s">
        <v>96</v>
      </c>
      <c r="B333" s="11">
        <v>42521</v>
      </c>
      <c r="C333" s="12">
        <v>3.1039615535537598E-3</v>
      </c>
      <c r="D333" s="13">
        <v>1.49992371723E-3</v>
      </c>
    </row>
    <row r="334" spans="1:4">
      <c r="A334" s="10" t="s">
        <v>96</v>
      </c>
      <c r="B334" s="11">
        <v>42490</v>
      </c>
      <c r="C334" s="12">
        <v>6.0201866411412801E-3</v>
      </c>
      <c r="D334" s="13">
        <v>1.0853346657017E-2</v>
      </c>
    </row>
    <row r="335" spans="1:4">
      <c r="A335" s="10" t="s">
        <v>96</v>
      </c>
      <c r="B335" s="11">
        <v>42460</v>
      </c>
      <c r="C335" s="12">
        <v>3.0077354608888999E-2</v>
      </c>
      <c r="D335" s="13">
        <v>4.8264856533573999E-2</v>
      </c>
    </row>
    <row r="336" spans="1:4">
      <c r="A336" s="10" t="s">
        <v>96</v>
      </c>
      <c r="B336" s="11">
        <v>42429</v>
      </c>
      <c r="C336" s="12">
        <v>-6.2060445715301296E-3</v>
      </c>
      <c r="D336" s="13">
        <v>-6.2002895098900001E-4</v>
      </c>
    </row>
    <row r="337" spans="1:4">
      <c r="A337" s="10" t="s">
        <v>96</v>
      </c>
      <c r="B337" s="11">
        <v>42400</v>
      </c>
      <c r="C337" s="12">
        <v>-1.9117145847102002E-2</v>
      </c>
      <c r="D337" s="13">
        <v>-3.0798722168070999E-2</v>
      </c>
    </row>
    <row r="338" spans="1:4">
      <c r="A338" s="10" t="s">
        <v>96</v>
      </c>
      <c r="B338" s="11">
        <v>42369</v>
      </c>
      <c r="C338" s="12">
        <v>-1.04629880153503E-2</v>
      </c>
      <c r="D338" s="13">
        <v>-1.1667778996611E-2</v>
      </c>
    </row>
    <row r="339" spans="1:4">
      <c r="A339" s="10" t="s">
        <v>96</v>
      </c>
      <c r="B339" s="11">
        <v>42338</v>
      </c>
      <c r="C339" s="12">
        <v>3.3094511440198799E-3</v>
      </c>
      <c r="D339" s="13">
        <v>-5.6771256021700004E-3</v>
      </c>
    </row>
    <row r="340" spans="1:4">
      <c r="A340" s="10" t="s">
        <v>96</v>
      </c>
      <c r="B340" s="11">
        <v>42308</v>
      </c>
      <c r="C340" s="12">
        <v>3.58849114232241E-2</v>
      </c>
      <c r="D340" s="13">
        <v>4.6808988462005E-2</v>
      </c>
    </row>
    <row r="341" spans="1:4">
      <c r="A341" s="10" t="s">
        <v>96</v>
      </c>
      <c r="B341" s="11">
        <v>42277</v>
      </c>
      <c r="C341" s="12">
        <v>-2.19975257753732E-2</v>
      </c>
      <c r="D341" s="13">
        <v>-1.8499999999999999E-2</v>
      </c>
    </row>
    <row r="342" spans="1:4">
      <c r="A342" s="10" t="s">
        <v>96</v>
      </c>
      <c r="B342" s="11">
        <v>42247</v>
      </c>
      <c r="C342" s="12">
        <v>-4.6177870190314101E-2</v>
      </c>
      <c r="D342" s="13">
        <v>-4.1500000000000002E-2</v>
      </c>
    </row>
    <row r="343" spans="1:4">
      <c r="A343" s="10" t="s">
        <v>96</v>
      </c>
      <c r="B343" s="11">
        <v>42216</v>
      </c>
      <c r="C343" s="12">
        <v>1.88076725362828E-2</v>
      </c>
      <c r="D343" s="13">
        <v>8.3999999999999995E-3</v>
      </c>
    </row>
    <row r="344" spans="1:4">
      <c r="A344" s="10" t="s">
        <v>96</v>
      </c>
      <c r="B344" s="11">
        <v>42185</v>
      </c>
      <c r="C344" s="12">
        <v>-1.9980000000000001E-2</v>
      </c>
      <c r="D344" s="13">
        <v>-1.8013985004631E-2</v>
      </c>
    </row>
    <row r="345" spans="1:4">
      <c r="A345" s="10" t="s">
        <v>96</v>
      </c>
      <c r="B345" s="11">
        <v>42155</v>
      </c>
      <c r="C345" s="12">
        <v>1.20321675947923E-2</v>
      </c>
      <c r="D345" s="13">
        <v>-1.191442517033E-3</v>
      </c>
    </row>
    <row r="346" spans="1:4">
      <c r="A346" s="10" t="s">
        <v>96</v>
      </c>
      <c r="B346" s="11">
        <v>42124</v>
      </c>
      <c r="C346" s="12">
        <v>1.40687561321679E-3</v>
      </c>
      <c r="D346" s="13">
        <v>1.6207460575615999E-2</v>
      </c>
    </row>
    <row r="347" spans="1:4">
      <c r="A347" s="10" t="s">
        <v>96</v>
      </c>
      <c r="B347" s="11">
        <v>42094</v>
      </c>
      <c r="C347" s="12">
        <v>-3.31808322571789E-3</v>
      </c>
      <c r="D347" s="13">
        <v>-6.9995981315130002E-3</v>
      </c>
    </row>
    <row r="348" spans="1:4">
      <c r="A348" s="10" t="s">
        <v>96</v>
      </c>
      <c r="B348" s="11">
        <v>42063</v>
      </c>
      <c r="C348" s="12">
        <v>3.2632010310849398E-2</v>
      </c>
      <c r="D348" s="13">
        <v>2.9504179663868001E-2</v>
      </c>
    </row>
    <row r="349" spans="1:4">
      <c r="A349" s="10" t="s">
        <v>96</v>
      </c>
      <c r="B349" s="11">
        <v>42035</v>
      </c>
      <c r="C349" s="12">
        <v>-2.9628558484323399E-3</v>
      </c>
      <c r="D349" s="13">
        <v>-7.7339195266699998E-4</v>
      </c>
    </row>
    <row r="350" spans="1:4">
      <c r="A350" s="10" t="s">
        <v>96</v>
      </c>
      <c r="B350" s="11">
        <v>42004</v>
      </c>
      <c r="C350" s="12">
        <v>-1.5520000000000001E-2</v>
      </c>
      <c r="D350" s="13">
        <v>-1.0814363664331E-2</v>
      </c>
    </row>
    <row r="351" spans="1:4">
      <c r="A351" s="10" t="s">
        <v>96</v>
      </c>
      <c r="B351" s="11">
        <v>41973</v>
      </c>
      <c r="C351" s="12">
        <v>1.3296093341102501E-2</v>
      </c>
      <c r="D351" s="13">
        <v>1.3147884759516001E-2</v>
      </c>
    </row>
    <row r="352" spans="1:4">
      <c r="A352" s="10" t="s">
        <v>96</v>
      </c>
      <c r="B352" s="11">
        <v>41943</v>
      </c>
      <c r="C352" s="12">
        <v>1.37E-2</v>
      </c>
      <c r="D352" s="13">
        <v>8.530391736884E-3</v>
      </c>
    </row>
    <row r="353" spans="1:4">
      <c r="A353" s="10" t="s">
        <v>96</v>
      </c>
      <c r="B353" s="11">
        <v>41912</v>
      </c>
      <c r="C353" s="12">
        <v>-2.4469999999999999E-2</v>
      </c>
      <c r="D353" s="13">
        <v>-2.1954104011682001E-2</v>
      </c>
    </row>
    <row r="354" spans="1:4">
      <c r="A354" s="10" t="s">
        <v>96</v>
      </c>
      <c r="B354" s="11">
        <v>41882</v>
      </c>
      <c r="C354" s="12">
        <v>2.385E-2</v>
      </c>
      <c r="D354" s="13">
        <v>1.7955830533586001E-2</v>
      </c>
    </row>
    <row r="355" spans="1:4">
      <c r="A355" s="10" t="s">
        <v>96</v>
      </c>
      <c r="B355" s="11">
        <v>41851</v>
      </c>
      <c r="C355" s="12">
        <v>-1.077E-2</v>
      </c>
      <c r="D355" s="13">
        <v>-8.010683011806E-3</v>
      </c>
    </row>
    <row r="356" spans="1:4">
      <c r="A356" s="10" t="s">
        <v>96</v>
      </c>
      <c r="B356" s="11">
        <v>41820</v>
      </c>
      <c r="C356" s="12">
        <v>1.6060000000000001E-2</v>
      </c>
      <c r="D356" s="13">
        <v>1.1747599994973001E-2</v>
      </c>
    </row>
    <row r="357" spans="1:4">
      <c r="A357" s="10" t="s">
        <v>96</v>
      </c>
      <c r="B357" s="11">
        <v>41790</v>
      </c>
      <c r="C357" s="12">
        <v>1.9269999999999999E-2</v>
      </c>
      <c r="D357" s="13">
        <v>1.7861672401545001E-2</v>
      </c>
    </row>
    <row r="358" spans="1:4">
      <c r="A358" s="10" t="s">
        <v>96</v>
      </c>
      <c r="B358" s="11">
        <v>41759</v>
      </c>
      <c r="C358" s="12">
        <v>1.66E-3</v>
      </c>
      <c r="D358" s="13">
        <v>9.5127055147960007E-3</v>
      </c>
    </row>
    <row r="359" spans="1:4">
      <c r="A359" s="10" t="s">
        <v>96</v>
      </c>
      <c r="B359" s="11">
        <v>41729</v>
      </c>
      <c r="C359" s="12">
        <v>-4.1700000000000001E-3</v>
      </c>
      <c r="D359" s="13">
        <v>2.4250051079019999E-3</v>
      </c>
    </row>
    <row r="360" spans="1:4">
      <c r="A360" s="10" t="s">
        <v>96</v>
      </c>
      <c r="B360" s="11">
        <v>41698</v>
      </c>
      <c r="C360" s="12">
        <v>3.483E-2</v>
      </c>
      <c r="D360" s="13">
        <v>3.1312406143516998E-2</v>
      </c>
    </row>
    <row r="361" spans="1:4">
      <c r="A361" s="10" t="s">
        <v>96</v>
      </c>
      <c r="B361" s="11">
        <v>41670</v>
      </c>
      <c r="C361" s="12">
        <v>-2.3619999999999999E-2</v>
      </c>
      <c r="D361" s="13">
        <v>-1.8198761377683999E-2</v>
      </c>
    </row>
    <row r="362" spans="1:4">
      <c r="A362" s="10" t="s">
        <v>96</v>
      </c>
      <c r="B362" s="11">
        <v>41639</v>
      </c>
      <c r="C362" s="12">
        <v>1.308E-2</v>
      </c>
      <c r="D362" s="13">
        <v>8.30679440304E-3</v>
      </c>
    </row>
    <row r="363" spans="1:4">
      <c r="A363" s="10" t="s">
        <v>96</v>
      </c>
      <c r="B363" s="11">
        <v>41608</v>
      </c>
      <c r="C363" s="12">
        <v>1.4160000000000001E-2</v>
      </c>
      <c r="D363" s="13">
        <v>7.2589031621379998E-3</v>
      </c>
    </row>
    <row r="364" spans="1:4">
      <c r="A364" s="10" t="s">
        <v>96</v>
      </c>
      <c r="B364" s="11">
        <v>41578</v>
      </c>
      <c r="C364" s="12">
        <v>2.8039999999999999E-2</v>
      </c>
      <c r="D364" s="13">
        <v>2.7456391141131999E-2</v>
      </c>
    </row>
    <row r="365" spans="1:4">
      <c r="A365" s="10" t="s">
        <v>96</v>
      </c>
      <c r="B365" s="11">
        <v>41547</v>
      </c>
      <c r="C365" s="12">
        <v>3.5580000000000001E-2</v>
      </c>
      <c r="D365" s="13">
        <v>3.4902417304552E-2</v>
      </c>
    </row>
    <row r="366" spans="1:4">
      <c r="A366" s="10" t="s">
        <v>96</v>
      </c>
      <c r="B366" s="11">
        <v>41517</v>
      </c>
      <c r="C366" s="12">
        <v>-2.3449999999999999E-2</v>
      </c>
      <c r="D366" s="13">
        <v>-1.4209143305995001E-2</v>
      </c>
    </row>
    <row r="367" spans="1:4">
      <c r="A367" s="10" t="s">
        <v>96</v>
      </c>
      <c r="B367" s="11">
        <v>41486</v>
      </c>
      <c r="C367" s="12">
        <v>3.619E-2</v>
      </c>
      <c r="D367" s="13">
        <v>2.9283159748910999E-2</v>
      </c>
    </row>
    <row r="368" spans="1:4">
      <c r="A368" s="10" t="s">
        <v>96</v>
      </c>
      <c r="B368" s="11">
        <v>41455</v>
      </c>
      <c r="C368" s="12">
        <v>-2.1420000000000002E-2</v>
      </c>
      <c r="D368" s="13">
        <v>-2.3294123476764E-2</v>
      </c>
    </row>
    <row r="369" spans="1:4">
      <c r="A369" s="10" t="s">
        <v>96</v>
      </c>
      <c r="B369" s="11">
        <v>41425</v>
      </c>
      <c r="C369" s="12">
        <v>-1.2670000000000001E-2</v>
      </c>
      <c r="D369" s="13">
        <v>-8.2058021625479993E-3</v>
      </c>
    </row>
    <row r="370" spans="1:4">
      <c r="A370" s="10" t="s">
        <v>96</v>
      </c>
      <c r="B370" s="11">
        <v>41394</v>
      </c>
      <c r="C370" s="12">
        <v>1.976E-2</v>
      </c>
      <c r="D370" s="13">
        <v>2.1854605966921001E-2</v>
      </c>
    </row>
    <row r="371" spans="1:4">
      <c r="A371" s="10" t="s">
        <v>96</v>
      </c>
      <c r="B371" s="11">
        <v>41364</v>
      </c>
      <c r="C371" s="12">
        <v>1.047E-2</v>
      </c>
      <c r="D371" s="13">
        <v>1.1476036443861999E-2</v>
      </c>
    </row>
    <row r="372" spans="1:4">
      <c r="A372" s="10" t="s">
        <v>96</v>
      </c>
      <c r="B372" s="11">
        <v>41333</v>
      </c>
      <c r="C372" s="12">
        <v>-6.1700000000000001E-3</v>
      </c>
      <c r="D372" s="13">
        <v>2.2915669569550001E-3</v>
      </c>
    </row>
    <row r="373" spans="1:4">
      <c r="A373" s="10" t="s">
        <v>96</v>
      </c>
      <c r="B373" s="11">
        <v>41305</v>
      </c>
      <c r="C373" s="12">
        <v>2.589E-2</v>
      </c>
      <c r="D373" s="13">
        <v>2.4789534257681999E-2</v>
      </c>
    </row>
    <row r="374" spans="1:4">
      <c r="A374" s="10" t="s">
        <v>96</v>
      </c>
      <c r="B374" s="11">
        <v>41274</v>
      </c>
      <c r="C374" s="12">
        <v>1.678E-2</v>
      </c>
      <c r="D374" s="13">
        <v>1.3299722090119001E-2</v>
      </c>
    </row>
    <row r="375" spans="1:4">
      <c r="A375" s="10" t="s">
        <v>96</v>
      </c>
      <c r="B375" s="11">
        <v>41243</v>
      </c>
      <c r="C375" s="12">
        <v>1.1900000000000001E-3</v>
      </c>
      <c r="D375" s="13">
        <v>8.7648931688129993E-3</v>
      </c>
    </row>
    <row r="376" spans="1:4">
      <c r="A376" s="10" t="s">
        <v>96</v>
      </c>
      <c r="B376" s="11">
        <v>41213</v>
      </c>
      <c r="C376" s="12">
        <v>-3.7799999999999999E-3</v>
      </c>
      <c r="D376" s="13">
        <v>-2.9293844280519998E-3</v>
      </c>
    </row>
    <row r="377" spans="1:4">
      <c r="A377" s="10" t="s">
        <v>96</v>
      </c>
      <c r="B377" s="11">
        <v>41182</v>
      </c>
      <c r="C377" s="12">
        <v>1.823E-2</v>
      </c>
      <c r="D377" s="13">
        <v>1.9771589370869001E-2</v>
      </c>
    </row>
    <row r="378" spans="1:4">
      <c r="A378" s="10" t="s">
        <v>96</v>
      </c>
      <c r="B378" s="11">
        <v>41152</v>
      </c>
      <c r="C378" s="12">
        <v>1.257E-2</v>
      </c>
      <c r="D378" s="13">
        <v>1.3683208918301E-2</v>
      </c>
    </row>
    <row r="379" spans="1:4">
      <c r="A379" s="10" t="s">
        <v>96</v>
      </c>
      <c r="B379" s="11">
        <v>41121</v>
      </c>
      <c r="C379" s="12">
        <v>1.7899999999999999E-2</v>
      </c>
      <c r="D379" s="13">
        <v>1.4225228657474999E-2</v>
      </c>
    </row>
    <row r="380" spans="1:4">
      <c r="A380" s="10" t="s">
        <v>96</v>
      </c>
      <c r="B380" s="11">
        <v>41090</v>
      </c>
      <c r="C380" s="12">
        <v>2.6749999999999999E-2</v>
      </c>
      <c r="D380" s="13">
        <v>3.0221979093768999E-2</v>
      </c>
    </row>
    <row r="381" spans="1:4">
      <c r="A381" s="10" t="s">
        <v>96</v>
      </c>
      <c r="B381" s="11">
        <v>41060</v>
      </c>
      <c r="C381" s="12">
        <v>-4.7010000000000003E-2</v>
      </c>
      <c r="D381" s="13">
        <v>-5.0580539468121001E-2</v>
      </c>
    </row>
    <row r="382" spans="1:4">
      <c r="A382" s="10" t="s">
        <v>96</v>
      </c>
      <c r="B382" s="11">
        <v>41029</v>
      </c>
      <c r="C382" s="12">
        <v>5.2900000000000004E-3</v>
      </c>
      <c r="D382" s="13">
        <v>-1.854008397752E-3</v>
      </c>
    </row>
    <row r="383" spans="1:4">
      <c r="A383" s="10" t="s">
        <v>96</v>
      </c>
      <c r="B383" s="11">
        <v>40999</v>
      </c>
      <c r="C383" s="12">
        <v>1.0670000000000001E-2</v>
      </c>
      <c r="D383" s="13">
        <v>2.2729308170999999E-3</v>
      </c>
    </row>
    <row r="384" spans="1:4">
      <c r="A384" s="10" t="s">
        <v>96</v>
      </c>
      <c r="B384" s="11">
        <v>40968</v>
      </c>
      <c r="C384" s="12">
        <v>1.7170000000000001E-2</v>
      </c>
      <c r="D384" s="13">
        <v>3.0220674293970001E-2</v>
      </c>
    </row>
    <row r="385" spans="1:4">
      <c r="A385" s="10" t="s">
        <v>96</v>
      </c>
      <c r="B385" s="11">
        <v>40939</v>
      </c>
      <c r="C385" s="12">
        <v>4.0669999999999998E-2</v>
      </c>
      <c r="D385" s="13">
        <v>3.8449983868968002E-2</v>
      </c>
    </row>
    <row r="386" spans="1:4">
      <c r="A386" s="10" t="s">
        <v>96</v>
      </c>
      <c r="B386" s="11">
        <v>40908</v>
      </c>
      <c r="C386" s="12">
        <v>-5.4400000000000004E-3</v>
      </c>
      <c r="D386" s="13">
        <v>3.7062394811139998E-3</v>
      </c>
    </row>
    <row r="387" spans="1:4">
      <c r="A387" s="10" t="s">
        <v>96</v>
      </c>
      <c r="B387" s="11">
        <v>40877</v>
      </c>
      <c r="C387" s="12">
        <v>-1.77735995669371E-3</v>
      </c>
      <c r="D387" s="13">
        <v>-1.7248447447122998E-2</v>
      </c>
    </row>
    <row r="388" spans="1:4">
      <c r="A388" s="10" t="s">
        <v>96</v>
      </c>
      <c r="B388" s="11">
        <v>40847</v>
      </c>
      <c r="C388" s="12">
        <v>4.6579167957738699E-2</v>
      </c>
      <c r="D388" s="13">
        <v>6.4607998594125998E-2</v>
      </c>
    </row>
    <row r="389" spans="1:4">
      <c r="A389" s="10" t="s">
        <v>96</v>
      </c>
      <c r="B389" s="11">
        <v>40816</v>
      </c>
      <c r="C389" s="12">
        <v>-6.7310537027341993E-2</v>
      </c>
      <c r="D389" s="13">
        <v>-5.3663732603694003E-2</v>
      </c>
    </row>
    <row r="390" spans="1:4">
      <c r="A390" s="10" t="s">
        <v>96</v>
      </c>
      <c r="B390" s="11">
        <v>40786</v>
      </c>
      <c r="C390" s="12">
        <v>-1.6747961256178501E-2</v>
      </c>
      <c r="D390" s="13">
        <v>-3.7145033408681999E-2</v>
      </c>
    </row>
    <row r="391" spans="1:4">
      <c r="A391" s="10" t="s">
        <v>96</v>
      </c>
      <c r="B391" s="11">
        <v>40755</v>
      </c>
      <c r="C391" s="12">
        <v>9.3895909025203898E-3</v>
      </c>
      <c r="D391" s="13">
        <v>-3.098136795435E-3</v>
      </c>
    </row>
    <row r="392" spans="1:4">
      <c r="A392" s="10" t="s">
        <v>96</v>
      </c>
      <c r="B392" s="11">
        <v>40724</v>
      </c>
      <c r="C392" s="12">
        <v>-7.8582794459136403E-3</v>
      </c>
      <c r="D392" s="13">
        <v>-1.0091169466648999E-2</v>
      </c>
    </row>
    <row r="393" spans="1:4">
      <c r="A393" s="10" t="s">
        <v>96</v>
      </c>
      <c r="B393" s="11">
        <v>40694</v>
      </c>
      <c r="C393" s="12">
        <v>-1.30143901095118E-2</v>
      </c>
      <c r="D393" s="13">
        <v>-7.0756109572309997E-3</v>
      </c>
    </row>
    <row r="394" spans="1:4">
      <c r="A394" s="10" t="s">
        <v>96</v>
      </c>
      <c r="B394" s="11">
        <v>40663</v>
      </c>
      <c r="C394" s="12">
        <v>2.9491683869292299E-2</v>
      </c>
      <c r="D394" s="13">
        <v>3.0038657082954001E-2</v>
      </c>
    </row>
    <row r="395" spans="1:4">
      <c r="A395" s="10" t="s">
        <v>96</v>
      </c>
      <c r="B395" s="11">
        <v>40633</v>
      </c>
      <c r="C395" s="12">
        <v>9.9638717418242505E-3</v>
      </c>
      <c r="D395" s="13">
        <v>1.6579448775000001E-4</v>
      </c>
    </row>
    <row r="396" spans="1:4">
      <c r="A396" s="10" t="s">
        <v>96</v>
      </c>
      <c r="B396" s="11">
        <v>40602</v>
      </c>
      <c r="C396" s="12">
        <v>2.6204018724750502E-2</v>
      </c>
      <c r="D396" s="13">
        <v>1.8791421809556001E-2</v>
      </c>
    </row>
    <row r="397" spans="1:4">
      <c r="A397" s="10" t="s">
        <v>96</v>
      </c>
      <c r="B397" s="11">
        <v>40574</v>
      </c>
      <c r="C397" s="12">
        <v>-5.8668885834470301E-3</v>
      </c>
      <c r="D397" s="13">
        <v>1.0105399272340001E-2</v>
      </c>
    </row>
    <row r="398" spans="1:4">
      <c r="A398" s="10" t="s">
        <v>96</v>
      </c>
      <c r="B398" s="11">
        <v>40543</v>
      </c>
      <c r="C398" s="12">
        <v>3.5412417396749801E-2</v>
      </c>
      <c r="D398" s="13">
        <v>3.9169537157025001E-2</v>
      </c>
    </row>
    <row r="399" spans="1:4">
      <c r="A399" s="10" t="s">
        <v>96</v>
      </c>
      <c r="B399" s="11">
        <v>40512</v>
      </c>
      <c r="C399" s="12">
        <v>-3.7763719352483498E-3</v>
      </c>
      <c r="D399" s="13">
        <v>-1.5191250538569999E-2</v>
      </c>
    </row>
    <row r="400" spans="1:4">
      <c r="A400" s="10" t="s">
        <v>96</v>
      </c>
      <c r="B400" s="11">
        <v>40482</v>
      </c>
      <c r="C400" s="12">
        <v>2.2414347558565001E-2</v>
      </c>
      <c r="D400" s="13">
        <v>2.3235102527777E-2</v>
      </c>
    </row>
    <row r="401" spans="1:4">
      <c r="A401" s="10" t="s">
        <v>96</v>
      </c>
      <c r="B401" s="11">
        <v>40451</v>
      </c>
      <c r="C401" s="12">
        <v>5.3217649312753697E-2</v>
      </c>
      <c r="D401" s="13">
        <v>5.7264086358513003E-2</v>
      </c>
    </row>
    <row r="402" spans="1:4">
      <c r="A402" s="10" t="s">
        <v>96</v>
      </c>
      <c r="B402" s="11">
        <v>40421</v>
      </c>
      <c r="C402" s="12">
        <v>-9.8361030551839292E-3</v>
      </c>
      <c r="D402" s="13">
        <v>-1.5534121104464E-2</v>
      </c>
    </row>
    <row r="403" spans="1:4">
      <c r="A403" s="10" t="s">
        <v>96</v>
      </c>
      <c r="B403" s="11">
        <v>40390</v>
      </c>
      <c r="C403" s="12">
        <v>4.57365167919557E-2</v>
      </c>
      <c r="D403" s="13">
        <v>5.2961851969946003E-2</v>
      </c>
    </row>
    <row r="404" spans="1:4">
      <c r="A404" s="10" t="s">
        <v>96</v>
      </c>
      <c r="B404" s="11">
        <v>40359</v>
      </c>
      <c r="C404" s="12">
        <v>-1.7193216137367798E-2</v>
      </c>
      <c r="D404" s="13">
        <v>-1.1121484944758999E-2</v>
      </c>
    </row>
    <row r="405" spans="1:4">
      <c r="A405" s="10" t="s">
        <v>96</v>
      </c>
      <c r="B405" s="11">
        <v>40329</v>
      </c>
      <c r="C405" s="12">
        <v>-4.9616548759419302E-2</v>
      </c>
      <c r="D405" s="13">
        <v>-5.3845520034336E-2</v>
      </c>
    </row>
    <row r="406" spans="1:4">
      <c r="A406" s="10" t="s">
        <v>96</v>
      </c>
      <c r="B406" s="11">
        <v>40298</v>
      </c>
      <c r="C406" s="12">
        <v>1.189E-2</v>
      </c>
      <c r="D406" s="13">
        <v>5.7088144483869998E-3</v>
      </c>
    </row>
    <row r="407" spans="1:4">
      <c r="A407" s="10" t="s">
        <v>96</v>
      </c>
      <c r="B407" s="11">
        <v>40268</v>
      </c>
      <c r="C407" s="12"/>
      <c r="D407" s="13"/>
    </row>
    <row r="408" spans="1:4">
      <c r="A408" s="10" t="s">
        <v>96</v>
      </c>
      <c r="B408" s="11">
        <v>40237</v>
      </c>
      <c r="C408" s="12"/>
      <c r="D408" s="13"/>
    </row>
    <row r="409" spans="1:4">
      <c r="A409" s="14" t="s">
        <v>96</v>
      </c>
      <c r="B409" s="15">
        <v>40209</v>
      </c>
      <c r="C409" s="16"/>
      <c r="D409" s="17"/>
    </row>
    <row r="410" spans="1:4">
      <c r="A410" s="10" t="s">
        <v>97</v>
      </c>
      <c r="B410" s="11">
        <v>46387</v>
      </c>
      <c r="C410" s="12"/>
      <c r="D410" s="13"/>
    </row>
    <row r="411" spans="1:4">
      <c r="A411" s="10" t="s">
        <v>97</v>
      </c>
      <c r="B411" s="11">
        <v>46356</v>
      </c>
      <c r="C411" s="12"/>
      <c r="D411" s="13"/>
    </row>
    <row r="412" spans="1:4">
      <c r="A412" s="10" t="s">
        <v>97</v>
      </c>
      <c r="B412" s="11">
        <v>46326</v>
      </c>
      <c r="C412" s="12"/>
      <c r="D412" s="13"/>
    </row>
    <row r="413" spans="1:4">
      <c r="A413" s="10" t="s">
        <v>97</v>
      </c>
      <c r="B413" s="11">
        <v>46295</v>
      </c>
      <c r="C413" s="12"/>
      <c r="D413" s="13"/>
    </row>
    <row r="414" spans="1:4">
      <c r="A414" s="10" t="s">
        <v>97</v>
      </c>
      <c r="B414" s="11">
        <v>46265</v>
      </c>
      <c r="C414" s="12"/>
      <c r="D414" s="13"/>
    </row>
    <row r="415" spans="1:4">
      <c r="A415" s="10" t="s">
        <v>97</v>
      </c>
      <c r="B415" s="11">
        <v>46234</v>
      </c>
      <c r="C415" s="12"/>
      <c r="D415" s="13"/>
    </row>
    <row r="416" spans="1:4">
      <c r="A416" s="10" t="s">
        <v>97</v>
      </c>
      <c r="B416" s="11">
        <v>46203</v>
      </c>
      <c r="C416" s="12"/>
      <c r="D416" s="13"/>
    </row>
    <row r="417" spans="1:4">
      <c r="A417" s="10" t="s">
        <v>97</v>
      </c>
      <c r="B417" s="11">
        <v>46173</v>
      </c>
      <c r="C417" s="12"/>
      <c r="D417" s="13"/>
    </row>
    <row r="418" spans="1:4">
      <c r="A418" s="10" t="s">
        <v>97</v>
      </c>
      <c r="B418" s="11">
        <v>46142</v>
      </c>
      <c r="C418" s="12"/>
      <c r="D418" s="13"/>
    </row>
    <row r="419" spans="1:4">
      <c r="A419" s="10" t="s">
        <v>97</v>
      </c>
      <c r="B419" s="11">
        <v>46112</v>
      </c>
      <c r="C419" s="12">
        <v>-3.08662944238338E-2</v>
      </c>
      <c r="D419" s="13">
        <v>-3.9099769867949601E-2</v>
      </c>
    </row>
    <row r="420" spans="1:4">
      <c r="A420" s="10" t="s">
        <v>97</v>
      </c>
      <c r="B420" s="11">
        <v>46081</v>
      </c>
      <c r="C420" s="12">
        <v>3.3346042842116101E-3</v>
      </c>
      <c r="D420" s="13">
        <v>1.5067301945334E-2</v>
      </c>
    </row>
    <row r="421" spans="1:4">
      <c r="A421" s="10" t="s">
        <v>97</v>
      </c>
      <c r="B421" s="11">
        <v>46053</v>
      </c>
      <c r="C421" s="12">
        <v>8.9983086783815992E-3</v>
      </c>
      <c r="D421" s="13">
        <v>1.2577432491141601E-2</v>
      </c>
    </row>
    <row r="422" spans="1:4">
      <c r="A422" s="10" t="s">
        <v>97</v>
      </c>
      <c r="B422" s="11">
        <v>46022</v>
      </c>
      <c r="C422" s="12">
        <v>1.50728214972636E-3</v>
      </c>
      <c r="D422" s="13">
        <v>3.4073751668824001E-3</v>
      </c>
    </row>
    <row r="423" spans="1:4">
      <c r="A423" s="10" t="s">
        <v>97</v>
      </c>
      <c r="B423" s="11">
        <v>45991</v>
      </c>
      <c r="C423" s="12">
        <v>-8.8515061102684102E-4</v>
      </c>
      <c r="D423" s="13">
        <v>3.7965574897330001E-3</v>
      </c>
    </row>
    <row r="424" spans="1:4">
      <c r="A424" s="10" t="s">
        <v>97</v>
      </c>
      <c r="B424" s="11">
        <v>45961</v>
      </c>
      <c r="C424" s="12">
        <v>1.4799694746206E-2</v>
      </c>
      <c r="D424" s="13">
        <v>1.27703468568482E-2</v>
      </c>
    </row>
    <row r="425" spans="1:4">
      <c r="A425" s="10" t="s">
        <v>97</v>
      </c>
      <c r="B425" s="11">
        <v>45930</v>
      </c>
      <c r="C425" s="12">
        <v>2.2092530160638599E-2</v>
      </c>
      <c r="D425" s="13">
        <v>2.1187860250656401E-2</v>
      </c>
    </row>
    <row r="426" spans="1:4">
      <c r="A426" s="10" t="s">
        <v>97</v>
      </c>
      <c r="B426" s="11">
        <v>45900</v>
      </c>
      <c r="C426" s="12">
        <v>1.41917052723261E-2</v>
      </c>
      <c r="D426" s="13">
        <v>1.7235542198072999E-2</v>
      </c>
    </row>
    <row r="427" spans="1:4">
      <c r="A427" s="10" t="s">
        <v>97</v>
      </c>
      <c r="B427" s="11">
        <v>45869</v>
      </c>
      <c r="C427" s="12">
        <v>5.0927658769913996E-3</v>
      </c>
      <c r="D427" s="13">
        <v>3.9434154504137996E-3</v>
      </c>
    </row>
    <row r="428" spans="1:4">
      <c r="A428" s="10" t="s">
        <v>97</v>
      </c>
      <c r="B428" s="11">
        <v>45838</v>
      </c>
      <c r="C428" s="12">
        <v>2.7165837221705701E-2</v>
      </c>
      <c r="D428" s="13">
        <v>2.73574182841262E-2</v>
      </c>
    </row>
    <row r="429" spans="1:4">
      <c r="A429" s="10" t="s">
        <v>97</v>
      </c>
      <c r="B429" s="11">
        <v>45808</v>
      </c>
      <c r="C429" s="12">
        <v>2.26808609883466E-2</v>
      </c>
      <c r="D429" s="13">
        <v>1.8957127126141601E-2</v>
      </c>
    </row>
    <row r="430" spans="1:4">
      <c r="A430" s="10" t="s">
        <v>97</v>
      </c>
      <c r="B430" s="11">
        <v>45777</v>
      </c>
      <c r="C430" s="12">
        <v>3.9706675400651798E-3</v>
      </c>
      <c r="D430" s="13">
        <v>6.2683028079934004E-3</v>
      </c>
    </row>
    <row r="431" spans="1:4">
      <c r="A431" s="10" t="s">
        <v>97</v>
      </c>
      <c r="B431" s="11">
        <v>45747</v>
      </c>
      <c r="C431" s="12">
        <v>-2.5117272897259301E-2</v>
      </c>
      <c r="D431" s="13">
        <v>-1.53592070409048E-2</v>
      </c>
    </row>
    <row r="432" spans="1:4">
      <c r="A432" s="10" t="s">
        <v>97</v>
      </c>
      <c r="B432" s="11">
        <v>45716</v>
      </c>
      <c r="C432" s="12">
        <v>5.4805244547356602E-3</v>
      </c>
      <c r="D432" s="13">
        <v>1.09032076047022E-2</v>
      </c>
    </row>
    <row r="433" spans="1:4">
      <c r="A433" s="10" t="s">
        <v>97</v>
      </c>
      <c r="B433" s="11">
        <v>45688</v>
      </c>
      <c r="C433" s="12">
        <v>1.3633782914377701E-2</v>
      </c>
      <c r="D433" s="13">
        <v>1.66992326283E-2</v>
      </c>
    </row>
    <row r="434" spans="1:4">
      <c r="A434" s="10" t="s">
        <v>97</v>
      </c>
      <c r="B434" s="11">
        <v>45657</v>
      </c>
      <c r="C434" s="12">
        <v>-1.4087635261117899E-2</v>
      </c>
      <c r="D434" s="13">
        <v>-1.9075134722819999E-2</v>
      </c>
    </row>
    <row r="435" spans="1:4">
      <c r="A435" s="10" t="s">
        <v>97</v>
      </c>
      <c r="B435" s="11">
        <v>45626</v>
      </c>
      <c r="C435" s="12">
        <v>3.3419294684101701E-2</v>
      </c>
      <c r="D435" s="13">
        <v>2.1446247596264002E-2</v>
      </c>
    </row>
    <row r="436" spans="1:4">
      <c r="A436" s="10" t="s">
        <v>97</v>
      </c>
      <c r="B436" s="11">
        <v>45596</v>
      </c>
      <c r="C436" s="12">
        <v>-1.67820409735372E-2</v>
      </c>
      <c r="D436" s="13">
        <v>-2.362851734874E-2</v>
      </c>
    </row>
    <row r="437" spans="1:4">
      <c r="A437" s="10" t="s">
        <v>97</v>
      </c>
      <c r="B437" s="11">
        <v>45565</v>
      </c>
      <c r="C437" s="12">
        <v>1.50013212467652E-2</v>
      </c>
      <c r="D437" s="13">
        <v>1.7627885931516998E-2</v>
      </c>
    </row>
    <row r="438" spans="1:4">
      <c r="A438" s="10" t="s">
        <v>97</v>
      </c>
      <c r="B438" s="11">
        <v>45535</v>
      </c>
      <c r="C438" s="12">
        <v>1.81913998308178E-2</v>
      </c>
      <c r="D438" s="13">
        <v>1.933981911178E-2</v>
      </c>
    </row>
    <row r="439" spans="1:4">
      <c r="A439" s="10" t="s">
        <v>97</v>
      </c>
      <c r="B439" s="11">
        <v>45504</v>
      </c>
      <c r="C439" s="12">
        <v>5.13116209352521E-3</v>
      </c>
      <c r="D439" s="13">
        <v>2.0675081231163999E-2</v>
      </c>
    </row>
    <row r="440" spans="1:4">
      <c r="A440" s="10" t="s">
        <v>97</v>
      </c>
      <c r="B440" s="11">
        <v>45473</v>
      </c>
      <c r="C440" s="12">
        <v>1.9447138831536599E-2</v>
      </c>
      <c r="D440" s="13">
        <v>1.4757999057194E-2</v>
      </c>
    </row>
    <row r="441" spans="1:4">
      <c r="A441" s="10" t="s">
        <v>97</v>
      </c>
      <c r="B441" s="11">
        <v>45443</v>
      </c>
      <c r="C441" s="12">
        <v>2.9878320216580701E-2</v>
      </c>
      <c r="D441" s="13">
        <v>2.6650122408335E-2</v>
      </c>
    </row>
    <row r="442" spans="1:4">
      <c r="A442" s="10" t="s">
        <v>97</v>
      </c>
      <c r="B442" s="11">
        <v>45412</v>
      </c>
      <c r="C442" s="12">
        <v>-2.93393884037727E-2</v>
      </c>
      <c r="D442" s="13">
        <v>-2.8081343976574E-2</v>
      </c>
    </row>
    <row r="443" spans="1:4">
      <c r="A443" s="10" t="s">
        <v>97</v>
      </c>
      <c r="B443" s="11">
        <v>45382</v>
      </c>
      <c r="C443" s="12">
        <v>1.65072279025218E-2</v>
      </c>
      <c r="D443" s="13">
        <v>1.8334586712261999E-2</v>
      </c>
    </row>
    <row r="444" spans="1:4">
      <c r="A444" s="10" t="s">
        <v>97</v>
      </c>
      <c r="B444" s="11">
        <v>45351</v>
      </c>
      <c r="C444" s="12">
        <v>9.1160850563024205E-3</v>
      </c>
      <c r="D444" s="13">
        <v>8.5420078272399995E-3</v>
      </c>
    </row>
    <row r="445" spans="1:4">
      <c r="A445" s="10" t="s">
        <v>97</v>
      </c>
      <c r="B445" s="11">
        <v>45322</v>
      </c>
      <c r="C445" s="12">
        <v>2.53986442380859E-3</v>
      </c>
      <c r="D445" s="13">
        <v>8.5739241122500002E-4</v>
      </c>
    </row>
    <row r="446" spans="1:4">
      <c r="A446" s="10" t="s">
        <v>97</v>
      </c>
      <c r="B446" s="11">
        <v>45291</v>
      </c>
      <c r="C446" s="12">
        <v>2.9019679572752598E-2</v>
      </c>
      <c r="D446" s="13">
        <v>4.2372789616821997E-2</v>
      </c>
    </row>
    <row r="447" spans="1:4">
      <c r="A447" s="10" t="s">
        <v>97</v>
      </c>
      <c r="B447" s="11">
        <v>45260</v>
      </c>
      <c r="C447" s="12">
        <v>4.4899582411113199E-2</v>
      </c>
      <c r="D447" s="13">
        <v>6.4132090459681004E-2</v>
      </c>
    </row>
    <row r="448" spans="1:4">
      <c r="A448" s="10" t="s">
        <v>97</v>
      </c>
      <c r="B448" s="11">
        <v>45230</v>
      </c>
      <c r="C448" s="12">
        <v>-6.8150334696511997E-3</v>
      </c>
      <c r="D448" s="13">
        <v>-2.1259507177671999E-2</v>
      </c>
    </row>
    <row r="449" spans="1:4">
      <c r="A449" s="10" t="s">
        <v>97</v>
      </c>
      <c r="B449" s="11">
        <v>45199</v>
      </c>
      <c r="C449" s="12">
        <v>-2.3643027429317301E-2</v>
      </c>
      <c r="D449" s="13">
        <v>-3.1603273703111001E-2</v>
      </c>
    </row>
    <row r="450" spans="1:4">
      <c r="A450" s="10" t="s">
        <v>97</v>
      </c>
      <c r="B450" s="11">
        <v>45169</v>
      </c>
      <c r="C450" s="12">
        <v>-8.4532677023585207E-3</v>
      </c>
      <c r="D450" s="13">
        <v>-1.4803275770812E-2</v>
      </c>
    </row>
    <row r="451" spans="1:4">
      <c r="A451" s="10" t="s">
        <v>97</v>
      </c>
      <c r="B451" s="11">
        <v>45138</v>
      </c>
      <c r="C451" s="12">
        <v>7.4969570950058698E-3</v>
      </c>
      <c r="D451" s="13">
        <v>1.4215865458589E-2</v>
      </c>
    </row>
    <row r="452" spans="1:4">
      <c r="A452" s="10" t="s">
        <v>97</v>
      </c>
      <c r="B452" s="11">
        <v>45107</v>
      </c>
      <c r="C452" s="12">
        <v>9.0582437624692497E-3</v>
      </c>
      <c r="D452" s="13">
        <v>2.0973238774191001E-2</v>
      </c>
    </row>
    <row r="453" spans="1:4">
      <c r="A453" s="10" t="s">
        <v>97</v>
      </c>
      <c r="B453" s="11">
        <v>45077</v>
      </c>
      <c r="C453" s="12">
        <v>-2.0177566242954501E-2</v>
      </c>
      <c r="D453" s="13">
        <v>-1.0322198394296E-2</v>
      </c>
    </row>
    <row r="454" spans="1:4">
      <c r="A454" s="10" t="s">
        <v>97</v>
      </c>
      <c r="B454" s="11">
        <v>45046</v>
      </c>
      <c r="C454" s="12">
        <v>9.9367892144835504E-3</v>
      </c>
      <c r="D454" s="13">
        <v>9.7021298103409995E-3</v>
      </c>
    </row>
    <row r="455" spans="1:4">
      <c r="A455" s="10" t="s">
        <v>97</v>
      </c>
      <c r="B455" s="11">
        <v>45016</v>
      </c>
      <c r="C455" s="12">
        <v>1.7030062827908799E-2</v>
      </c>
      <c r="D455" s="13">
        <v>2.8279726399631999E-2</v>
      </c>
    </row>
    <row r="456" spans="1:4">
      <c r="A456" s="10" t="s">
        <v>97</v>
      </c>
      <c r="B456" s="11">
        <v>44985</v>
      </c>
      <c r="C456" s="12">
        <v>-2.4594387028843999E-2</v>
      </c>
      <c r="D456" s="13">
        <v>-2.6770658126891E-2</v>
      </c>
    </row>
    <row r="457" spans="1:4">
      <c r="A457" s="10" t="s">
        <v>97</v>
      </c>
      <c r="B457" s="11">
        <v>44957</v>
      </c>
      <c r="C457" s="12">
        <v>2.7803971016343E-2</v>
      </c>
      <c r="D457" s="13">
        <v>4.7209655861889001E-2</v>
      </c>
    </row>
    <row r="458" spans="1:4">
      <c r="A458" s="10" t="s">
        <v>97</v>
      </c>
      <c r="B458" s="11">
        <v>44926</v>
      </c>
      <c r="C458" s="12">
        <v>-1.30588619404491E-2</v>
      </c>
      <c r="D458" s="13">
        <v>-1.8225393115744001E-2</v>
      </c>
    </row>
    <row r="459" spans="1:4">
      <c r="A459" s="10" t="s">
        <v>97</v>
      </c>
      <c r="B459" s="11">
        <v>44895</v>
      </c>
      <c r="C459" s="12">
        <v>3.43882964076297E-2</v>
      </c>
      <c r="D459" s="13">
        <v>5.3432456435740003E-2</v>
      </c>
    </row>
    <row r="460" spans="1:4">
      <c r="A460" s="10" t="s">
        <v>97</v>
      </c>
      <c r="B460" s="11">
        <v>44865</v>
      </c>
      <c r="C460" s="12">
        <v>2.1372103117049901E-2</v>
      </c>
      <c r="D460" s="13">
        <v>1.6200551688033998E-2</v>
      </c>
    </row>
    <row r="461" spans="1:4">
      <c r="A461" s="10" t="s">
        <v>97</v>
      </c>
      <c r="B461" s="11">
        <v>44834</v>
      </c>
      <c r="C461" s="12">
        <v>-4.5852897402566498E-2</v>
      </c>
      <c r="D461" s="13">
        <v>-6.4129194588319005E-2</v>
      </c>
    </row>
    <row r="462" spans="1:4">
      <c r="A462" s="10" t="s">
        <v>97</v>
      </c>
      <c r="B462" s="11">
        <v>44804</v>
      </c>
      <c r="C462" s="12">
        <v>-2.07198840628347E-2</v>
      </c>
      <c r="D462" s="13">
        <v>-3.1361975066408997E-2</v>
      </c>
    </row>
    <row r="463" spans="1:4">
      <c r="A463" s="10" t="s">
        <v>97</v>
      </c>
      <c r="B463" s="11">
        <v>44773</v>
      </c>
      <c r="C463" s="12">
        <v>3.3368037756064603E-2</v>
      </c>
      <c r="D463" s="13">
        <v>4.2779600647007997E-2</v>
      </c>
    </row>
    <row r="464" spans="1:4">
      <c r="A464" s="10" t="s">
        <v>97</v>
      </c>
      <c r="B464" s="11">
        <v>44742</v>
      </c>
      <c r="C464" s="12">
        <v>-5.9902319146986703E-2</v>
      </c>
      <c r="D464" s="13">
        <v>-4.3041673212074999E-2</v>
      </c>
    </row>
    <row r="465" spans="1:4">
      <c r="A465" s="10" t="s">
        <v>97</v>
      </c>
      <c r="B465" s="11">
        <v>44712</v>
      </c>
      <c r="C465" s="12">
        <v>2.20539131236294E-2</v>
      </c>
      <c r="D465" s="13">
        <v>5.3025240331919998E-3</v>
      </c>
    </row>
    <row r="466" spans="1:4">
      <c r="A466" s="10" t="s">
        <v>97</v>
      </c>
      <c r="B466" s="11">
        <v>44681</v>
      </c>
      <c r="C466" s="12">
        <v>-5.08277078826921E-2</v>
      </c>
      <c r="D466" s="13">
        <v>-5.4585135218037997E-2</v>
      </c>
    </row>
    <row r="467" spans="1:4">
      <c r="A467" s="10" t="s">
        <v>97</v>
      </c>
      <c r="B467" s="11">
        <v>44651</v>
      </c>
      <c r="C467" s="12">
        <v>1.04846868293418E-2</v>
      </c>
      <c r="D467" s="13">
        <v>-7.4822582377320002E-3</v>
      </c>
    </row>
    <row r="468" spans="1:4">
      <c r="A468" s="10" t="s">
        <v>97</v>
      </c>
      <c r="B468" s="11">
        <v>44620</v>
      </c>
      <c r="C468" s="12">
        <v>-7.52917128040785E-3</v>
      </c>
      <c r="D468" s="13">
        <v>-1.6612981776095999E-2</v>
      </c>
    </row>
    <row r="469" spans="1:4">
      <c r="A469" s="10" t="s">
        <v>97</v>
      </c>
      <c r="B469" s="11">
        <v>44592</v>
      </c>
      <c r="C469" s="12">
        <v>-1.7036755624218199E-2</v>
      </c>
      <c r="D469" s="13">
        <v>-3.2365003934910999E-2</v>
      </c>
    </row>
    <row r="470" spans="1:4">
      <c r="A470" s="10" t="s">
        <v>97</v>
      </c>
      <c r="B470" s="11">
        <v>44561</v>
      </c>
      <c r="C470" s="12">
        <v>3.2437914252570497E-2</v>
      </c>
      <c r="D470" s="13">
        <v>1.4632849652233E-2</v>
      </c>
    </row>
    <row r="471" spans="1:4">
      <c r="A471" s="10" t="s">
        <v>97</v>
      </c>
      <c r="B471" s="11">
        <v>44530</v>
      </c>
      <c r="C471" s="12">
        <v>-1.7794407575756899E-2</v>
      </c>
      <c r="D471" s="13">
        <v>-7.6449544824209997E-3</v>
      </c>
    </row>
    <row r="472" spans="1:4">
      <c r="A472" s="10" t="s">
        <v>97</v>
      </c>
      <c r="B472" s="11">
        <v>44500</v>
      </c>
      <c r="C472" s="12">
        <v>3.1241711841899399E-2</v>
      </c>
      <c r="D472" s="13">
        <v>2.0165705170188002E-2</v>
      </c>
    </row>
    <row r="473" spans="1:4">
      <c r="A473" s="10" t="s">
        <v>97</v>
      </c>
      <c r="B473" s="11">
        <v>44469</v>
      </c>
      <c r="C473" s="12">
        <v>-2.3500529402297202E-2</v>
      </c>
      <c r="D473" s="13">
        <v>-2.1543681632801001E-2</v>
      </c>
    </row>
    <row r="474" spans="1:4">
      <c r="A474" s="10" t="s">
        <v>97</v>
      </c>
      <c r="B474" s="11">
        <v>44439</v>
      </c>
      <c r="C474" s="12">
        <v>1.32770462049966E-2</v>
      </c>
      <c r="D474" s="13">
        <v>8.9682160359929996E-3</v>
      </c>
    </row>
    <row r="475" spans="1:4">
      <c r="A475" s="10" t="s">
        <v>97</v>
      </c>
      <c r="B475" s="11">
        <v>44408</v>
      </c>
      <c r="C475" s="12">
        <v>-2.38492673867362E-3</v>
      </c>
      <c r="D475" s="13">
        <v>9.7526881103009999E-3</v>
      </c>
    </row>
    <row r="476" spans="1:4">
      <c r="A476" s="10" t="s">
        <v>97</v>
      </c>
      <c r="B476" s="11">
        <v>44377</v>
      </c>
      <c r="C476" s="12">
        <v>1.5357967611941299E-3</v>
      </c>
      <c r="D476" s="13">
        <v>9.8734685406980001E-3</v>
      </c>
    </row>
    <row r="477" spans="1:4">
      <c r="A477" s="10" t="s">
        <v>97</v>
      </c>
      <c r="B477" s="11">
        <v>44347</v>
      </c>
      <c r="C477" s="12">
        <v>-7.3699796509533002E-4</v>
      </c>
      <c r="D477" s="13">
        <v>8.2874115940540002E-3</v>
      </c>
    </row>
    <row r="478" spans="1:4">
      <c r="A478" s="10" t="s">
        <v>97</v>
      </c>
      <c r="B478" s="11">
        <v>44316</v>
      </c>
      <c r="C478" s="12">
        <v>3.5031718497822301E-2</v>
      </c>
      <c r="D478" s="13">
        <v>2.2314763192144E-2</v>
      </c>
    </row>
    <row r="479" spans="1:4">
      <c r="A479" s="10" t="s">
        <v>97</v>
      </c>
      <c r="B479" s="11">
        <v>44286</v>
      </c>
      <c r="C479" s="12">
        <v>7.6238792361717697E-3</v>
      </c>
      <c r="D479" s="13">
        <v>3.4019716968100001E-3</v>
      </c>
    </row>
    <row r="480" spans="1:4">
      <c r="A480" s="10" t="s">
        <v>97</v>
      </c>
      <c r="B480" s="11">
        <v>44255</v>
      </c>
      <c r="C480" s="12">
        <v>5.7649751638284702E-3</v>
      </c>
      <c r="D480" s="13">
        <v>7.1329121453E-4</v>
      </c>
    </row>
    <row r="481" spans="1:4">
      <c r="A481" s="10" t="s">
        <v>97</v>
      </c>
      <c r="B481" s="11">
        <v>44227</v>
      </c>
      <c r="C481" s="12">
        <v>-7.82614075721242E-3</v>
      </c>
      <c r="D481" s="13">
        <v>-5.8424489216419998E-3</v>
      </c>
    </row>
    <row r="482" spans="1:4">
      <c r="A482" s="10" t="s">
        <v>97</v>
      </c>
      <c r="B482" s="11">
        <v>44196</v>
      </c>
      <c r="C482" s="12">
        <v>3.0754776672965799E-2</v>
      </c>
      <c r="D482" s="13">
        <v>1.9386316272425E-2</v>
      </c>
    </row>
    <row r="483" spans="1:4">
      <c r="A483" s="10" t="s">
        <v>97</v>
      </c>
      <c r="B483" s="11">
        <v>44165</v>
      </c>
      <c r="C483" s="12">
        <v>5.6205385119081602E-2</v>
      </c>
      <c r="D483" s="13">
        <v>5.4165448066601E-2</v>
      </c>
    </row>
    <row r="484" spans="1:4">
      <c r="A484" s="10" t="s">
        <v>97</v>
      </c>
      <c r="B484" s="11">
        <v>44135</v>
      </c>
      <c r="C484" s="12">
        <v>-1.9629898656309701E-2</v>
      </c>
      <c r="D484" s="13">
        <v>-1.2064618547266001E-2</v>
      </c>
    </row>
    <row r="485" spans="1:4">
      <c r="A485" s="10" t="s">
        <v>97</v>
      </c>
      <c r="B485" s="11">
        <v>44104</v>
      </c>
      <c r="C485" s="12">
        <v>-2.78867018764722E-2</v>
      </c>
      <c r="D485" s="13">
        <v>-1.2875556018567999E-2</v>
      </c>
    </row>
    <row r="486" spans="1:4">
      <c r="A486" s="10" t="s">
        <v>97</v>
      </c>
      <c r="B486" s="11">
        <v>44074</v>
      </c>
      <c r="C486" s="12">
        <v>4.0688046458654203E-2</v>
      </c>
      <c r="D486" s="13">
        <v>1.9312948117204999E-2</v>
      </c>
    </row>
    <row r="487" spans="1:4">
      <c r="A487" s="10" t="s">
        <v>97</v>
      </c>
      <c r="B487" s="11">
        <v>44043</v>
      </c>
      <c r="C487" s="12">
        <v>5.3699831492545202E-2</v>
      </c>
      <c r="D487" s="13">
        <v>3.0272498572113001E-2</v>
      </c>
    </row>
    <row r="488" spans="1:4">
      <c r="A488" s="10" t="s">
        <v>97</v>
      </c>
      <c r="B488" s="11">
        <v>44012</v>
      </c>
      <c r="C488" s="12">
        <v>2.3471003734383301E-2</v>
      </c>
      <c r="D488" s="13">
        <v>1.7284956607612999E-2</v>
      </c>
    </row>
    <row r="489" spans="1:4">
      <c r="A489" s="10" t="s">
        <v>97</v>
      </c>
      <c r="B489" s="11">
        <v>43982</v>
      </c>
      <c r="C489" s="12">
        <v>3.0432835702442498E-2</v>
      </c>
      <c r="D489" s="13">
        <v>2.0657197097752999E-2</v>
      </c>
    </row>
    <row r="490" spans="1:4">
      <c r="A490" s="10" t="s">
        <v>97</v>
      </c>
      <c r="B490" s="11">
        <v>43951</v>
      </c>
      <c r="C490" s="12">
        <v>8.4260092984077897E-2</v>
      </c>
      <c r="D490" s="13">
        <v>5.4078383664038998E-2</v>
      </c>
    </row>
    <row r="491" spans="1:4">
      <c r="A491" s="10" t="s">
        <v>97</v>
      </c>
      <c r="B491" s="11">
        <v>43921</v>
      </c>
      <c r="C491" s="12">
        <v>-6.9196030772795097E-2</v>
      </c>
      <c r="D491" s="13">
        <v>-5.3851797702683002E-2</v>
      </c>
    </row>
    <row r="492" spans="1:4">
      <c r="A492" s="10" t="s">
        <v>97</v>
      </c>
      <c r="B492" s="11">
        <v>43890</v>
      </c>
      <c r="C492" s="12">
        <v>-3.8039050141067302E-2</v>
      </c>
      <c r="D492" s="13">
        <v>-2.2048209265655001E-2</v>
      </c>
    </row>
    <row r="493" spans="1:4">
      <c r="A493" s="10" t="s">
        <v>97</v>
      </c>
      <c r="B493" s="11">
        <v>43861</v>
      </c>
      <c r="C493" s="12">
        <v>1.2065915246996E-2</v>
      </c>
      <c r="D493" s="13">
        <v>7.2437548258530004E-3</v>
      </c>
    </row>
    <row r="494" spans="1:4">
      <c r="A494" s="10" t="s">
        <v>97</v>
      </c>
      <c r="B494" s="11">
        <v>43830</v>
      </c>
      <c r="C494" s="12">
        <v>1.40201262978584E-2</v>
      </c>
      <c r="D494" s="13">
        <v>1.3746329753969E-2</v>
      </c>
    </row>
    <row r="495" spans="1:4">
      <c r="A495" s="10" t="s">
        <v>97</v>
      </c>
      <c r="B495" s="11">
        <v>43799</v>
      </c>
      <c r="C495" s="12">
        <v>2.0168563893653901E-2</v>
      </c>
      <c r="D495" s="13">
        <v>9.6073807827910009E-3</v>
      </c>
    </row>
    <row r="496" spans="1:4">
      <c r="A496" s="10" t="s">
        <v>97</v>
      </c>
      <c r="B496" s="11">
        <v>43769</v>
      </c>
      <c r="C496" s="12">
        <v>1.51306793171661E-2</v>
      </c>
      <c r="D496" s="13">
        <v>1.2958862750004E-2</v>
      </c>
    </row>
    <row r="497" spans="1:4">
      <c r="A497" s="10" t="s">
        <v>97</v>
      </c>
      <c r="B497" s="11">
        <v>43738</v>
      </c>
      <c r="C497" s="12">
        <v>6.2283482950541503E-3</v>
      </c>
      <c r="D497" s="13">
        <v>5.410484446304E-3</v>
      </c>
    </row>
    <row r="498" spans="1:4">
      <c r="A498" s="10" t="s">
        <v>97</v>
      </c>
      <c r="B498" s="11">
        <v>43708</v>
      </c>
      <c r="C498" s="12">
        <v>5.18185632624211E-3</v>
      </c>
      <c r="D498" s="13">
        <v>6.3772631385330004E-3</v>
      </c>
    </row>
    <row r="499" spans="1:4">
      <c r="A499" s="10" t="s">
        <v>97</v>
      </c>
      <c r="B499" s="11">
        <v>43677</v>
      </c>
      <c r="C499" s="12">
        <v>1.3130696760118001E-2</v>
      </c>
      <c r="D499" s="13">
        <v>2.6674255702820002E-3</v>
      </c>
    </row>
    <row r="500" spans="1:4">
      <c r="A500" s="10" t="s">
        <v>97</v>
      </c>
      <c r="B500" s="11">
        <v>43646</v>
      </c>
      <c r="C500" s="12">
        <v>3.8263553263747398E-2</v>
      </c>
      <c r="D500" s="13">
        <v>3.3672261806098003E-2</v>
      </c>
    </row>
    <row r="501" spans="1:4">
      <c r="A501" s="10" t="s">
        <v>97</v>
      </c>
      <c r="B501" s="11">
        <v>43616</v>
      </c>
      <c r="C501" s="12">
        <v>-2.57126035724346E-2</v>
      </c>
      <c r="D501" s="13">
        <v>-1.3249743938623999E-2</v>
      </c>
    </row>
    <row r="502" spans="1:4">
      <c r="A502" s="10" t="s">
        <v>97</v>
      </c>
      <c r="B502" s="11">
        <v>43585</v>
      </c>
      <c r="C502" s="12">
        <v>9.2350494524241992E-3</v>
      </c>
      <c r="D502" s="13">
        <v>1.3788081577760999E-2</v>
      </c>
    </row>
    <row r="503" spans="1:4">
      <c r="A503" s="10" t="s">
        <v>97</v>
      </c>
      <c r="B503" s="11">
        <v>43555</v>
      </c>
      <c r="C503" s="12">
        <v>1.94306467812938E-2</v>
      </c>
      <c r="D503" s="13">
        <v>1.6934370029526E-2</v>
      </c>
    </row>
    <row r="504" spans="1:4">
      <c r="A504" s="10" t="s">
        <v>97</v>
      </c>
      <c r="B504" s="11">
        <v>43524</v>
      </c>
      <c r="C504" s="12">
        <v>9.1999999999999998E-3</v>
      </c>
      <c r="D504" s="13">
        <v>1.0526590328431999E-2</v>
      </c>
    </row>
    <row r="505" spans="1:4">
      <c r="A505" s="10" t="s">
        <v>97</v>
      </c>
      <c r="B505" s="11">
        <v>43496</v>
      </c>
      <c r="C505" s="12">
        <v>3.6087272077897102E-2</v>
      </c>
      <c r="D505" s="13">
        <v>3.7807204928712999E-2</v>
      </c>
    </row>
    <row r="506" spans="1:4">
      <c r="A506" s="10" t="s">
        <v>97</v>
      </c>
      <c r="B506" s="11">
        <v>43465</v>
      </c>
      <c r="C506" s="12">
        <v>-2.30297596795036E-2</v>
      </c>
      <c r="D506" s="13">
        <v>-1.69892736E-2</v>
      </c>
    </row>
    <row r="507" spans="1:4">
      <c r="A507" s="10" t="s">
        <v>97</v>
      </c>
      <c r="B507" s="11">
        <v>43434</v>
      </c>
      <c r="C507" s="12">
        <v>1.0489999999999999E-2</v>
      </c>
      <c r="D507" s="13">
        <v>9.6214130000000005E-3</v>
      </c>
    </row>
    <row r="508" spans="1:4">
      <c r="A508" s="10" t="s">
        <v>97</v>
      </c>
      <c r="B508" s="11">
        <v>43404</v>
      </c>
      <c r="C508" s="12">
        <v>-4.3010230476584102E-2</v>
      </c>
      <c r="D508" s="13">
        <v>-3.4628953599999998E-2</v>
      </c>
    </row>
    <row r="509" spans="1:4">
      <c r="A509" s="10" t="s">
        <v>97</v>
      </c>
      <c r="B509" s="11">
        <v>43373</v>
      </c>
      <c r="C509" s="12">
        <v>1.3999999999999999E-4</v>
      </c>
      <c r="D509" s="13">
        <v>-1.9592331600000001E-3</v>
      </c>
    </row>
    <row r="510" spans="1:4">
      <c r="A510" s="10" t="s">
        <v>97</v>
      </c>
      <c r="B510" s="11">
        <v>43343</v>
      </c>
      <c r="C510" s="12">
        <v>6.2899999999999996E-3</v>
      </c>
      <c r="D510" s="13">
        <v>7.1827413599999997E-3</v>
      </c>
    </row>
    <row r="511" spans="1:4">
      <c r="A511" s="10" t="s">
        <v>97</v>
      </c>
      <c r="B511" s="11">
        <v>43312</v>
      </c>
      <c r="C511" s="12">
        <v>1.525E-2</v>
      </c>
      <c r="D511" s="13">
        <v>1.2335372085999999E-2</v>
      </c>
    </row>
    <row r="512" spans="1:4">
      <c r="A512" s="10" t="s">
        <v>97</v>
      </c>
      <c r="B512" s="11">
        <v>43281</v>
      </c>
      <c r="C512" s="12">
        <v>-2.33E-3</v>
      </c>
      <c r="D512" s="13">
        <v>-2.7446065999999999E-3</v>
      </c>
    </row>
    <row r="513" spans="1:4">
      <c r="A513" s="10" t="s">
        <v>97</v>
      </c>
      <c r="B513" s="11">
        <v>43251</v>
      </c>
      <c r="C513" s="12">
        <v>5.62E-3</v>
      </c>
      <c r="D513" s="13">
        <v>5.1265214000000003E-3</v>
      </c>
    </row>
    <row r="514" spans="1:4">
      <c r="A514" s="10" t="s">
        <v>97</v>
      </c>
      <c r="B514" s="11">
        <v>43220</v>
      </c>
      <c r="C514" s="12">
        <v>3.32814478230044E-3</v>
      </c>
      <c r="D514" s="13">
        <v>-4.1678960000000003E-4</v>
      </c>
    </row>
    <row r="515" spans="1:4">
      <c r="A515" s="10" t="s">
        <v>97</v>
      </c>
      <c r="B515" s="11">
        <v>43190</v>
      </c>
      <c r="C515" s="12">
        <v>-1.5988645656148E-3</v>
      </c>
      <c r="D515" s="13">
        <v>-4.4750817999999999E-3</v>
      </c>
    </row>
    <row r="516" spans="1:4">
      <c r="A516" s="10" t="s">
        <v>97</v>
      </c>
      <c r="B516" s="11">
        <v>43159</v>
      </c>
      <c r="C516" s="12">
        <v>-3.3278869433314498E-2</v>
      </c>
      <c r="D516" s="13">
        <v>-2.2331917900000001E-2</v>
      </c>
    </row>
    <row r="517" spans="1:4">
      <c r="A517" s="10" t="s">
        <v>97</v>
      </c>
      <c r="B517" s="11">
        <v>43131</v>
      </c>
      <c r="C517" s="12">
        <v>3.2210262049853E-2</v>
      </c>
      <c r="D517" s="13">
        <v>1.5739674799999999E-2</v>
      </c>
    </row>
    <row r="518" spans="1:4">
      <c r="A518" s="10" t="s">
        <v>97</v>
      </c>
      <c r="B518" s="11">
        <v>43100</v>
      </c>
      <c r="C518" s="12">
        <v>1.78027127436024E-2</v>
      </c>
      <c r="D518" s="13">
        <v>9.3370151440219998E-3</v>
      </c>
    </row>
    <row r="519" spans="1:4">
      <c r="A519" s="10" t="s">
        <v>97</v>
      </c>
      <c r="B519" s="11">
        <v>43069</v>
      </c>
      <c r="C519" s="12">
        <v>3.1175015525108799E-3</v>
      </c>
      <c r="D519" s="13">
        <v>7.156175855759E-3</v>
      </c>
    </row>
    <row r="520" spans="1:4">
      <c r="A520" s="10" t="s">
        <v>97</v>
      </c>
      <c r="B520" s="11">
        <v>43039</v>
      </c>
      <c r="C520" s="12">
        <v>1.5391129823603999E-2</v>
      </c>
      <c r="D520" s="13">
        <v>8.7457157856169997E-3</v>
      </c>
    </row>
    <row r="521" spans="1:4">
      <c r="A521" s="10" t="s">
        <v>97</v>
      </c>
      <c r="B521" s="11">
        <v>43008</v>
      </c>
      <c r="C521" s="12">
        <v>8.1468578716778206E-3</v>
      </c>
      <c r="D521" s="13">
        <v>5.0198082713279997E-3</v>
      </c>
    </row>
    <row r="522" spans="1:4">
      <c r="A522" s="10" t="s">
        <v>97</v>
      </c>
      <c r="B522" s="11">
        <v>42978</v>
      </c>
      <c r="C522" s="12">
        <v>7.0787317288143296E-3</v>
      </c>
      <c r="D522" s="13">
        <v>7.1101048450389996E-3</v>
      </c>
    </row>
    <row r="523" spans="1:4">
      <c r="A523" s="10" t="s">
        <v>97</v>
      </c>
      <c r="B523" s="11">
        <v>42947</v>
      </c>
      <c r="C523" s="12">
        <v>1.9057790544840601E-2</v>
      </c>
      <c r="D523" s="13">
        <v>1.3906014881169999E-2</v>
      </c>
    </row>
    <row r="524" spans="1:4">
      <c r="A524" s="10" t="s">
        <v>97</v>
      </c>
      <c r="B524" s="11">
        <v>42916</v>
      </c>
      <c r="C524" s="12">
        <v>5.4430696715427598E-3</v>
      </c>
      <c r="D524" s="13">
        <v>1.380787043976E-3</v>
      </c>
    </row>
    <row r="525" spans="1:4">
      <c r="A525" s="10" t="s">
        <v>97</v>
      </c>
      <c r="B525" s="11">
        <v>42886</v>
      </c>
      <c r="C525" s="12">
        <v>1.0579174209713899E-2</v>
      </c>
      <c r="D525" s="13">
        <v>1.3805141607947E-2</v>
      </c>
    </row>
    <row r="526" spans="1:4">
      <c r="A526" s="10" t="s">
        <v>97</v>
      </c>
      <c r="B526" s="11">
        <v>42855</v>
      </c>
      <c r="C526" s="12">
        <v>5.5244321355943597E-3</v>
      </c>
      <c r="D526" s="13">
        <v>1.1048938190108E-2</v>
      </c>
    </row>
    <row r="527" spans="1:4">
      <c r="A527" s="10" t="s">
        <v>97</v>
      </c>
      <c r="B527" s="11">
        <v>42825</v>
      </c>
      <c r="C527" s="12">
        <v>1.6999999999999999E-3</v>
      </c>
      <c r="D527" s="13">
        <v>4.8452694665230001E-3</v>
      </c>
    </row>
    <row r="528" spans="1:4">
      <c r="A528" s="10" t="s">
        <v>97</v>
      </c>
      <c r="B528" s="11">
        <v>42794</v>
      </c>
      <c r="C528" s="12">
        <v>1.89E-2</v>
      </c>
      <c r="D528" s="13">
        <v>1.5431815033946E-2</v>
      </c>
    </row>
    <row r="529" spans="1:4">
      <c r="A529" s="10" t="s">
        <v>97</v>
      </c>
      <c r="B529" s="11">
        <v>42766</v>
      </c>
      <c r="C529" s="12">
        <v>1.2200000000000001E-2</v>
      </c>
      <c r="D529" s="13">
        <v>1.2200245153829999E-2</v>
      </c>
    </row>
    <row r="530" spans="1:4">
      <c r="A530" s="10" t="s">
        <v>97</v>
      </c>
      <c r="B530" s="11">
        <v>42735</v>
      </c>
      <c r="C530" s="12">
        <v>1.49E-2</v>
      </c>
      <c r="D530" s="13">
        <v>9.6436654143499997E-3</v>
      </c>
    </row>
    <row r="531" spans="1:4">
      <c r="A531" s="10" t="s">
        <v>97</v>
      </c>
      <c r="B531" s="11">
        <v>42704</v>
      </c>
      <c r="C531" s="12"/>
      <c r="D531" s="13"/>
    </row>
    <row r="532" spans="1:4">
      <c r="A532" s="10" t="s">
        <v>97</v>
      </c>
      <c r="B532" s="11">
        <v>42674</v>
      </c>
      <c r="C532" s="12"/>
      <c r="D532" s="13"/>
    </row>
    <row r="533" spans="1:4">
      <c r="A533" s="10" t="s">
        <v>97</v>
      </c>
      <c r="B533" s="11">
        <v>42643</v>
      </c>
      <c r="C533" s="12"/>
      <c r="D533" s="13"/>
    </row>
    <row r="534" spans="1:4">
      <c r="A534" s="10" t="s">
        <v>97</v>
      </c>
      <c r="B534" s="11">
        <v>42613</v>
      </c>
      <c r="C534" s="12"/>
      <c r="D534" s="13"/>
    </row>
    <row r="535" spans="1:4">
      <c r="A535" s="10" t="s">
        <v>97</v>
      </c>
      <c r="B535" s="11">
        <v>42582</v>
      </c>
      <c r="C535" s="12"/>
      <c r="D535" s="13"/>
    </row>
    <row r="536" spans="1:4">
      <c r="A536" s="10" t="s">
        <v>97</v>
      </c>
      <c r="B536" s="11">
        <v>42551</v>
      </c>
      <c r="C536" s="12"/>
      <c r="D536" s="13"/>
    </row>
    <row r="537" spans="1:4">
      <c r="A537" s="10" t="s">
        <v>97</v>
      </c>
      <c r="B537" s="11">
        <v>42521</v>
      </c>
      <c r="C537" s="12"/>
      <c r="D537" s="13"/>
    </row>
    <row r="538" spans="1:4">
      <c r="A538" s="10" t="s">
        <v>97</v>
      </c>
      <c r="B538" s="11">
        <v>42490</v>
      </c>
      <c r="C538" s="12"/>
      <c r="D538" s="13"/>
    </row>
    <row r="539" spans="1:4">
      <c r="A539" s="10" t="s">
        <v>97</v>
      </c>
      <c r="B539" s="11">
        <v>42460</v>
      </c>
      <c r="C539" s="12"/>
      <c r="D539" s="13"/>
    </row>
    <row r="540" spans="1:4">
      <c r="A540" s="10" t="s">
        <v>97</v>
      </c>
      <c r="B540" s="11">
        <v>42429</v>
      </c>
      <c r="C540" s="12"/>
      <c r="D540" s="13"/>
    </row>
    <row r="541" spans="1:4">
      <c r="A541" s="10" t="s">
        <v>97</v>
      </c>
      <c r="B541" s="11">
        <v>42400</v>
      </c>
      <c r="C541" s="12"/>
      <c r="D541" s="13"/>
    </row>
    <row r="542" spans="1:4">
      <c r="A542" s="10" t="s">
        <v>97</v>
      </c>
      <c r="B542" s="11">
        <v>42369</v>
      </c>
      <c r="C542" s="12"/>
      <c r="D542" s="13"/>
    </row>
    <row r="543" spans="1:4">
      <c r="A543" s="10" t="s">
        <v>97</v>
      </c>
      <c r="B543" s="11">
        <v>42338</v>
      </c>
      <c r="C543" s="12"/>
      <c r="D543" s="13"/>
    </row>
    <row r="544" spans="1:4">
      <c r="A544" s="10" t="s">
        <v>97</v>
      </c>
      <c r="B544" s="11">
        <v>42308</v>
      </c>
      <c r="C544" s="12"/>
      <c r="D544" s="13"/>
    </row>
    <row r="545" spans="1:4">
      <c r="A545" s="10" t="s">
        <v>97</v>
      </c>
      <c r="B545" s="11">
        <v>42277</v>
      </c>
      <c r="C545" s="12"/>
      <c r="D545" s="13"/>
    </row>
    <row r="546" spans="1:4">
      <c r="A546" s="10" t="s">
        <v>97</v>
      </c>
      <c r="B546" s="11">
        <v>42247</v>
      </c>
      <c r="C546" s="12"/>
      <c r="D546" s="13"/>
    </row>
    <row r="547" spans="1:4">
      <c r="A547" s="10" t="s">
        <v>97</v>
      </c>
      <c r="B547" s="11">
        <v>42216</v>
      </c>
      <c r="C547" s="12"/>
      <c r="D547" s="13"/>
    </row>
    <row r="548" spans="1:4">
      <c r="A548" s="10" t="s">
        <v>97</v>
      </c>
      <c r="B548" s="11">
        <v>42185</v>
      </c>
      <c r="C548" s="12"/>
      <c r="D548" s="13"/>
    </row>
    <row r="549" spans="1:4">
      <c r="A549" s="10" t="s">
        <v>97</v>
      </c>
      <c r="B549" s="11">
        <v>42155</v>
      </c>
      <c r="C549" s="12"/>
      <c r="D549" s="13"/>
    </row>
    <row r="550" spans="1:4">
      <c r="A550" s="10" t="s">
        <v>97</v>
      </c>
      <c r="B550" s="11">
        <v>42124</v>
      </c>
      <c r="C550" s="12">
        <v>1.5299999999999999E-3</v>
      </c>
      <c r="D550" s="13">
        <v>9.5884842807819996E-3</v>
      </c>
    </row>
    <row r="551" spans="1:4">
      <c r="A551" s="10" t="s">
        <v>97</v>
      </c>
      <c r="B551" s="11">
        <v>42094</v>
      </c>
      <c r="C551" s="12">
        <v>-2.2000000000000001E-3</v>
      </c>
      <c r="D551" s="13">
        <v>-3.0911357096809998E-3</v>
      </c>
    </row>
    <row r="552" spans="1:4">
      <c r="A552" s="10" t="s">
        <v>97</v>
      </c>
      <c r="B552" s="11">
        <v>42063</v>
      </c>
      <c r="C552" s="12">
        <v>2.4539999999999999E-2</v>
      </c>
      <c r="D552" s="13">
        <v>1.6399030491238E-2</v>
      </c>
    </row>
    <row r="553" spans="1:4">
      <c r="A553" s="10" t="s">
        <v>97</v>
      </c>
      <c r="B553" s="11">
        <v>42035</v>
      </c>
      <c r="C553" s="12">
        <v>-8.3000000000000001E-4</v>
      </c>
      <c r="D553" s="13">
        <v>6.503964282143E-3</v>
      </c>
    </row>
    <row r="554" spans="1:4">
      <c r="A554" s="10" t="s">
        <v>97</v>
      </c>
      <c r="B554" s="11">
        <v>42004</v>
      </c>
      <c r="C554" s="12">
        <v>-1.14E-2</v>
      </c>
      <c r="D554" s="13">
        <v>-6.8506876090410002E-3</v>
      </c>
    </row>
    <row r="555" spans="1:4">
      <c r="A555" s="10" t="s">
        <v>97</v>
      </c>
      <c r="B555" s="11">
        <v>41973</v>
      </c>
      <c r="C555" s="12">
        <v>8.5900000000000004E-3</v>
      </c>
      <c r="D555" s="13">
        <v>1.1135694699336E-2</v>
      </c>
    </row>
    <row r="556" spans="1:4">
      <c r="A556" s="10" t="s">
        <v>97</v>
      </c>
      <c r="B556" s="11">
        <v>41943</v>
      </c>
      <c r="C556" s="12">
        <v>1.137E-2</v>
      </c>
      <c r="D556" s="13">
        <v>9.0422475189180004E-3</v>
      </c>
    </row>
    <row r="557" spans="1:4">
      <c r="A557" s="10" t="s">
        <v>97</v>
      </c>
      <c r="B557" s="11">
        <v>41912</v>
      </c>
      <c r="C557" s="12">
        <v>-1.7409999999999998E-2</v>
      </c>
      <c r="D557" s="13">
        <v>-1.6902937575474002E-2</v>
      </c>
    </row>
    <row r="558" spans="1:4">
      <c r="A558" s="10" t="s">
        <v>97</v>
      </c>
      <c r="B558" s="11">
        <v>41882</v>
      </c>
      <c r="C558" s="12">
        <v>2.0209999999999999E-2</v>
      </c>
      <c r="D558" s="13">
        <v>1.5663673586502998E-2</v>
      </c>
    </row>
    <row r="559" spans="1:4">
      <c r="A559" s="10" t="s">
        <v>97</v>
      </c>
      <c r="B559" s="11">
        <v>41851</v>
      </c>
      <c r="C559" s="12">
        <v>-7.0200000000000002E-3</v>
      </c>
      <c r="D559" s="13">
        <v>-6.1470714268789996E-3</v>
      </c>
    </row>
    <row r="560" spans="1:4">
      <c r="A560" s="10" t="s">
        <v>97</v>
      </c>
      <c r="B560" s="11">
        <v>41820</v>
      </c>
      <c r="C560" s="12">
        <v>1.158E-2</v>
      </c>
      <c r="D560" s="13">
        <v>7.998486523445E-3</v>
      </c>
    </row>
    <row r="561" spans="1:4">
      <c r="A561" s="10" t="s">
        <v>97</v>
      </c>
      <c r="B561" s="11">
        <v>41790</v>
      </c>
      <c r="C561" s="12">
        <v>1.8120000000000001E-2</v>
      </c>
      <c r="D561" s="13">
        <v>1.571074952439E-2</v>
      </c>
    </row>
    <row r="562" spans="1:4">
      <c r="A562" s="10" t="s">
        <v>97</v>
      </c>
      <c r="B562" s="11">
        <v>41759</v>
      </c>
      <c r="C562" s="12">
        <v>3.47E-3</v>
      </c>
      <c r="D562" s="13">
        <v>9.1913106744460002E-3</v>
      </c>
    </row>
    <row r="563" spans="1:4">
      <c r="A563" s="10" t="s">
        <v>97</v>
      </c>
      <c r="B563" s="11">
        <v>41729</v>
      </c>
      <c r="C563" s="12">
        <v>-3.3400000000000001E-3</v>
      </c>
      <c r="D563" s="13">
        <v>1.088400434682E-3</v>
      </c>
    </row>
    <row r="564" spans="1:4">
      <c r="A564" s="10" t="s">
        <v>97</v>
      </c>
      <c r="B564" s="11">
        <v>41698</v>
      </c>
      <c r="C564" s="12">
        <v>2.879E-2</v>
      </c>
      <c r="D564" s="13">
        <v>2.2613410952386E-2</v>
      </c>
    </row>
    <row r="565" spans="1:4">
      <c r="A565" s="10" t="s">
        <v>97</v>
      </c>
      <c r="B565" s="11">
        <v>41670</v>
      </c>
      <c r="C565" s="12">
        <v>-1.4290000000000001E-2</v>
      </c>
      <c r="D565" s="13">
        <v>-7.2883832508529997E-3</v>
      </c>
    </row>
    <row r="566" spans="1:4">
      <c r="A566" s="10" t="s">
        <v>97</v>
      </c>
      <c r="B566" s="11">
        <v>41639</v>
      </c>
      <c r="C566" s="12">
        <v>1.158E-2</v>
      </c>
      <c r="D566" s="13">
        <v>3.6570713156130002E-3</v>
      </c>
    </row>
    <row r="567" spans="1:4">
      <c r="A567" s="10" t="s">
        <v>97</v>
      </c>
      <c r="B567" s="11">
        <v>41608</v>
      </c>
      <c r="C567" s="12">
        <v>9.8700000000000003E-3</v>
      </c>
      <c r="D567" s="13">
        <v>3.5937631902900002E-3</v>
      </c>
    </row>
    <row r="568" spans="1:4">
      <c r="A568" s="10" t="s">
        <v>97</v>
      </c>
      <c r="B568" s="11">
        <v>41578</v>
      </c>
      <c r="C568" s="12">
        <v>2.1399999999999999E-2</v>
      </c>
      <c r="D568" s="13">
        <v>2.0989556310622999E-2</v>
      </c>
    </row>
    <row r="569" spans="1:4">
      <c r="A569" s="10" t="s">
        <v>97</v>
      </c>
      <c r="B569" s="11">
        <v>41547</v>
      </c>
      <c r="C569" s="12">
        <v>3.124E-2</v>
      </c>
      <c r="D569" s="13">
        <v>2.6388222928967999E-2</v>
      </c>
    </row>
    <row r="570" spans="1:4">
      <c r="A570" s="10" t="s">
        <v>97</v>
      </c>
      <c r="B570" s="11">
        <v>41517</v>
      </c>
      <c r="C570" s="12">
        <v>-2.0379999999999999E-2</v>
      </c>
      <c r="D570" s="13">
        <v>-1.1148973737422E-2</v>
      </c>
    </row>
    <row r="571" spans="1:4">
      <c r="A571" s="10" t="s">
        <v>97</v>
      </c>
      <c r="B571" s="11">
        <v>41486</v>
      </c>
      <c r="C571" s="12">
        <v>2.3900000000000001E-2</v>
      </c>
      <c r="D571" s="13">
        <v>1.9918018541314999E-2</v>
      </c>
    </row>
    <row r="572" spans="1:4">
      <c r="A572" s="10" t="s">
        <v>97</v>
      </c>
      <c r="B572" s="11">
        <v>41455</v>
      </c>
      <c r="C572" s="12">
        <v>-2.198E-2</v>
      </c>
      <c r="D572" s="13">
        <v>-2.0622753714380999E-2</v>
      </c>
    </row>
    <row r="573" spans="1:4">
      <c r="A573" s="10" t="s">
        <v>97</v>
      </c>
      <c r="B573" s="11">
        <v>41425</v>
      </c>
      <c r="C573" s="12">
        <v>-1.447E-2</v>
      </c>
      <c r="D573" s="13">
        <v>-1.1394860505738E-2</v>
      </c>
    </row>
    <row r="574" spans="1:4">
      <c r="A574" s="10" t="s">
        <v>97</v>
      </c>
      <c r="B574" s="11">
        <v>41394</v>
      </c>
      <c r="C574" s="12">
        <v>1.745E-2</v>
      </c>
      <c r="D574" s="13">
        <v>1.7987559298181001E-2</v>
      </c>
    </row>
    <row r="575" spans="1:4">
      <c r="A575" s="10" t="s">
        <v>97</v>
      </c>
      <c r="B575" s="11">
        <v>41364</v>
      </c>
      <c r="C575" s="12">
        <v>6.94E-3</v>
      </c>
      <c r="D575" s="13">
        <v>7.9251517665079995E-3</v>
      </c>
    </row>
    <row r="576" spans="1:4">
      <c r="A576" s="10" t="s">
        <v>97</v>
      </c>
      <c r="B576" s="11">
        <v>41333</v>
      </c>
      <c r="C576" s="12">
        <v>-3.2599999999999999E-3</v>
      </c>
      <c r="D576" s="13">
        <v>3.2352814163950001E-3</v>
      </c>
    </row>
    <row r="577" spans="1:4">
      <c r="A577" s="10" t="s">
        <v>97</v>
      </c>
      <c r="B577" s="11">
        <v>41305</v>
      </c>
      <c r="C577" s="12">
        <v>1.9199999999999998E-2</v>
      </c>
      <c r="D577" s="13">
        <v>1.4119948721084E-2</v>
      </c>
    </row>
    <row r="578" spans="1:4">
      <c r="A578" s="10" t="s">
        <v>97</v>
      </c>
      <c r="B578" s="11">
        <v>41274</v>
      </c>
      <c r="C578" s="12">
        <v>9.9299999999999996E-3</v>
      </c>
      <c r="D578" s="13">
        <v>8.3875557964270004E-3</v>
      </c>
    </row>
    <row r="579" spans="1:4">
      <c r="A579" s="10" t="s">
        <v>97</v>
      </c>
      <c r="B579" s="11">
        <v>41243</v>
      </c>
      <c r="C579" s="12">
        <v>4.47E-3</v>
      </c>
      <c r="D579" s="13">
        <v>6.4261264739359997E-3</v>
      </c>
    </row>
    <row r="580" spans="1:4">
      <c r="A580" s="10" t="s">
        <v>97</v>
      </c>
      <c r="B580" s="11">
        <v>41213</v>
      </c>
      <c r="C580" s="12">
        <v>-1.48E-3</v>
      </c>
      <c r="D580" s="13">
        <v>-1.254256910738E-3</v>
      </c>
    </row>
    <row r="581" spans="1:4">
      <c r="A581" s="10" t="s">
        <v>97</v>
      </c>
      <c r="B581" s="11">
        <v>41182</v>
      </c>
      <c r="C581" s="12">
        <v>1.575E-2</v>
      </c>
      <c r="D581" s="13">
        <v>1.3662508687654E-2</v>
      </c>
    </row>
    <row r="582" spans="1:4">
      <c r="A582" s="10" t="s">
        <v>97</v>
      </c>
      <c r="B582" s="11">
        <v>41152</v>
      </c>
      <c r="C582" s="12">
        <v>9.5300000000000003E-3</v>
      </c>
      <c r="D582" s="13">
        <v>9.3648475166519998E-3</v>
      </c>
    </row>
    <row r="583" spans="1:4">
      <c r="A583" s="10" t="s">
        <v>97</v>
      </c>
      <c r="B583" s="11">
        <v>41121</v>
      </c>
      <c r="C583" s="12">
        <v>1.7520000000000001E-2</v>
      </c>
      <c r="D583" s="13">
        <v>1.4180247633802E-2</v>
      </c>
    </row>
    <row r="584" spans="1:4">
      <c r="A584" s="10" t="s">
        <v>97</v>
      </c>
      <c r="B584" s="11">
        <v>41090</v>
      </c>
      <c r="C584" s="12">
        <v>2.043E-2</v>
      </c>
      <c r="D584" s="13">
        <v>2.0320553574776998E-2</v>
      </c>
    </row>
    <row r="585" spans="1:4">
      <c r="A585" s="10" t="s">
        <v>97</v>
      </c>
      <c r="B585" s="11">
        <v>41060</v>
      </c>
      <c r="C585" s="12">
        <v>-3.4939999999999999E-2</v>
      </c>
      <c r="D585" s="13">
        <v>-3.1022032242230001E-2</v>
      </c>
    </row>
    <row r="586" spans="1:4">
      <c r="A586" s="10" t="s">
        <v>97</v>
      </c>
      <c r="B586" s="11">
        <v>41029</v>
      </c>
      <c r="C586" s="12">
        <v>6.7000000000000002E-3</v>
      </c>
      <c r="D586" s="13">
        <v>2.5225775013E-3</v>
      </c>
    </row>
    <row r="587" spans="1:4">
      <c r="A587" s="10" t="s">
        <v>97</v>
      </c>
      <c r="B587" s="11">
        <v>40999</v>
      </c>
      <c r="C587" s="12">
        <v>4.2599999999999999E-3</v>
      </c>
      <c r="D587" s="13">
        <v>-2.4984638285699997E-4</v>
      </c>
    </row>
    <row r="588" spans="1:4">
      <c r="A588" s="10" t="s">
        <v>97</v>
      </c>
      <c r="B588" s="11">
        <v>40968</v>
      </c>
      <c r="C588" s="12">
        <v>1.3939999999999999E-2</v>
      </c>
      <c r="D588" s="13">
        <v>2.0011481563884E-2</v>
      </c>
    </row>
    <row r="589" spans="1:4">
      <c r="A589" s="10" t="s">
        <v>97</v>
      </c>
      <c r="B589" s="11">
        <v>40939</v>
      </c>
      <c r="C589" s="12">
        <v>3.6999999999999998E-2</v>
      </c>
      <c r="D589" s="13">
        <v>2.8519672754681001E-2</v>
      </c>
    </row>
    <row r="590" spans="1:4">
      <c r="A590" s="10" t="s">
        <v>97</v>
      </c>
      <c r="B590" s="11">
        <v>40908</v>
      </c>
      <c r="C590" s="12">
        <v>-4.2000000000000002E-4</v>
      </c>
      <c r="D590" s="13">
        <v>6.2405225242490002E-3</v>
      </c>
    </row>
    <row r="591" spans="1:4">
      <c r="A591" s="10" t="s">
        <v>97</v>
      </c>
      <c r="B591" s="11">
        <v>40877</v>
      </c>
      <c r="C591" s="12">
        <v>-1.74E-3</v>
      </c>
      <c r="D591" s="13">
        <v>-1.1530451002418E-2</v>
      </c>
    </row>
    <row r="592" spans="1:4">
      <c r="A592" s="10" t="s">
        <v>97</v>
      </c>
      <c r="B592" s="11">
        <v>40847</v>
      </c>
      <c r="C592" s="12">
        <v>3.9460000000000002E-2</v>
      </c>
      <c r="D592" s="13">
        <v>4.3331325983875998E-2</v>
      </c>
    </row>
    <row r="593" spans="1:4">
      <c r="A593" s="10" t="s">
        <v>97</v>
      </c>
      <c r="B593" s="11">
        <v>40816</v>
      </c>
      <c r="C593" s="12">
        <v>-5.2789999999999997E-2</v>
      </c>
      <c r="D593" s="13">
        <v>-3.3386904756168997E-2</v>
      </c>
    </row>
    <row r="594" spans="1:4">
      <c r="A594" s="10" t="s">
        <v>97</v>
      </c>
      <c r="B594" s="11">
        <v>40786</v>
      </c>
      <c r="C594" s="12">
        <v>-7.1700000000000002E-3</v>
      </c>
      <c r="D594" s="13">
        <v>-1.9677774337803999E-2</v>
      </c>
    </row>
    <row r="595" spans="1:4">
      <c r="A595" s="10" t="s">
        <v>97</v>
      </c>
      <c r="B595" s="11">
        <v>40755</v>
      </c>
      <c r="C595" s="12">
        <v>1.29E-2</v>
      </c>
      <c r="D595" s="13">
        <v>3.2684385369809998E-3</v>
      </c>
    </row>
    <row r="596" spans="1:4">
      <c r="A596" s="10" t="s">
        <v>97</v>
      </c>
      <c r="B596" s="11">
        <v>40724</v>
      </c>
      <c r="C596" s="12"/>
      <c r="D596" s="13"/>
    </row>
    <row r="597" spans="1:4">
      <c r="A597" s="10" t="s">
        <v>97</v>
      </c>
      <c r="B597" s="11">
        <v>40694</v>
      </c>
      <c r="C597" s="12"/>
      <c r="D597" s="13"/>
    </row>
    <row r="598" spans="1:4">
      <c r="A598" s="10" t="s">
        <v>97</v>
      </c>
      <c r="B598" s="11">
        <v>40663</v>
      </c>
      <c r="C598" s="12"/>
      <c r="D598" s="13"/>
    </row>
    <row r="599" spans="1:4">
      <c r="A599" s="10" t="s">
        <v>97</v>
      </c>
      <c r="B599" s="11">
        <v>40633</v>
      </c>
      <c r="C599" s="12"/>
      <c r="D599" s="13"/>
    </row>
    <row r="600" spans="1:4">
      <c r="A600" s="10" t="s">
        <v>97</v>
      </c>
      <c r="B600" s="11">
        <v>40602</v>
      </c>
      <c r="C600" s="12">
        <v>2.2950000000000002E-2</v>
      </c>
      <c r="D600" s="13">
        <v>1.3385404785296E-2</v>
      </c>
    </row>
    <row r="601" spans="1:4">
      <c r="A601" s="10" t="s">
        <v>97</v>
      </c>
      <c r="B601" s="11">
        <v>40574</v>
      </c>
      <c r="C601" s="12">
        <v>-5.8700000000000002E-3</v>
      </c>
      <c r="D601" s="13">
        <v>7.1532012824700002E-3</v>
      </c>
    </row>
    <row r="602" spans="1:4">
      <c r="A602" s="10" t="s">
        <v>97</v>
      </c>
      <c r="B602" s="11">
        <v>40543</v>
      </c>
      <c r="C602" s="12">
        <v>2.0709999999999999E-2</v>
      </c>
      <c r="D602" s="13">
        <v>2.2309409414688001E-2</v>
      </c>
    </row>
    <row r="603" spans="1:4">
      <c r="A603" s="10" t="s">
        <v>97</v>
      </c>
      <c r="B603" s="11">
        <v>40512</v>
      </c>
      <c r="C603" s="12">
        <v>-6.1500000000000001E-3</v>
      </c>
      <c r="D603" s="13">
        <v>-1.1972546970247E-2</v>
      </c>
    </row>
    <row r="604" spans="1:4">
      <c r="A604" s="10" t="s">
        <v>97</v>
      </c>
      <c r="B604" s="11">
        <v>40482</v>
      </c>
      <c r="C604" s="12">
        <v>1.464E-2</v>
      </c>
      <c r="D604" s="13">
        <v>1.6677541625394001E-2</v>
      </c>
    </row>
    <row r="605" spans="1:4">
      <c r="A605" s="10" t="s">
        <v>97</v>
      </c>
      <c r="B605" s="11">
        <v>40451</v>
      </c>
      <c r="C605" s="12">
        <v>3.4169999999999999E-2</v>
      </c>
      <c r="D605" s="13">
        <v>3.8275952988192002E-2</v>
      </c>
    </row>
    <row r="606" spans="1:4">
      <c r="A606" s="10" t="s">
        <v>97</v>
      </c>
      <c r="B606" s="11">
        <v>40421</v>
      </c>
      <c r="C606" s="12">
        <v>-3.4000000000000002E-4</v>
      </c>
      <c r="D606" s="13">
        <v>-6.0471657815679997E-3</v>
      </c>
    </row>
    <row r="607" spans="1:4">
      <c r="A607" s="10" t="s">
        <v>97</v>
      </c>
      <c r="B607" s="11">
        <v>40390</v>
      </c>
      <c r="C607" s="12">
        <v>3.465E-2</v>
      </c>
      <c r="D607" s="13">
        <v>3.8758856945897001E-2</v>
      </c>
    </row>
    <row r="608" spans="1:4">
      <c r="A608" s="10" t="s">
        <v>97</v>
      </c>
      <c r="B608" s="11">
        <v>40359</v>
      </c>
      <c r="C608" s="12">
        <v>-8.1200000000000005E-3</v>
      </c>
      <c r="D608" s="13">
        <v>-2.0809294415339999E-3</v>
      </c>
    </row>
    <row r="609" spans="1:4">
      <c r="A609" s="10" t="s">
        <v>97</v>
      </c>
      <c r="B609" s="11">
        <v>40329</v>
      </c>
      <c r="C609" s="12"/>
      <c r="D609" s="13"/>
    </row>
    <row r="610" spans="1:4">
      <c r="A610" s="10" t="s">
        <v>97</v>
      </c>
      <c r="B610" s="11">
        <v>40298</v>
      </c>
      <c r="C610" s="12"/>
      <c r="D610" s="13"/>
    </row>
    <row r="611" spans="1:4">
      <c r="A611" s="10" t="s">
        <v>97</v>
      </c>
      <c r="B611" s="11">
        <v>40268</v>
      </c>
      <c r="C611" s="12"/>
      <c r="D611" s="13"/>
    </row>
    <row r="612" spans="1:4">
      <c r="A612" s="10" t="s">
        <v>97</v>
      </c>
      <c r="B612" s="11">
        <v>40237</v>
      </c>
      <c r="C612" s="12"/>
      <c r="D612" s="13"/>
    </row>
    <row r="613" spans="1:4">
      <c r="A613" s="14" t="s">
        <v>97</v>
      </c>
      <c r="B613" s="15">
        <v>40209</v>
      </c>
      <c r="C613" s="16"/>
      <c r="D613" s="17"/>
    </row>
    <row r="614" spans="1:4">
      <c r="A614" s="10" t="s">
        <v>98</v>
      </c>
      <c r="B614" s="11">
        <v>46387</v>
      </c>
      <c r="C614" s="12"/>
      <c r="D614" s="13"/>
    </row>
    <row r="615" spans="1:4">
      <c r="A615" s="10" t="s">
        <v>98</v>
      </c>
      <c r="B615" s="11">
        <v>46356</v>
      </c>
      <c r="C615" s="12"/>
      <c r="D615" s="13"/>
    </row>
    <row r="616" spans="1:4">
      <c r="A616" s="10" t="s">
        <v>98</v>
      </c>
      <c r="B616" s="11">
        <v>46326</v>
      </c>
      <c r="C616" s="12"/>
      <c r="D616" s="13"/>
    </row>
    <row r="617" spans="1:4">
      <c r="A617" s="10" t="s">
        <v>98</v>
      </c>
      <c r="B617" s="11">
        <v>46295</v>
      </c>
      <c r="C617" s="12"/>
      <c r="D617" s="13"/>
    </row>
    <row r="618" spans="1:4">
      <c r="A618" s="10" t="s">
        <v>98</v>
      </c>
      <c r="B618" s="11">
        <v>46265</v>
      </c>
      <c r="C618" s="12"/>
      <c r="D618" s="13"/>
    </row>
    <row r="619" spans="1:4">
      <c r="A619" s="10" t="s">
        <v>98</v>
      </c>
      <c r="B619" s="11">
        <v>46234</v>
      </c>
      <c r="C619" s="12"/>
      <c r="D619" s="13"/>
    </row>
    <row r="620" spans="1:4">
      <c r="A620" s="10" t="s">
        <v>98</v>
      </c>
      <c r="B620" s="11">
        <v>46203</v>
      </c>
      <c r="C620" s="12"/>
      <c r="D620" s="13"/>
    </row>
    <row r="621" spans="1:4">
      <c r="A621" s="10" t="s">
        <v>98</v>
      </c>
      <c r="B621" s="11">
        <v>46173</v>
      </c>
      <c r="C621" s="12"/>
      <c r="D621" s="13"/>
    </row>
    <row r="622" spans="1:4">
      <c r="A622" s="10" t="s">
        <v>98</v>
      </c>
      <c r="B622" s="11">
        <v>46142</v>
      </c>
      <c r="C622" s="12"/>
      <c r="D622" s="13"/>
    </row>
    <row r="623" spans="1:4">
      <c r="A623" s="10" t="s">
        <v>98</v>
      </c>
      <c r="B623" s="11">
        <v>46112</v>
      </c>
      <c r="C623" s="12">
        <v>-4.93221778092943E-2</v>
      </c>
      <c r="D623" s="13">
        <v>-6.0579260723739203E-2</v>
      </c>
    </row>
    <row r="624" spans="1:4">
      <c r="A624" s="10" t="s">
        <v>98</v>
      </c>
      <c r="B624" s="11">
        <v>46081</v>
      </c>
      <c r="C624" s="12">
        <v>-6.6460171113605802E-3</v>
      </c>
      <c r="D624" s="13">
        <v>1.3761100896656E-2</v>
      </c>
    </row>
    <row r="625" spans="1:4">
      <c r="A625" s="10" t="s">
        <v>98</v>
      </c>
      <c r="B625" s="11">
        <v>46053</v>
      </c>
      <c r="C625" s="12">
        <v>1.33580124432291E-2</v>
      </c>
      <c r="D625" s="13">
        <v>2.4086256940049199E-2</v>
      </c>
    </row>
    <row r="626" spans="1:4">
      <c r="A626" s="10" t="s">
        <v>98</v>
      </c>
      <c r="B626" s="11">
        <v>46022</v>
      </c>
      <c r="C626" s="12">
        <v>4.68210796105789E-3</v>
      </c>
      <c r="D626" s="13">
        <v>8.2941346038287993E-3</v>
      </c>
    </row>
    <row r="627" spans="1:4">
      <c r="A627" s="10" t="s">
        <v>98</v>
      </c>
      <c r="B627" s="11">
        <v>45991</v>
      </c>
      <c r="C627" s="12">
        <v>-7.0727547639863504E-3</v>
      </c>
      <c r="D627" s="13">
        <v>1.3778698772330001E-3</v>
      </c>
    </row>
    <row r="628" spans="1:4">
      <c r="A628" s="10" t="s">
        <v>98</v>
      </c>
      <c r="B628" s="11">
        <v>45961</v>
      </c>
      <c r="C628" s="12">
        <v>2.20421838540747E-2</v>
      </c>
      <c r="D628" s="13">
        <v>1.9295240068219401E-2</v>
      </c>
    </row>
    <row r="629" spans="1:4">
      <c r="A629" s="10" t="s">
        <v>98</v>
      </c>
      <c r="B629" s="11">
        <v>45930</v>
      </c>
      <c r="C629" s="12">
        <v>3.2922646391836799E-2</v>
      </c>
      <c r="D629" s="13">
        <v>3.1467278315620802E-2</v>
      </c>
    </row>
    <row r="630" spans="1:4">
      <c r="A630" s="10" t="s">
        <v>98</v>
      </c>
      <c r="B630" s="11">
        <v>45900</v>
      </c>
      <c r="C630" s="12">
        <v>1.60224364154639E-2</v>
      </c>
      <c r="D630" s="13">
        <v>2.2507455237827E-2</v>
      </c>
    </row>
    <row r="631" spans="1:4">
      <c r="A631" s="10" t="s">
        <v>98</v>
      </c>
      <c r="B631" s="11">
        <v>45869</v>
      </c>
      <c r="C631" s="12">
        <v>1.26754936545202E-2</v>
      </c>
      <c r="D631" s="13">
        <v>1.05261992090846E-2</v>
      </c>
    </row>
    <row r="632" spans="1:4">
      <c r="A632" s="10" t="s">
        <v>98</v>
      </c>
      <c r="B632" s="11">
        <v>45838</v>
      </c>
      <c r="C632" s="12">
        <v>3.9823103869401202E-2</v>
      </c>
      <c r="D632" s="13">
        <v>3.9339688301523401E-2</v>
      </c>
    </row>
    <row r="633" spans="1:4">
      <c r="A633" s="10" t="s">
        <v>98</v>
      </c>
      <c r="B633" s="11">
        <v>45808</v>
      </c>
      <c r="C633" s="12">
        <v>5.2539508695564403E-2</v>
      </c>
      <c r="D633" s="13">
        <v>4.5073081037009202E-2</v>
      </c>
    </row>
    <row r="634" spans="1:4">
      <c r="A634" s="10" t="s">
        <v>98</v>
      </c>
      <c r="B634" s="11">
        <v>45777</v>
      </c>
      <c r="C634" s="12">
        <v>3.7776887003974201E-3</v>
      </c>
      <c r="D634" s="13">
        <v>8.6075595652557995E-3</v>
      </c>
    </row>
    <row r="635" spans="1:4">
      <c r="A635" s="10" t="s">
        <v>98</v>
      </c>
      <c r="B635" s="11">
        <v>45747</v>
      </c>
      <c r="C635" s="12">
        <v>-5.1413754046907303E-2</v>
      </c>
      <c r="D635" s="13">
        <v>-3.10963497527116E-2</v>
      </c>
    </row>
    <row r="636" spans="1:4">
      <c r="A636" s="10" t="s">
        <v>98</v>
      </c>
      <c r="B636" s="11">
        <v>45716</v>
      </c>
      <c r="C636" s="12">
        <v>-1.1169303537217699E-2</v>
      </c>
      <c r="D636" s="13">
        <v>-1.962749171046E-4</v>
      </c>
    </row>
    <row r="637" spans="1:4">
      <c r="A637" s="10" t="s">
        <v>98</v>
      </c>
      <c r="B637" s="11">
        <v>45688</v>
      </c>
      <c r="C637" s="12">
        <v>2.21361688791832E-2</v>
      </c>
      <c r="D637" s="13">
        <v>2.8094746257774E-2</v>
      </c>
    </row>
    <row r="638" spans="1:4">
      <c r="A638" s="10" t="s">
        <v>98</v>
      </c>
      <c r="B638" s="11">
        <v>45657</v>
      </c>
      <c r="C638" s="12">
        <v>-1.0518350158544999E-2</v>
      </c>
      <c r="D638" s="13">
        <v>-2.1892417309725E-2</v>
      </c>
    </row>
    <row r="639" spans="1:4">
      <c r="A639" s="10" t="s">
        <v>98</v>
      </c>
      <c r="B639" s="11">
        <v>45626</v>
      </c>
      <c r="C639" s="12">
        <v>5.4339236900637897E-2</v>
      </c>
      <c r="D639" s="13">
        <v>3.2304131559287998E-2</v>
      </c>
    </row>
    <row r="640" spans="1:4">
      <c r="A640" s="10" t="s">
        <v>98</v>
      </c>
      <c r="B640" s="11">
        <v>45596</v>
      </c>
      <c r="C640" s="12">
        <v>-8.9955097757048706E-3</v>
      </c>
      <c r="D640" s="13">
        <v>-2.2585972763072001E-2</v>
      </c>
    </row>
    <row r="641" spans="1:4">
      <c r="A641" s="10" t="s">
        <v>98</v>
      </c>
      <c r="B641" s="11">
        <v>45565</v>
      </c>
      <c r="C641" s="12">
        <v>1.85303142912186E-2</v>
      </c>
      <c r="D641" s="13">
        <v>2.1664280237204001E-2</v>
      </c>
    </row>
    <row r="642" spans="1:4">
      <c r="A642" s="10" t="s">
        <v>98</v>
      </c>
      <c r="B642" s="11">
        <v>45535</v>
      </c>
      <c r="C642" s="12">
        <v>2.2982171684107999E-2</v>
      </c>
      <c r="D642" s="13">
        <v>2.3749214676698001E-2</v>
      </c>
    </row>
    <row r="643" spans="1:4">
      <c r="A643" s="10" t="s">
        <v>98</v>
      </c>
      <c r="B643" s="11">
        <v>45504</v>
      </c>
      <c r="C643" s="12">
        <v>-9.5248861847090707E-3</v>
      </c>
      <c r="D643" s="13">
        <v>1.7861400835169999E-2</v>
      </c>
    </row>
    <row r="644" spans="1:4">
      <c r="A644" s="10" t="s">
        <v>98</v>
      </c>
      <c r="B644" s="11">
        <v>45473</v>
      </c>
      <c r="C644" s="12">
        <v>3.0541268656806501E-2</v>
      </c>
      <c r="D644" s="13">
        <v>2.0014638041103001E-2</v>
      </c>
    </row>
    <row r="645" spans="1:4">
      <c r="A645" s="10" t="s">
        <v>98</v>
      </c>
      <c r="B645" s="11">
        <v>45443</v>
      </c>
      <c r="C645" s="12">
        <v>4.5571303474380903E-2</v>
      </c>
      <c r="D645" s="13">
        <v>3.6374703847005002E-2</v>
      </c>
    </row>
    <row r="646" spans="1:4">
      <c r="A646" s="10" t="s">
        <v>98</v>
      </c>
      <c r="B646" s="11">
        <v>45412</v>
      </c>
      <c r="C646" s="12">
        <v>-3.9014471520774897E-2</v>
      </c>
      <c r="D646" s="13">
        <v>-3.1037928850595E-2</v>
      </c>
    </row>
    <row r="647" spans="1:4">
      <c r="A647" s="10" t="s">
        <v>98</v>
      </c>
      <c r="B647" s="11">
        <v>45382</v>
      </c>
      <c r="C647" s="12">
        <v>2.5344015158936601E-2</v>
      </c>
      <c r="D647" s="13">
        <v>2.7415926562140001E-2</v>
      </c>
    </row>
    <row r="648" spans="1:4">
      <c r="A648" s="10" t="s">
        <v>98</v>
      </c>
      <c r="B648" s="11">
        <v>45351</v>
      </c>
      <c r="C648" s="12">
        <v>3.6125177213191403E-2</v>
      </c>
      <c r="D648" s="13">
        <v>3.1605067474382999E-2</v>
      </c>
    </row>
    <row r="649" spans="1:4">
      <c r="A649" s="10" t="s">
        <v>98</v>
      </c>
      <c r="B649" s="11">
        <v>45322</v>
      </c>
      <c r="C649" s="12">
        <v>5.7505811034985303E-3</v>
      </c>
      <c r="D649" s="13">
        <v>4.3605565566760002E-3</v>
      </c>
    </row>
    <row r="650" spans="1:4">
      <c r="A650" s="10" t="s">
        <v>98</v>
      </c>
      <c r="B650" s="11">
        <v>45291</v>
      </c>
      <c r="C650" s="12">
        <v>3.0171522855696201E-2</v>
      </c>
      <c r="D650" s="13">
        <v>4.6398725884639003E-2</v>
      </c>
    </row>
    <row r="651" spans="1:4">
      <c r="A651" s="10" t="s">
        <v>98</v>
      </c>
      <c r="B651" s="11">
        <v>45260</v>
      </c>
      <c r="C651" s="12">
        <v>6.0019482391770698E-2</v>
      </c>
      <c r="D651" s="13">
        <v>8.3178495618234996E-2</v>
      </c>
    </row>
    <row r="652" spans="1:4">
      <c r="A652" s="10" t="s">
        <v>98</v>
      </c>
      <c r="B652" s="11">
        <v>45230</v>
      </c>
      <c r="C652" s="12">
        <v>-4.0680222566379497E-3</v>
      </c>
      <c r="D652" s="13">
        <v>-2.6933913346944002E-2</v>
      </c>
    </row>
    <row r="653" spans="1:4">
      <c r="A653" s="10" t="s">
        <v>98</v>
      </c>
      <c r="B653" s="11">
        <v>45199</v>
      </c>
      <c r="C653" s="12">
        <v>-3.1689825468633803E-2</v>
      </c>
      <c r="D653" s="13">
        <v>-3.7853226549451002E-2</v>
      </c>
    </row>
    <row r="654" spans="1:4">
      <c r="A654" s="10" t="s">
        <v>98</v>
      </c>
      <c r="B654" s="11">
        <v>45169</v>
      </c>
      <c r="C654" s="12">
        <v>-1.5722681663273601E-2</v>
      </c>
      <c r="D654" s="13">
        <v>-2.3281655123505999E-2</v>
      </c>
    </row>
    <row r="655" spans="1:4">
      <c r="A655" s="10" t="s">
        <v>98</v>
      </c>
      <c r="B655" s="11">
        <v>45138</v>
      </c>
      <c r="C655" s="12">
        <v>1.5832555727092999E-2</v>
      </c>
      <c r="D655" s="13">
        <v>2.9299094789687001E-2</v>
      </c>
    </row>
    <row r="656" spans="1:4">
      <c r="A656" s="10" t="s">
        <v>98</v>
      </c>
      <c r="B656" s="11">
        <v>45107</v>
      </c>
      <c r="C656" s="12">
        <v>2.6463290834987E-2</v>
      </c>
      <c r="D656" s="13">
        <v>4.5896832243689997E-2</v>
      </c>
    </row>
    <row r="657" spans="1:4">
      <c r="A657" s="10" t="s">
        <v>98</v>
      </c>
      <c r="B657" s="11">
        <v>45077</v>
      </c>
      <c r="C657" s="12">
        <v>-3.4518053307226099E-2</v>
      </c>
      <c r="D657" s="13">
        <v>-1.003616032231E-2</v>
      </c>
    </row>
    <row r="658" spans="1:4">
      <c r="A658" s="10" t="s">
        <v>98</v>
      </c>
      <c r="B658" s="11">
        <v>45046</v>
      </c>
      <c r="C658" s="12">
        <v>1.67353446628851E-2</v>
      </c>
      <c r="D658" s="13">
        <v>1.3176536014647E-2</v>
      </c>
    </row>
    <row r="659" spans="1:4">
      <c r="A659" s="10" t="s">
        <v>98</v>
      </c>
      <c r="B659" s="11">
        <v>45016</v>
      </c>
      <c r="C659" s="12">
        <v>8.2028465574225003E-3</v>
      </c>
      <c r="D659" s="13">
        <v>3.0588876834883E-2</v>
      </c>
    </row>
    <row r="660" spans="1:4">
      <c r="A660" s="10" t="s">
        <v>98</v>
      </c>
      <c r="B660" s="11">
        <v>44985</v>
      </c>
      <c r="C660" s="12">
        <v>-3.0149510148260599E-2</v>
      </c>
      <c r="D660" s="13">
        <v>-2.7774217296715999E-2</v>
      </c>
    </row>
    <row r="661" spans="1:4">
      <c r="A661" s="10" t="s">
        <v>98</v>
      </c>
      <c r="B661" s="11">
        <v>44957</v>
      </c>
      <c r="C661" s="12">
        <v>3.2419230750868701E-2</v>
      </c>
      <c r="D661" s="13">
        <v>6.3682717885840998E-2</v>
      </c>
    </row>
    <row r="662" spans="1:4">
      <c r="A662" s="10" t="s">
        <v>98</v>
      </c>
      <c r="B662" s="11">
        <v>44926</v>
      </c>
      <c r="C662" s="12">
        <v>-2.3415458252547601E-2</v>
      </c>
      <c r="D662" s="13">
        <v>-3.2024379728695998E-2</v>
      </c>
    </row>
    <row r="663" spans="1:4">
      <c r="A663" s="10" t="s">
        <v>98</v>
      </c>
      <c r="B663" s="11">
        <v>44895</v>
      </c>
      <c r="C663" s="12">
        <v>4.3847378701312001E-2</v>
      </c>
      <c r="D663" s="13">
        <v>6.9880969634679005E-2</v>
      </c>
    </row>
    <row r="664" spans="1:4">
      <c r="A664" s="10" t="s">
        <v>98</v>
      </c>
      <c r="B664" s="11">
        <v>44865</v>
      </c>
      <c r="C664" s="12">
        <v>6.2332354460232997E-2</v>
      </c>
      <c r="D664" s="13">
        <v>4.5714403894044998E-2</v>
      </c>
    </row>
    <row r="665" spans="1:4">
      <c r="A665" s="10" t="s">
        <v>98</v>
      </c>
      <c r="B665" s="11">
        <v>44834</v>
      </c>
      <c r="C665" s="12">
        <v>-6.50318628358207E-2</v>
      </c>
      <c r="D665" s="13">
        <v>-8.4944981189561994E-2</v>
      </c>
    </row>
    <row r="666" spans="1:4">
      <c r="A666" s="10" t="s">
        <v>98</v>
      </c>
      <c r="B666" s="11">
        <v>44804</v>
      </c>
      <c r="C666" s="12">
        <v>-1.7966547601348502E-2</v>
      </c>
      <c r="D666" s="13">
        <v>-3.4683559571644998E-2</v>
      </c>
    </row>
    <row r="667" spans="1:4">
      <c r="A667" s="10" t="s">
        <v>98</v>
      </c>
      <c r="B667" s="11">
        <v>44773</v>
      </c>
      <c r="C667" s="12">
        <v>4.5696798664111901E-2</v>
      </c>
      <c r="D667" s="13">
        <v>6.1067471584320999E-2</v>
      </c>
    </row>
    <row r="668" spans="1:4">
      <c r="A668" s="10" t="s">
        <v>98</v>
      </c>
      <c r="B668" s="11">
        <v>44742</v>
      </c>
      <c r="C668" s="12">
        <v>-8.6266523297839001E-2</v>
      </c>
      <c r="D668" s="13">
        <v>-7.0300947605499001E-2</v>
      </c>
    </row>
    <row r="669" spans="1:4">
      <c r="A669" s="10" t="s">
        <v>98</v>
      </c>
      <c r="B669" s="11">
        <v>44712</v>
      </c>
      <c r="C669" s="12">
        <v>2.9314743351922801E-2</v>
      </c>
      <c r="D669" s="13">
        <v>3.24842790959E-3</v>
      </c>
    </row>
    <row r="670" spans="1:4">
      <c r="A670" s="10" t="s">
        <v>98</v>
      </c>
      <c r="B670" s="11">
        <v>44681</v>
      </c>
      <c r="C670" s="12">
        <v>-5.84403896420886E-2</v>
      </c>
      <c r="D670" s="13">
        <v>-7.1291860007936997E-2</v>
      </c>
    </row>
    <row r="671" spans="1:4">
      <c r="A671" s="10" t="s">
        <v>98</v>
      </c>
      <c r="B671" s="11">
        <v>44651</v>
      </c>
      <c r="C671" s="12">
        <v>3.3012938871750101E-2</v>
      </c>
      <c r="D671" s="13">
        <v>1.2440469713859001E-2</v>
      </c>
    </row>
    <row r="672" spans="1:4">
      <c r="A672" s="10" t="s">
        <v>98</v>
      </c>
      <c r="B672" s="11">
        <v>44620</v>
      </c>
      <c r="C672" s="12">
        <v>-4.41774314654213E-3</v>
      </c>
      <c r="D672" s="13">
        <v>-2.2460080555968001E-2</v>
      </c>
    </row>
    <row r="673" spans="1:4">
      <c r="A673" s="10" t="s">
        <v>98</v>
      </c>
      <c r="B673" s="11">
        <v>44592</v>
      </c>
      <c r="C673" s="12">
        <v>-1.35111541508308E-2</v>
      </c>
      <c r="D673" s="13">
        <v>-4.3362750580054003E-2</v>
      </c>
    </row>
    <row r="674" spans="1:4">
      <c r="A674" s="10" t="s">
        <v>98</v>
      </c>
      <c r="B674" s="11">
        <v>44561</v>
      </c>
      <c r="C674" s="12">
        <v>5.3967755611147201E-2</v>
      </c>
      <c r="D674" s="13">
        <v>3.1773212427925003E-2</v>
      </c>
    </row>
    <row r="675" spans="1:4">
      <c r="A675" s="10" t="s">
        <v>98</v>
      </c>
      <c r="B675" s="11">
        <v>44530</v>
      </c>
      <c r="C675" s="12">
        <v>-2.9756512858238701E-2</v>
      </c>
      <c r="D675" s="13">
        <v>-1.8369620110739001E-2</v>
      </c>
    </row>
    <row r="676" spans="1:4">
      <c r="A676" s="10" t="s">
        <v>98</v>
      </c>
      <c r="B676" s="11">
        <v>44500</v>
      </c>
      <c r="C676" s="12">
        <v>5.0493951609741898E-2</v>
      </c>
      <c r="D676" s="13">
        <v>4.0858793843244E-2</v>
      </c>
    </row>
    <row r="677" spans="1:4">
      <c r="A677" s="10" t="s">
        <v>98</v>
      </c>
      <c r="B677" s="11">
        <v>44469</v>
      </c>
      <c r="C677" s="12">
        <v>-3.2214481567079102E-2</v>
      </c>
      <c r="D677" s="13">
        <v>-3.4434920189986999E-2</v>
      </c>
    </row>
    <row r="678" spans="1:4">
      <c r="A678" s="10" t="s">
        <v>98</v>
      </c>
      <c r="B678" s="11">
        <v>44439</v>
      </c>
      <c r="C678" s="12">
        <v>2.2043135308470799E-2</v>
      </c>
      <c r="D678" s="13">
        <v>1.9874961071790001E-2</v>
      </c>
    </row>
    <row r="679" spans="1:4">
      <c r="A679" s="10" t="s">
        <v>98</v>
      </c>
      <c r="B679" s="11">
        <v>44408</v>
      </c>
      <c r="C679" s="12">
        <v>-9.5042170034563295E-3</v>
      </c>
      <c r="D679" s="13">
        <v>8.0949941818919992E-3</v>
      </c>
    </row>
    <row r="680" spans="1:4">
      <c r="A680" s="10" t="s">
        <v>98</v>
      </c>
      <c r="B680" s="11">
        <v>44377</v>
      </c>
      <c r="C680" s="12">
        <v>-2.1556214374337098E-3</v>
      </c>
      <c r="D680" s="13">
        <v>1.2632674183643999E-2</v>
      </c>
    </row>
    <row r="681" spans="1:4">
      <c r="A681" s="10" t="s">
        <v>98</v>
      </c>
      <c r="B681" s="11">
        <v>44347</v>
      </c>
      <c r="C681" s="12">
        <v>-2.4759030000560899E-3</v>
      </c>
      <c r="D681" s="13">
        <v>1.3206193919492E-2</v>
      </c>
    </row>
    <row r="682" spans="1:4">
      <c r="A682" s="10" t="s">
        <v>98</v>
      </c>
      <c r="B682" s="11">
        <v>44316</v>
      </c>
      <c r="C682" s="12">
        <v>5.0486965119762202E-2</v>
      </c>
      <c r="D682" s="13">
        <v>3.6835517639267998E-2</v>
      </c>
    </row>
    <row r="683" spans="1:4">
      <c r="A683" s="10" t="s">
        <v>98</v>
      </c>
      <c r="B683" s="11">
        <v>44286</v>
      </c>
      <c r="C683" s="12">
        <v>1.9391547219139799E-2</v>
      </c>
      <c r="D683" s="13">
        <v>1.9294684031677001E-2</v>
      </c>
    </row>
    <row r="684" spans="1:4">
      <c r="A684" s="10" t="s">
        <v>98</v>
      </c>
      <c r="B684" s="11">
        <v>44255</v>
      </c>
      <c r="C684" s="12">
        <v>1.6664150200027199E-2</v>
      </c>
      <c r="D684" s="13">
        <v>1.5877614815164001E-2</v>
      </c>
    </row>
    <row r="685" spans="1:4">
      <c r="A685" s="10" t="s">
        <v>98</v>
      </c>
      <c r="B685" s="11">
        <v>44227</v>
      </c>
      <c r="C685" s="12">
        <v>-4.2814547891742404E-3</v>
      </c>
      <c r="D685" s="13">
        <v>-4.7576124375799996E-3</v>
      </c>
    </row>
    <row r="686" spans="1:4">
      <c r="A686" s="10" t="s">
        <v>98</v>
      </c>
      <c r="B686" s="11">
        <v>44196</v>
      </c>
      <c r="C686" s="12">
        <v>4.7552139306396297E-2</v>
      </c>
      <c r="D686" s="13">
        <v>3.7607376245625997E-2</v>
      </c>
    </row>
    <row r="687" spans="1:4">
      <c r="A687" s="10" t="s">
        <v>98</v>
      </c>
      <c r="B687" s="11">
        <v>44165</v>
      </c>
      <c r="C687" s="12">
        <v>8.1830078502610995E-2</v>
      </c>
      <c r="D687" s="13">
        <v>0.100078727596663</v>
      </c>
    </row>
    <row r="688" spans="1:4">
      <c r="A688" s="10" t="s">
        <v>98</v>
      </c>
      <c r="B688" s="11">
        <v>44135</v>
      </c>
      <c r="C688" s="12">
        <v>-2.7649228765350101E-2</v>
      </c>
      <c r="D688" s="13">
        <v>-1.9985619188708E-2</v>
      </c>
    </row>
    <row r="689" spans="1:4">
      <c r="A689" s="10" t="s">
        <v>98</v>
      </c>
      <c r="B689" s="11">
        <v>44104</v>
      </c>
      <c r="C689" s="12">
        <v>-4.1451480478636102E-2</v>
      </c>
      <c r="D689" s="13">
        <v>-2.5474885761457001E-2</v>
      </c>
    </row>
    <row r="690" spans="1:4">
      <c r="A690" s="10" t="s">
        <v>98</v>
      </c>
      <c r="B690" s="11">
        <v>44074</v>
      </c>
      <c r="C690" s="12">
        <v>7.3585319082714096E-2</v>
      </c>
      <c r="D690" s="13">
        <v>4.7331766067860999E-2</v>
      </c>
    </row>
    <row r="691" spans="1:4">
      <c r="A691" s="10" t="s">
        <v>98</v>
      </c>
      <c r="B691" s="11">
        <v>44043</v>
      </c>
      <c r="C691" s="12">
        <v>7.4577837700383703E-2</v>
      </c>
      <c r="D691" s="13">
        <v>4.5615258025050003E-2</v>
      </c>
    </row>
    <row r="692" spans="1:4">
      <c r="A692" s="10" t="s">
        <v>98</v>
      </c>
      <c r="B692" s="11">
        <v>44012</v>
      </c>
      <c r="C692" s="12">
        <v>3.3815242847893903E-2</v>
      </c>
      <c r="D692" s="13">
        <v>2.7543299010739999E-2</v>
      </c>
    </row>
    <row r="693" spans="1:4">
      <c r="A693" s="10" t="s">
        <v>98</v>
      </c>
      <c r="B693" s="11">
        <v>43982</v>
      </c>
      <c r="C693" s="12">
        <v>5.3927667552052298E-2</v>
      </c>
      <c r="D693" s="13">
        <v>3.6361092181567002E-2</v>
      </c>
    </row>
    <row r="694" spans="1:4">
      <c r="A694" s="10" t="s">
        <v>98</v>
      </c>
      <c r="B694" s="11">
        <v>43951</v>
      </c>
      <c r="C694" s="12">
        <v>0.13176038125656001</v>
      </c>
      <c r="D694" s="13">
        <v>8.9919432507920005E-2</v>
      </c>
    </row>
    <row r="695" spans="1:4">
      <c r="A695" s="10" t="s">
        <v>98</v>
      </c>
      <c r="B695" s="11">
        <v>43921</v>
      </c>
      <c r="C695" s="12">
        <v>-0.10612025977628101</v>
      </c>
      <c r="D695" s="13">
        <v>-0.10654928976254099</v>
      </c>
    </row>
    <row r="696" spans="1:4">
      <c r="A696" s="10" t="s">
        <v>98</v>
      </c>
      <c r="B696" s="11">
        <v>43890</v>
      </c>
      <c r="C696" s="12">
        <v>-6.74160970507095E-2</v>
      </c>
      <c r="D696" s="13">
        <v>-6.117018389099E-2</v>
      </c>
    </row>
    <row r="697" spans="1:4">
      <c r="A697" s="10" t="s">
        <v>98</v>
      </c>
      <c r="B697" s="11">
        <v>43861</v>
      </c>
      <c r="C697" s="12">
        <v>9.8401278174133494E-3</v>
      </c>
      <c r="D697" s="13">
        <v>-4.7772790730590004E-3</v>
      </c>
    </row>
    <row r="698" spans="1:4">
      <c r="A698" s="10" t="s">
        <v>98</v>
      </c>
      <c r="B698" s="11">
        <v>43830</v>
      </c>
      <c r="C698" s="12">
        <v>2.1903447466199401E-2</v>
      </c>
      <c r="D698" s="13">
        <v>2.8309213361466998E-2</v>
      </c>
    </row>
    <row r="699" spans="1:4">
      <c r="A699" s="10" t="s">
        <v>98</v>
      </c>
      <c r="B699" s="11">
        <v>43799</v>
      </c>
      <c r="C699" s="12">
        <v>3.1828726908860801E-2</v>
      </c>
      <c r="D699" s="13">
        <v>1.9751844733107999E-2</v>
      </c>
    </row>
    <row r="700" spans="1:4">
      <c r="A700" s="10" t="s">
        <v>98</v>
      </c>
      <c r="B700" s="11">
        <v>43769</v>
      </c>
      <c r="C700" s="12">
        <v>2.35019424154129E-2</v>
      </c>
      <c r="D700" s="13">
        <v>2.2770830957945999E-2</v>
      </c>
    </row>
    <row r="701" spans="1:4">
      <c r="A701" s="10" t="s">
        <v>98</v>
      </c>
      <c r="B701" s="11">
        <v>43738</v>
      </c>
      <c r="C701" s="12">
        <v>1.16057201850673E-2</v>
      </c>
      <c r="D701" s="13">
        <v>1.6145124974636001E-2</v>
      </c>
    </row>
    <row r="702" spans="1:4">
      <c r="A702" s="10" t="s">
        <v>98</v>
      </c>
      <c r="B702" s="11">
        <v>43708</v>
      </c>
      <c r="C702" s="12">
        <v>-5.4366384121090801E-3</v>
      </c>
      <c r="D702" s="13">
        <v>-1.333878592237E-2</v>
      </c>
    </row>
    <row r="703" spans="1:4">
      <c r="A703" s="10" t="s">
        <v>98</v>
      </c>
      <c r="B703" s="11">
        <v>43677</v>
      </c>
      <c r="C703" s="12">
        <v>2.0695423121365301E-2</v>
      </c>
      <c r="D703" s="13">
        <v>3.084377140758E-3</v>
      </c>
    </row>
    <row r="704" spans="1:4">
      <c r="A704" s="10" t="s">
        <v>98</v>
      </c>
      <c r="B704" s="11">
        <v>43646</v>
      </c>
      <c r="C704" s="12">
        <v>5.6320096057201598E-2</v>
      </c>
      <c r="D704" s="13">
        <v>5.5097589345453002E-2</v>
      </c>
    </row>
    <row r="705" spans="1:4">
      <c r="A705" s="10" t="s">
        <v>98</v>
      </c>
      <c r="B705" s="11">
        <v>43616</v>
      </c>
      <c r="C705" s="12">
        <v>-5.1192010630685E-2</v>
      </c>
      <c r="D705" s="13">
        <v>-4.3571452116766003E-2</v>
      </c>
    </row>
    <row r="706" spans="1:4">
      <c r="A706" s="10" t="s">
        <v>98</v>
      </c>
      <c r="B706" s="11">
        <v>43585</v>
      </c>
      <c r="C706" s="12">
        <v>2.6227111552705101E-2</v>
      </c>
      <c r="D706" s="13">
        <v>2.7431014309988001E-2</v>
      </c>
    </row>
    <row r="707" spans="1:4">
      <c r="A707" s="10" t="s">
        <v>98</v>
      </c>
      <c r="B707" s="11">
        <v>43555</v>
      </c>
      <c r="C707" s="12">
        <v>2.27974730172452E-2</v>
      </c>
      <c r="D707" s="13">
        <v>1.4486929731253E-2</v>
      </c>
    </row>
    <row r="708" spans="1:4">
      <c r="A708" s="10" t="s">
        <v>98</v>
      </c>
      <c r="B708" s="11">
        <v>43524</v>
      </c>
      <c r="C708" s="12">
        <v>2.0299999999999999E-2</v>
      </c>
      <c r="D708" s="13">
        <v>2.1654338543539001E-2</v>
      </c>
    </row>
    <row r="709" spans="1:4">
      <c r="A709" s="10" t="s">
        <v>98</v>
      </c>
      <c r="B709" s="11">
        <v>43496</v>
      </c>
      <c r="C709" s="12">
        <v>6.7202842708142002E-2</v>
      </c>
      <c r="D709" s="13">
        <v>6.5352765797966006E-2</v>
      </c>
    </row>
    <row r="710" spans="1:4">
      <c r="A710" s="10" t="s">
        <v>98</v>
      </c>
      <c r="B710" s="11">
        <v>43465</v>
      </c>
      <c r="C710" s="12">
        <v>-5.8681161926542602E-2</v>
      </c>
      <c r="D710" s="13">
        <v>-5.23498612E-2</v>
      </c>
    </row>
    <row r="711" spans="1:4">
      <c r="A711" s="10" t="s">
        <v>98</v>
      </c>
      <c r="B711" s="11">
        <v>43434</v>
      </c>
      <c r="C711" s="12">
        <v>1.01296914569717E-2</v>
      </c>
      <c r="D711" s="13">
        <v>1.3273257E-2</v>
      </c>
    </row>
    <row r="712" spans="1:4">
      <c r="A712" s="10" t="s">
        <v>98</v>
      </c>
      <c r="B712" s="11">
        <v>43404</v>
      </c>
      <c r="C712" s="12">
        <v>-7.8578108569884897E-2</v>
      </c>
      <c r="D712" s="13">
        <v>-6.1355495199999999E-2</v>
      </c>
    </row>
    <row r="713" spans="1:4">
      <c r="A713" s="10" t="s">
        <v>98</v>
      </c>
      <c r="B713" s="11">
        <v>43373</v>
      </c>
      <c r="C713" s="12">
        <v>-2.7721784378146202E-3</v>
      </c>
      <c r="D713" s="13">
        <v>2.5210686799999999E-3</v>
      </c>
    </row>
    <row r="714" spans="1:4">
      <c r="A714" s="10" t="s">
        <v>98</v>
      </c>
      <c r="B714" s="11">
        <v>43343</v>
      </c>
      <c r="C714" s="12">
        <v>-4.4797033714490102E-3</v>
      </c>
      <c r="D714" s="13">
        <v>7.93095672E-3</v>
      </c>
    </row>
    <row r="715" spans="1:4">
      <c r="A715" s="10" t="s">
        <v>98</v>
      </c>
      <c r="B715" s="11">
        <v>43312</v>
      </c>
      <c r="C715" s="12">
        <v>2.2548247702183701E-2</v>
      </c>
      <c r="D715" s="13">
        <v>2.4432921361999999E-2</v>
      </c>
    </row>
    <row r="716" spans="1:4">
      <c r="A716" s="10" t="s">
        <v>98</v>
      </c>
      <c r="B716" s="11">
        <v>43281</v>
      </c>
      <c r="C716" s="12">
        <v>-1.44930747104546E-2</v>
      </c>
      <c r="D716" s="13">
        <v>-4.2592699999999999E-3</v>
      </c>
    </row>
    <row r="717" spans="1:4">
      <c r="A717" s="10" t="s">
        <v>98</v>
      </c>
      <c r="B717" s="11">
        <v>43251</v>
      </c>
      <c r="C717" s="12">
        <v>3.2977124107806499E-3</v>
      </c>
      <c r="D717" s="13">
        <v>3.1162044000000002E-3</v>
      </c>
    </row>
    <row r="718" spans="1:4">
      <c r="A718" s="10" t="s">
        <v>98</v>
      </c>
      <c r="B718" s="11">
        <v>43220</v>
      </c>
      <c r="C718" s="12">
        <v>7.65139540081746E-3</v>
      </c>
      <c r="D718" s="13">
        <v>6.6038868000000001E-3</v>
      </c>
    </row>
    <row r="719" spans="1:4">
      <c r="A719" s="10" t="s">
        <v>98</v>
      </c>
      <c r="B719" s="11">
        <v>43190</v>
      </c>
      <c r="C719" s="12">
        <v>-3.7813294508703501E-3</v>
      </c>
      <c r="D719" s="13">
        <v>-1.5363152600000001E-2</v>
      </c>
    </row>
    <row r="720" spans="1:4">
      <c r="A720" s="10" t="s">
        <v>98</v>
      </c>
      <c r="B720" s="11">
        <v>43159</v>
      </c>
      <c r="C720" s="12">
        <v>-4.9467295771133603E-2</v>
      </c>
      <c r="D720" s="13">
        <v>-3.5184379299999999E-2</v>
      </c>
    </row>
    <row r="721" spans="1:4">
      <c r="A721" s="10" t="s">
        <v>98</v>
      </c>
      <c r="B721" s="11">
        <v>43131</v>
      </c>
      <c r="C721" s="12">
        <v>5.7543222486850898E-2</v>
      </c>
      <c r="D721" s="13">
        <v>4.2996201599999999E-2</v>
      </c>
    </row>
    <row r="722" spans="1:4">
      <c r="A722" s="10" t="s">
        <v>98</v>
      </c>
      <c r="B722" s="11">
        <v>43100</v>
      </c>
      <c r="C722" s="12">
        <v>2.3361168477186001E-2</v>
      </c>
      <c r="D722" s="13">
        <v>1.4085E-2</v>
      </c>
    </row>
    <row r="723" spans="1:4">
      <c r="A723" s="10" t="s">
        <v>98</v>
      </c>
      <c r="B723" s="11">
        <v>43069</v>
      </c>
      <c r="C723" s="12">
        <v>1.1107853376635401E-2</v>
      </c>
      <c r="D723" s="13">
        <v>1.5594E-2</v>
      </c>
    </row>
    <row r="724" spans="1:4">
      <c r="A724" s="10" t="s">
        <v>98</v>
      </c>
      <c r="B724" s="11">
        <v>43039</v>
      </c>
      <c r="C724" s="12">
        <v>2.6703438421094398E-2</v>
      </c>
      <c r="D724" s="13">
        <v>1.6912E-2</v>
      </c>
    </row>
    <row r="725" spans="1:4">
      <c r="A725" s="10" t="s">
        <v>98</v>
      </c>
      <c r="B725" s="11">
        <v>43008</v>
      </c>
      <c r="C725" s="12">
        <v>1.3342573167671099E-2</v>
      </c>
      <c r="D725" s="13">
        <v>1.4801999999999999E-2</v>
      </c>
    </row>
    <row r="726" spans="1:4">
      <c r="A726" s="10" t="s">
        <v>98</v>
      </c>
      <c r="B726" s="11">
        <v>42978</v>
      </c>
      <c r="C726" s="12">
        <v>1.0032296305220199E-2</v>
      </c>
      <c r="D726" s="13">
        <v>5.2490000000000002E-3</v>
      </c>
    </row>
    <row r="727" spans="1:4">
      <c r="A727" s="10" t="s">
        <v>98</v>
      </c>
      <c r="B727" s="11">
        <v>42947</v>
      </c>
      <c r="C727" s="12">
        <v>3.0881267954274101E-2</v>
      </c>
      <c r="D727" s="13">
        <v>2.3508999999999999E-2</v>
      </c>
    </row>
    <row r="728" spans="1:4">
      <c r="A728" s="10" t="s">
        <v>98</v>
      </c>
      <c r="B728" s="11">
        <v>42916</v>
      </c>
      <c r="C728" s="12">
        <v>6.1160692554556697E-3</v>
      </c>
      <c r="D728" s="13">
        <v>3.7680000000000001E-3</v>
      </c>
    </row>
    <row r="729" spans="1:4">
      <c r="A729" s="10" t="s">
        <v>98</v>
      </c>
      <c r="B729" s="11">
        <v>42886</v>
      </c>
      <c r="C729" s="12">
        <v>1.1055283532029401E-2</v>
      </c>
      <c r="D729" s="13">
        <v>1.9911999999999999E-2</v>
      </c>
    </row>
    <row r="730" spans="1:4">
      <c r="A730" s="10" t="s">
        <v>98</v>
      </c>
      <c r="B730" s="11">
        <v>42855</v>
      </c>
      <c r="C730" s="12">
        <v>4.7183923633306998E-3</v>
      </c>
      <c r="D730" s="13">
        <v>1.4381E-2</v>
      </c>
    </row>
    <row r="731" spans="1:4">
      <c r="A731" s="10" t="s">
        <v>98</v>
      </c>
      <c r="B731" s="11">
        <v>42825</v>
      </c>
      <c r="C731" s="12">
        <v>1.4163450103956701E-3</v>
      </c>
      <c r="D731" s="13">
        <v>1.0214000000000001E-2</v>
      </c>
    </row>
    <row r="732" spans="1:4">
      <c r="A732" s="10" t="s">
        <v>98</v>
      </c>
      <c r="B732" s="11">
        <v>42794</v>
      </c>
      <c r="C732" s="12">
        <v>2.8935871704598201E-2</v>
      </c>
      <c r="D732" s="13">
        <v>2.4142E-2</v>
      </c>
    </row>
    <row r="733" spans="1:4">
      <c r="A733" s="10" t="s">
        <v>98</v>
      </c>
      <c r="B733" s="11">
        <v>42766</v>
      </c>
      <c r="C733" s="12">
        <v>1.88390626069974E-2</v>
      </c>
      <c r="D733" s="13">
        <v>2.2438E-2</v>
      </c>
    </row>
    <row r="734" spans="1:4">
      <c r="A734" s="10" t="s">
        <v>98</v>
      </c>
      <c r="B734" s="11">
        <v>42735</v>
      </c>
      <c r="C734" s="12">
        <v>1.8306013683805099E-2</v>
      </c>
      <c r="D734" s="13">
        <v>1.788E-2</v>
      </c>
    </row>
    <row r="735" spans="1:4">
      <c r="A735" s="10" t="s">
        <v>98</v>
      </c>
      <c r="B735" s="11">
        <v>42704</v>
      </c>
      <c r="C735" s="12">
        <v>1.9981597176790499E-2</v>
      </c>
      <c r="D735" s="13">
        <v>1.7409999999999999E-3</v>
      </c>
    </row>
    <row r="736" spans="1:4">
      <c r="A736" s="10" t="s">
        <v>98</v>
      </c>
      <c r="B736" s="11">
        <v>42674</v>
      </c>
      <c r="C736" s="12">
        <v>-1.7642103127031999E-2</v>
      </c>
      <c r="D736" s="13">
        <v>-1.4917E-2</v>
      </c>
    </row>
    <row r="737" spans="1:4">
      <c r="A737" s="10" t="s">
        <v>98</v>
      </c>
      <c r="B737" s="11">
        <v>42643</v>
      </c>
      <c r="C737" s="12">
        <v>7.0855710997083004E-4</v>
      </c>
      <c r="D737" s="13">
        <v>5.1310000000000001E-3</v>
      </c>
    </row>
    <row r="738" spans="1:4">
      <c r="A738" s="10" t="s">
        <v>98</v>
      </c>
      <c r="B738" s="11">
        <v>42613</v>
      </c>
      <c r="C738" s="12">
        <v>-3.3946615361462101E-3</v>
      </c>
      <c r="D738" s="13">
        <v>2.8509999999999998E-3</v>
      </c>
    </row>
    <row r="739" spans="1:4">
      <c r="A739" s="10" t="s">
        <v>98</v>
      </c>
      <c r="B739" s="11">
        <v>42582</v>
      </c>
      <c r="C739" s="12">
        <v>2.80471359551922E-2</v>
      </c>
      <c r="D739" s="13">
        <v>3.5980999999999999E-2</v>
      </c>
    </row>
    <row r="740" spans="1:4">
      <c r="A740" s="10" t="s">
        <v>98</v>
      </c>
      <c r="B740" s="11">
        <v>42551</v>
      </c>
      <c r="C740" s="12">
        <v>1.1590577827974E-2</v>
      </c>
      <c r="D740" s="13">
        <v>-8.2899999999999998E-4</v>
      </c>
    </row>
    <row r="741" spans="1:4">
      <c r="A741" s="10" t="s">
        <v>98</v>
      </c>
      <c r="B741" s="11">
        <v>42521</v>
      </c>
      <c r="C741" s="12">
        <v>7.8652379159427094E-3</v>
      </c>
      <c r="D741" s="13">
        <v>1.737E-3</v>
      </c>
    </row>
    <row r="742" spans="1:4">
      <c r="A742" s="10" t="s">
        <v>98</v>
      </c>
      <c r="B742" s="11">
        <v>42490</v>
      </c>
      <c r="C742" s="12">
        <v>7.5483610433470997E-4</v>
      </c>
      <c r="D742" s="13">
        <v>1.3048000000000001E-2</v>
      </c>
    </row>
    <row r="743" spans="1:4">
      <c r="A743" s="10" t="s">
        <v>98</v>
      </c>
      <c r="B743" s="11">
        <v>42460</v>
      </c>
      <c r="C743" s="12">
        <v>3.7709611962906002E-2</v>
      </c>
      <c r="D743" s="13">
        <v>6.1671999999999998E-2</v>
      </c>
    </row>
    <row r="744" spans="1:4">
      <c r="A744" s="10" t="s">
        <v>98</v>
      </c>
      <c r="B744" s="11">
        <v>42429</v>
      </c>
      <c r="C744" s="12">
        <v>-9.1698024675210595E-3</v>
      </c>
      <c r="D744" s="13">
        <v>-3.64E-3</v>
      </c>
    </row>
    <row r="745" spans="1:4">
      <c r="A745" s="10" t="s">
        <v>98</v>
      </c>
      <c r="B745" s="11">
        <v>42400</v>
      </c>
      <c r="C745" s="12">
        <v>-2.8933719454474701E-2</v>
      </c>
      <c r="D745" s="13">
        <v>-4.5309000000000002E-2</v>
      </c>
    </row>
    <row r="746" spans="1:4">
      <c r="A746" s="10" t="s">
        <v>98</v>
      </c>
      <c r="B746" s="11">
        <v>42369</v>
      </c>
      <c r="C746" s="12">
        <v>-1.2186563446626801E-2</v>
      </c>
      <c r="D746" s="13">
        <v>-1.4737E-2</v>
      </c>
    </row>
    <row r="747" spans="1:4">
      <c r="A747" s="10" t="s">
        <v>98</v>
      </c>
      <c r="B747" s="11">
        <v>42338</v>
      </c>
      <c r="C747" s="12">
        <v>4.48240383314801E-3</v>
      </c>
      <c r="D747" s="13">
        <v>-6.7799999999999996E-3</v>
      </c>
    </row>
    <row r="748" spans="1:4">
      <c r="A748" s="10" t="s">
        <v>98</v>
      </c>
      <c r="B748" s="11">
        <v>42308</v>
      </c>
      <c r="C748" s="12">
        <v>4.6615381688769802E-2</v>
      </c>
      <c r="D748" s="13">
        <v>6.3033000000000006E-2</v>
      </c>
    </row>
    <row r="749" spans="1:4">
      <c r="A749" s="10" t="s">
        <v>98</v>
      </c>
      <c r="B749" s="11">
        <v>42277</v>
      </c>
      <c r="C749" s="12">
        <v>-2.8060304027098401E-2</v>
      </c>
      <c r="D749" s="13">
        <v>-2.7276000000000002E-2</v>
      </c>
    </row>
    <row r="750" spans="1:4">
      <c r="A750" s="10" t="s">
        <v>98</v>
      </c>
      <c r="B750" s="11">
        <v>42247</v>
      </c>
      <c r="C750" s="12">
        <v>-5.8996470400961398E-2</v>
      </c>
      <c r="D750" s="13">
        <v>-5.4805E-2</v>
      </c>
    </row>
    <row r="751" spans="1:4">
      <c r="A751" s="10" t="s">
        <v>98</v>
      </c>
      <c r="B751" s="11">
        <v>42216</v>
      </c>
      <c r="C751" s="12">
        <v>2.2305897077100501E-2</v>
      </c>
      <c r="D751" s="13">
        <v>8.6280000000000003E-3</v>
      </c>
    </row>
    <row r="752" spans="1:4">
      <c r="A752" s="10" t="s">
        <v>98</v>
      </c>
      <c r="B752" s="11">
        <v>42185</v>
      </c>
      <c r="C752" s="12">
        <v>-2.37152037122496E-2</v>
      </c>
      <c r="D752" s="13">
        <v>-2.0660999999999999E-2</v>
      </c>
    </row>
    <row r="753" spans="1:4">
      <c r="A753" s="10" t="s">
        <v>98</v>
      </c>
      <c r="B753" s="11">
        <v>42155</v>
      </c>
      <c r="C753" s="12">
        <v>1.6907532175147399E-2</v>
      </c>
      <c r="D753" s="13">
        <v>-9.0399999999999996E-4</v>
      </c>
    </row>
    <row r="754" spans="1:4">
      <c r="A754" s="10" t="s">
        <v>98</v>
      </c>
      <c r="B754" s="11">
        <v>42124</v>
      </c>
      <c r="C754" s="12">
        <v>6.2985423438727799E-3</v>
      </c>
      <c r="D754" s="13">
        <v>2.2887000000000001E-2</v>
      </c>
    </row>
    <row r="755" spans="1:4">
      <c r="A755" s="10" t="s">
        <v>98</v>
      </c>
      <c r="B755" s="11">
        <v>42094</v>
      </c>
      <c r="C755" s="12">
        <v>-5.8894234398596803E-3</v>
      </c>
      <c r="D755" s="13">
        <v>-1.099E-2</v>
      </c>
    </row>
    <row r="756" spans="1:4">
      <c r="A756" s="10" t="s">
        <v>98</v>
      </c>
      <c r="B756" s="11">
        <v>42063</v>
      </c>
      <c r="C756" s="12">
        <v>4.3857408971583002E-2</v>
      </c>
      <c r="D756" s="13">
        <v>4.3021999999999998E-2</v>
      </c>
    </row>
    <row r="757" spans="1:4">
      <c r="A757" s="10" t="s">
        <v>98</v>
      </c>
      <c r="B757" s="11">
        <v>42035</v>
      </c>
      <c r="C757" s="12">
        <v>-7.4993999131706696E-3</v>
      </c>
      <c r="D757" s="13">
        <v>-8.1359999999999991E-3</v>
      </c>
    </row>
    <row r="758" spans="1:4">
      <c r="A758" s="10" t="s">
        <v>98</v>
      </c>
      <c r="B758" s="11">
        <v>42004</v>
      </c>
      <c r="C758" s="12">
        <v>-1.6569208388035699E-2</v>
      </c>
      <c r="D758" s="13">
        <v>-1.4917E-2</v>
      </c>
    </row>
    <row r="759" spans="1:4">
      <c r="A759" s="10" t="s">
        <v>98</v>
      </c>
      <c r="B759" s="11">
        <v>41973</v>
      </c>
      <c r="C759" s="12">
        <v>1.6315016016207402E-2</v>
      </c>
      <c r="D759" s="13">
        <v>1.5143E-2</v>
      </c>
    </row>
    <row r="760" spans="1:4">
      <c r="A760" s="10" t="s">
        <v>98</v>
      </c>
      <c r="B760" s="11">
        <v>41943</v>
      </c>
      <c r="C760" s="12">
        <v>1.6469987802040301E-2</v>
      </c>
      <c r="D760" s="13">
        <v>7.7799999999999996E-3</v>
      </c>
    </row>
    <row r="761" spans="1:4">
      <c r="A761" s="10" t="s">
        <v>98</v>
      </c>
      <c r="B761" s="11">
        <v>41912</v>
      </c>
      <c r="C761" s="12">
        <v>-2.76152863659394E-2</v>
      </c>
      <c r="D761" s="13">
        <v>-2.6993E-2</v>
      </c>
    </row>
    <row r="762" spans="1:4">
      <c r="A762" s="10" t="s">
        <v>98</v>
      </c>
      <c r="B762" s="11">
        <v>41882</v>
      </c>
      <c r="C762" s="12">
        <v>2.6844898162911301E-2</v>
      </c>
      <c r="D762" s="13">
        <v>2.0206999999999999E-2</v>
      </c>
    </row>
    <row r="763" spans="1:4">
      <c r="A763" s="10" t="s">
        <v>98</v>
      </c>
      <c r="B763" s="11">
        <v>41851</v>
      </c>
      <c r="C763" s="12">
        <v>-1.30241720156979E-2</v>
      </c>
      <c r="D763" s="13">
        <v>-9.9629999999999996E-3</v>
      </c>
    </row>
    <row r="764" spans="1:4">
      <c r="A764" s="10" t="s">
        <v>98</v>
      </c>
      <c r="B764" s="11">
        <v>41820</v>
      </c>
      <c r="C764" s="12">
        <v>1.8495804903145601E-2</v>
      </c>
      <c r="D764" s="13">
        <v>1.5512E-2</v>
      </c>
    </row>
    <row r="765" spans="1:4">
      <c r="A765" s="10" t="s">
        <v>98</v>
      </c>
      <c r="B765" s="11">
        <v>41790</v>
      </c>
      <c r="C765" s="12">
        <v>2.0555963072114301E-2</v>
      </c>
      <c r="D765" s="13">
        <v>1.9986E-2</v>
      </c>
    </row>
    <row r="766" spans="1:4">
      <c r="A766" s="10" t="s">
        <v>98</v>
      </c>
      <c r="B766" s="11">
        <v>41759</v>
      </c>
      <c r="C766" s="12">
        <v>5.9136148709734802E-4</v>
      </c>
      <c r="D766" s="13">
        <v>9.7260000000000003E-3</v>
      </c>
    </row>
    <row r="767" spans="1:4">
      <c r="A767" s="10" t="s">
        <v>98</v>
      </c>
      <c r="B767" s="11">
        <v>41729</v>
      </c>
      <c r="C767" s="12">
        <v>-5.0026467947002296E-3</v>
      </c>
      <c r="D767" s="13">
        <v>3.6419999999999998E-3</v>
      </c>
    </row>
    <row r="768" spans="1:4">
      <c r="A768" s="10" t="s">
        <v>98</v>
      </c>
      <c r="B768" s="11">
        <v>41698</v>
      </c>
      <c r="C768" s="12">
        <v>4.1904004623181897E-2</v>
      </c>
      <c r="D768" s="13">
        <v>4.0108999999999999E-2</v>
      </c>
    </row>
    <row r="769" spans="1:4">
      <c r="A769" s="10" t="s">
        <v>98</v>
      </c>
      <c r="B769" s="11">
        <v>41670</v>
      </c>
      <c r="C769" s="12">
        <v>-3.1824950926710498E-2</v>
      </c>
      <c r="D769" s="13">
        <v>-2.8868000000000001E-2</v>
      </c>
    </row>
    <row r="770" spans="1:4">
      <c r="A770" s="10" t="s">
        <v>98</v>
      </c>
      <c r="B770" s="11">
        <v>41639</v>
      </c>
      <c r="C770" s="12">
        <v>1.8700298897587699E-2</v>
      </c>
      <c r="D770" s="13">
        <v>1.2947E-2</v>
      </c>
    </row>
    <row r="771" spans="1:4">
      <c r="A771" s="10" t="s">
        <v>98</v>
      </c>
      <c r="B771" s="11">
        <v>41608</v>
      </c>
      <c r="C771" s="12">
        <v>1.6329369752179999E-2</v>
      </c>
      <c r="D771" s="13">
        <v>1.0919E-2</v>
      </c>
    </row>
    <row r="772" spans="1:4">
      <c r="A772" s="10" t="s">
        <v>98</v>
      </c>
      <c r="B772" s="11">
        <v>41578</v>
      </c>
      <c r="C772" s="12">
        <v>3.12459867814593E-2</v>
      </c>
      <c r="D772" s="13">
        <v>3.3949E-2</v>
      </c>
    </row>
    <row r="773" spans="1:4">
      <c r="A773" s="10" t="s">
        <v>98</v>
      </c>
      <c r="B773" s="11">
        <v>41547</v>
      </c>
      <c r="C773" s="12">
        <v>4.3554947647275098E-2</v>
      </c>
      <c r="D773" s="13">
        <v>4.3524E-2</v>
      </c>
    </row>
    <row r="774" spans="1:4">
      <c r="A774" s="10" t="s">
        <v>98</v>
      </c>
      <c r="B774" s="11">
        <v>41517</v>
      </c>
      <c r="C774" s="12">
        <v>-2.8336127100746698E-2</v>
      </c>
      <c r="D774" s="13">
        <v>-1.7354000000000001E-2</v>
      </c>
    </row>
    <row r="775" spans="1:4">
      <c r="A775" s="10" t="s">
        <v>98</v>
      </c>
      <c r="B775" s="11">
        <v>41486</v>
      </c>
      <c r="C775" s="12">
        <v>4.5601686526385903E-2</v>
      </c>
      <c r="D775" s="13">
        <v>3.8827E-2</v>
      </c>
    </row>
    <row r="776" spans="1:4">
      <c r="A776" s="10" t="s">
        <v>98</v>
      </c>
      <c r="B776" s="11">
        <v>41455</v>
      </c>
      <c r="C776" s="12">
        <v>-2.0936587965170599E-2</v>
      </c>
      <c r="D776" s="13">
        <v>-2.6152000000000002E-2</v>
      </c>
    </row>
    <row r="777" spans="1:4">
      <c r="A777" s="10" t="s">
        <v>98</v>
      </c>
      <c r="B777" s="11">
        <v>41425</v>
      </c>
      <c r="C777" s="12">
        <v>-9.2466024013773199E-3</v>
      </c>
      <c r="D777" s="13">
        <v>-5.0899999999999999E-3</v>
      </c>
    </row>
    <row r="778" spans="1:4">
      <c r="A778" s="10" t="s">
        <v>98</v>
      </c>
      <c r="B778" s="11">
        <v>41394</v>
      </c>
      <c r="C778" s="12">
        <v>2.1691632519909399E-2</v>
      </c>
      <c r="D778" s="13">
        <v>2.5415E-2</v>
      </c>
    </row>
    <row r="779" spans="1:4">
      <c r="A779" s="10" t="s">
        <v>98</v>
      </c>
      <c r="B779" s="11">
        <v>41364</v>
      </c>
      <c r="C779" s="12">
        <v>1.25431512108453E-2</v>
      </c>
      <c r="D779" s="13">
        <v>1.5167999999999999E-2</v>
      </c>
    </row>
    <row r="780" spans="1:4">
      <c r="A780" s="10" t="s">
        <v>98</v>
      </c>
      <c r="B780" s="11">
        <v>41333</v>
      </c>
      <c r="C780" s="12">
        <v>-9.5302897526951206E-3</v>
      </c>
      <c r="D780" s="13">
        <v>1.24E-3</v>
      </c>
    </row>
    <row r="781" spans="1:4">
      <c r="A781" s="10" t="s">
        <v>98</v>
      </c>
      <c r="B781" s="11">
        <v>41305</v>
      </c>
      <c r="C781" s="12">
        <v>2.56417781502007E-2</v>
      </c>
      <c r="D781" s="13">
        <v>3.5685000000000001E-2</v>
      </c>
    </row>
    <row r="782" spans="1:4">
      <c r="A782" s="10" t="s">
        <v>98</v>
      </c>
      <c r="B782" s="11">
        <v>41274</v>
      </c>
      <c r="C782" s="12">
        <v>2.0414153797652299E-2</v>
      </c>
      <c r="D782" s="13">
        <v>1.8223E-2</v>
      </c>
    </row>
    <row r="783" spans="1:4">
      <c r="A783" s="10" t="s">
        <v>98</v>
      </c>
      <c r="B783" s="11">
        <v>41243</v>
      </c>
      <c r="C783" s="12">
        <v>2.30121439593908E-4</v>
      </c>
      <c r="D783" s="13">
        <v>1.0932000000000001E-2</v>
      </c>
    </row>
    <row r="784" spans="1:4">
      <c r="A784" s="10" t="s">
        <v>98</v>
      </c>
      <c r="B784" s="11">
        <v>41213</v>
      </c>
      <c r="C784" s="12">
        <v>-6.6655562960158997E-3</v>
      </c>
      <c r="D784" s="13">
        <v>-4.7330000000000002E-3</v>
      </c>
    </row>
    <row r="785" spans="1:4">
      <c r="A785" s="10" t="s">
        <v>98</v>
      </c>
      <c r="B785" s="11">
        <v>41182</v>
      </c>
      <c r="C785" s="12">
        <v>1.9883600247286699E-2</v>
      </c>
      <c r="D785" s="13">
        <v>2.5807E-2</v>
      </c>
    </row>
    <row r="786" spans="1:4">
      <c r="A786" s="10" t="s">
        <v>98</v>
      </c>
      <c r="B786" s="11">
        <v>41152</v>
      </c>
      <c r="C786" s="12">
        <v>1.5614834459540801E-2</v>
      </c>
      <c r="D786" s="13">
        <v>1.7926000000000001E-2</v>
      </c>
    </row>
    <row r="787" spans="1:4">
      <c r="A787" s="10" t="s">
        <v>98</v>
      </c>
      <c r="B787" s="11">
        <v>41121</v>
      </c>
      <c r="C787" s="12">
        <v>1.6852743269147399E-2</v>
      </c>
      <c r="D787" s="13">
        <v>1.3972999999999999E-2</v>
      </c>
    </row>
    <row r="788" spans="1:4">
      <c r="A788" s="10" t="s">
        <v>98</v>
      </c>
      <c r="B788" s="11">
        <v>41090</v>
      </c>
      <c r="C788" s="12">
        <v>3.0994726336346999E-2</v>
      </c>
      <c r="D788" s="13">
        <v>3.9987000000000002E-2</v>
      </c>
    </row>
    <row r="789" spans="1:4">
      <c r="A789" s="10" t="s">
        <v>98</v>
      </c>
      <c r="B789" s="11">
        <v>41060</v>
      </c>
      <c r="C789" s="12">
        <v>-5.9558666840968701E-2</v>
      </c>
      <c r="D789" s="13">
        <v>-6.9200999999999999E-2</v>
      </c>
    </row>
    <row r="790" spans="1:4">
      <c r="A790" s="10" t="s">
        <v>98</v>
      </c>
      <c r="B790" s="11">
        <v>41029</v>
      </c>
      <c r="C790" s="12">
        <v>2.60389969771111E-3</v>
      </c>
      <c r="D790" s="13">
        <v>-6.4140000000000004E-3</v>
      </c>
    </row>
    <row r="791" spans="1:4">
      <c r="A791" s="10" t="s">
        <v>98</v>
      </c>
      <c r="B791" s="11">
        <v>40999</v>
      </c>
      <c r="C791" s="12">
        <v>1.5105432922469301E-2</v>
      </c>
      <c r="D791" s="13">
        <v>4.6090000000000002E-3</v>
      </c>
    </row>
    <row r="792" spans="1:4">
      <c r="A792" s="10" t="s">
        <v>98</v>
      </c>
      <c r="B792" s="11">
        <v>40968</v>
      </c>
      <c r="C792" s="12">
        <v>2.0351609813957099E-2</v>
      </c>
      <c r="D792" s="13">
        <v>4.0606999999999997E-2</v>
      </c>
    </row>
    <row r="793" spans="1:4">
      <c r="A793" s="10" t="s">
        <v>98</v>
      </c>
      <c r="B793" s="11">
        <v>40939</v>
      </c>
      <c r="C793" s="12">
        <v>4.4820083582073497E-2</v>
      </c>
      <c r="D793" s="13">
        <v>4.8495999999999997E-2</v>
      </c>
    </row>
    <row r="794" spans="1:4">
      <c r="A794" s="10" t="s">
        <v>98</v>
      </c>
      <c r="B794" s="11">
        <v>40908</v>
      </c>
      <c r="C794" s="12">
        <v>-9.3181946571754305E-3</v>
      </c>
      <c r="D794" s="13">
        <v>8.5599999999999999E-4</v>
      </c>
    </row>
    <row r="795" spans="1:4">
      <c r="A795" s="10" t="s">
        <v>98</v>
      </c>
      <c r="B795" s="11">
        <v>40877</v>
      </c>
      <c r="C795" s="12">
        <v>-1.2957745579036601E-3</v>
      </c>
      <c r="D795" s="13">
        <v>-2.3723000000000001E-2</v>
      </c>
    </row>
    <row r="796" spans="1:4">
      <c r="A796" s="10" t="s">
        <v>98</v>
      </c>
      <c r="B796" s="11">
        <v>40847</v>
      </c>
      <c r="C796" s="12">
        <v>6.0131767725693903E-2</v>
      </c>
      <c r="D796" s="13">
        <v>8.6140999999999995E-2</v>
      </c>
    </row>
    <row r="797" spans="1:4">
      <c r="A797" s="10" t="s">
        <v>98</v>
      </c>
      <c r="B797" s="11">
        <v>40816</v>
      </c>
      <c r="C797" s="12">
        <v>-8.5993296415040096E-2</v>
      </c>
      <c r="D797" s="13">
        <v>-7.3784000000000002E-2</v>
      </c>
    </row>
    <row r="798" spans="1:4">
      <c r="A798" s="10" t="s">
        <v>98</v>
      </c>
      <c r="B798" s="11">
        <v>40786</v>
      </c>
      <c r="C798" s="12">
        <v>-2.623429868527E-2</v>
      </c>
      <c r="D798" s="13">
        <v>-5.5190000000000003E-2</v>
      </c>
    </row>
    <row r="799" spans="1:4">
      <c r="A799" s="10" t="s">
        <v>98</v>
      </c>
      <c r="B799" s="11">
        <v>40755</v>
      </c>
      <c r="C799" s="12">
        <v>5.5057248101606998E-3</v>
      </c>
      <c r="D799" s="13">
        <v>-9.5940000000000001E-3</v>
      </c>
    </row>
    <row r="800" spans="1:4">
      <c r="A800" s="10" t="s">
        <v>98</v>
      </c>
      <c r="B800" s="11">
        <v>40724</v>
      </c>
      <c r="C800" s="12">
        <v>-1.16024613205394E-2</v>
      </c>
      <c r="D800" s="13">
        <v>-1.2881E-2</v>
      </c>
    </row>
    <row r="801" spans="1:4">
      <c r="A801" s="10" t="s">
        <v>98</v>
      </c>
      <c r="B801" s="11">
        <v>40694</v>
      </c>
      <c r="C801" s="12">
        <v>-2.05271434430302E-2</v>
      </c>
      <c r="D801" s="13">
        <v>-1.3839000000000001E-2</v>
      </c>
    </row>
    <row r="802" spans="1:4">
      <c r="A802" s="10" t="s">
        <v>98</v>
      </c>
      <c r="B802" s="11">
        <v>40663</v>
      </c>
      <c r="C802" s="12">
        <v>3.38457119815802E-2</v>
      </c>
      <c r="D802" s="13">
        <v>3.5728999999999997E-2</v>
      </c>
    </row>
    <row r="803" spans="1:4">
      <c r="A803" s="10" t="s">
        <v>98</v>
      </c>
      <c r="B803" s="11">
        <v>40633</v>
      </c>
      <c r="C803" s="12">
        <v>1.44908705896522E-2</v>
      </c>
      <c r="D803" s="13">
        <v>-3.5599999999999998E-4</v>
      </c>
    </row>
    <row r="804" spans="1:4">
      <c r="A804" s="10" t="s">
        <v>98</v>
      </c>
      <c r="B804" s="11">
        <v>40602</v>
      </c>
      <c r="C804" s="12">
        <v>3.02819737931934E-2</v>
      </c>
      <c r="D804" s="13">
        <v>2.4124E-2</v>
      </c>
    </row>
    <row r="805" spans="1:4">
      <c r="A805" s="10" t="s">
        <v>98</v>
      </c>
      <c r="B805" s="11">
        <v>40574</v>
      </c>
      <c r="C805" s="12">
        <v>-5.0663181238564201E-3</v>
      </c>
      <c r="D805" s="13">
        <v>1.2968E-2</v>
      </c>
    </row>
    <row r="806" spans="1:4">
      <c r="A806" s="10" t="s">
        <v>98</v>
      </c>
      <c r="B806" s="11">
        <v>40543</v>
      </c>
      <c r="C806" s="12">
        <v>4.8592869160499E-2</v>
      </c>
      <c r="D806" s="13">
        <v>5.6662999999999998E-2</v>
      </c>
    </row>
    <row r="807" spans="1:4">
      <c r="A807" s="10" t="s">
        <v>98</v>
      </c>
      <c r="B807" s="11">
        <v>40512</v>
      </c>
      <c r="C807" s="12">
        <v>-4.6698347264643699E-3</v>
      </c>
      <c r="D807" s="13">
        <v>-1.8620000000000001E-2</v>
      </c>
    </row>
    <row r="808" spans="1:4">
      <c r="A808" s="10" t="s">
        <v>98</v>
      </c>
      <c r="B808" s="11">
        <v>40482</v>
      </c>
      <c r="C808" s="12">
        <v>2.85763978934254E-2</v>
      </c>
      <c r="D808" s="13">
        <v>2.9787999999999999E-2</v>
      </c>
    </row>
    <row r="809" spans="1:4">
      <c r="A809" s="10" t="s">
        <v>98</v>
      </c>
      <c r="B809" s="11">
        <v>40451</v>
      </c>
      <c r="C809" s="12">
        <v>6.7715531977900506E-2</v>
      </c>
      <c r="D809" s="13">
        <v>7.7027999999999999E-2</v>
      </c>
    </row>
    <row r="810" spans="1:4">
      <c r="A810" s="10" t="s">
        <v>98</v>
      </c>
      <c r="B810" s="11">
        <v>40421</v>
      </c>
      <c r="C810" s="12">
        <v>-1.62908310900125E-2</v>
      </c>
      <c r="D810" s="13">
        <v>-2.5075E-2</v>
      </c>
    </row>
    <row r="811" spans="1:4">
      <c r="A811" s="10" t="s">
        <v>98</v>
      </c>
      <c r="B811" s="11">
        <v>40390</v>
      </c>
      <c r="C811" s="12">
        <v>5.74614002826652E-2</v>
      </c>
      <c r="D811" s="13">
        <v>6.7482E-2</v>
      </c>
    </row>
    <row r="812" spans="1:4">
      <c r="A812" s="10" t="s">
        <v>98</v>
      </c>
      <c r="B812" s="11">
        <v>40359</v>
      </c>
      <c r="C812" s="12">
        <v>-2.1732420856160801E-2</v>
      </c>
      <c r="D812" s="13">
        <v>-2.1229000000000001E-2</v>
      </c>
    </row>
    <row r="813" spans="1:4">
      <c r="A813" s="10" t="s">
        <v>98</v>
      </c>
      <c r="B813" s="11">
        <v>40329</v>
      </c>
      <c r="C813" s="12">
        <v>-6.2785933462406907E-2</v>
      </c>
      <c r="D813" s="13">
        <v>-7.3457999999999996E-2</v>
      </c>
    </row>
    <row r="814" spans="1:4">
      <c r="A814" s="10" t="s">
        <v>98</v>
      </c>
      <c r="B814" s="11">
        <v>40298</v>
      </c>
      <c r="C814" s="12">
        <v>1.043E-2</v>
      </c>
      <c r="D814" s="13">
        <v>3.8440000000000002E-3</v>
      </c>
    </row>
    <row r="815" spans="1:4">
      <c r="A815" s="10" t="s">
        <v>98</v>
      </c>
      <c r="B815" s="11">
        <v>40268</v>
      </c>
      <c r="C815" s="12"/>
      <c r="D815" s="13"/>
    </row>
    <row r="816" spans="1:4">
      <c r="A816" s="10" t="s">
        <v>98</v>
      </c>
      <c r="B816" s="11">
        <v>40237</v>
      </c>
      <c r="C816" s="12"/>
      <c r="D816" s="13"/>
    </row>
    <row r="817" spans="1:4">
      <c r="A817" s="14" t="s">
        <v>98</v>
      </c>
      <c r="B817" s="15">
        <v>40209</v>
      </c>
      <c r="C817" s="16"/>
      <c r="D817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EF50-A0F1-4553-BD4F-3F4B9EE3E299}">
  <dimension ref="A1:AK199"/>
  <sheetViews>
    <sheetView workbookViewId="0">
      <selection activeCell="E12" sqref="E12"/>
    </sheetView>
  </sheetViews>
  <sheetFormatPr defaultRowHeight="15"/>
  <cols>
    <col min="1" max="1" width="10.7109375" style="28" bestFit="1" customWidth="1"/>
    <col min="2" max="2" width="13.7109375" style="28" bestFit="1" customWidth="1"/>
    <col min="3" max="3" width="10.5703125" style="28" customWidth="1"/>
    <col min="4" max="4" width="10.85546875" style="28" bestFit="1" customWidth="1"/>
    <col min="5" max="5" width="10.5703125" style="28" customWidth="1"/>
    <col min="6" max="6" width="12.7109375" style="28" bestFit="1" customWidth="1"/>
    <col min="7" max="7" width="12.5703125" style="28" customWidth="1"/>
    <col min="8" max="8" width="15.5703125" style="28" bestFit="1" customWidth="1"/>
    <col min="9" max="9" width="9.28515625" style="28" bestFit="1" customWidth="1"/>
    <col min="10" max="10" width="9.140625" style="28"/>
    <col min="11" max="11" width="17.7109375" style="28" bestFit="1" customWidth="1"/>
    <col min="12" max="13" width="9.28515625" style="28" bestFit="1" customWidth="1"/>
    <col min="14" max="14" width="14.5703125" style="28" bestFit="1" customWidth="1"/>
    <col min="15" max="15" width="9.28515625" style="28" bestFit="1" customWidth="1"/>
    <col min="16" max="16" width="16.5703125" style="28" bestFit="1" customWidth="1"/>
    <col min="17" max="17" width="9.28515625" style="28" bestFit="1" customWidth="1"/>
    <col min="18" max="18" width="19.5703125" style="28" bestFit="1" customWidth="1"/>
    <col min="19" max="19" width="9.28515625" style="28" bestFit="1" customWidth="1"/>
    <col min="20" max="20" width="9.140625" style="28"/>
    <col min="21" max="21" width="11.5703125" style="28" bestFit="1" customWidth="1"/>
    <col min="22" max="23" width="9.28515625" style="28" bestFit="1" customWidth="1"/>
    <col min="24" max="24" width="18.5703125" style="28" bestFit="1" customWidth="1"/>
    <col min="25" max="25" width="9.28515625" style="28" bestFit="1" customWidth="1"/>
    <col min="26" max="26" width="19.140625" style="28" bestFit="1" customWidth="1"/>
    <col min="27" max="27" width="9.28515625" style="28" bestFit="1" customWidth="1"/>
    <col min="28" max="28" width="9.140625" style="28"/>
    <col min="29" max="29" width="15.42578125" style="28" bestFit="1" customWidth="1"/>
    <col min="30" max="31" width="9.28515625" style="28" bestFit="1" customWidth="1"/>
    <col min="32" max="32" width="12.5703125" style="28" bestFit="1" customWidth="1"/>
    <col min="33" max="33" width="9.28515625" style="28" bestFit="1" customWidth="1"/>
    <col min="34" max="34" width="14.42578125" style="28" bestFit="1" customWidth="1"/>
    <col min="35" max="35" width="9.28515625" style="28" bestFit="1" customWidth="1"/>
    <col min="36" max="36" width="17.42578125" style="28" bestFit="1" customWidth="1"/>
    <col min="37" max="37" width="9.28515625" style="28" bestFit="1" customWidth="1"/>
    <col min="38" max="16384" width="9.140625" style="28"/>
  </cols>
  <sheetData>
    <row r="1" spans="1:37">
      <c r="A1" s="27">
        <v>36525</v>
      </c>
      <c r="B1" s="28" t="s">
        <v>107</v>
      </c>
      <c r="D1" s="28" t="s">
        <v>108</v>
      </c>
      <c r="F1" s="28" t="s">
        <v>109</v>
      </c>
      <c r="H1" s="28" t="s">
        <v>110</v>
      </c>
      <c r="K1" s="28" t="s">
        <v>111</v>
      </c>
      <c r="N1" s="28" t="s">
        <v>115</v>
      </c>
      <c r="P1" s="28" t="s">
        <v>116</v>
      </c>
      <c r="R1" s="28" t="s">
        <v>114</v>
      </c>
      <c r="U1" s="28" t="s">
        <v>120</v>
      </c>
      <c r="X1" s="28" t="s">
        <v>121</v>
      </c>
      <c r="Z1" s="28" t="s">
        <v>122</v>
      </c>
      <c r="AC1" s="28" t="s">
        <v>127</v>
      </c>
      <c r="AF1" s="28" t="s">
        <v>128</v>
      </c>
      <c r="AH1" s="28" t="s">
        <v>129</v>
      </c>
      <c r="AJ1" s="28" t="s">
        <v>130</v>
      </c>
    </row>
    <row r="2" spans="1:37">
      <c r="B2" s="28" t="s">
        <v>101</v>
      </c>
      <c r="D2" s="28" t="s">
        <v>102</v>
      </c>
      <c r="F2" s="28" t="s">
        <v>103</v>
      </c>
      <c r="H2" s="28" t="s">
        <v>104</v>
      </c>
      <c r="K2" s="28" t="s">
        <v>105</v>
      </c>
      <c r="N2" s="28" t="s">
        <v>106</v>
      </c>
      <c r="P2" s="28" t="s">
        <v>112</v>
      </c>
      <c r="R2" s="28" t="s">
        <v>113</v>
      </c>
      <c r="U2" s="28" t="s">
        <v>117</v>
      </c>
      <c r="X2" s="28" t="s">
        <v>118</v>
      </c>
      <c r="Z2" s="28" t="s">
        <v>119</v>
      </c>
      <c r="AC2" s="28" t="s">
        <v>123</v>
      </c>
      <c r="AF2" s="28" t="s">
        <v>124</v>
      </c>
      <c r="AH2" s="28" t="s">
        <v>125</v>
      </c>
      <c r="AJ2" s="28" t="s">
        <v>126</v>
      </c>
    </row>
    <row r="3" spans="1:37">
      <c r="A3" s="27" cm="1">
        <f t="array" ref="A3:B199">_xll.BDH(B2,"PX_LAST",$A$1,$I$2,"PER=M")</f>
        <v>40209</v>
      </c>
      <c r="B3" s="28">
        <v>94.844499999999996</v>
      </c>
      <c r="D3" s="28" cm="1">
        <f t="array" ref="D3:D199">_xll.BDH(B2,"PX_LAST",$A$1,$A$2,"PER=M","DATES=H")</f>
        <v>94.844499999999996</v>
      </c>
      <c r="F3" s="28" cm="1">
        <f t="array" ref="F3:F199">_xll.BDH(D2,"PX_LAST",$A$1,$A$2,"PER=M","DATES=H")</f>
        <v>96.194800000000001</v>
      </c>
      <c r="H3" s="28" cm="1">
        <f t="array" ref="H3:H199">_xll.BDH(F2,"PX_LAST",$A$1,$A$2,"PER=M","DATES=H")</f>
        <v>97.552300000000002</v>
      </c>
      <c r="K3" s="27" cm="1">
        <f t="array" ref="K3:L199">_xll.BDH(K2,"PX_LAST",$A$1,$A$2,"PER=M")</f>
        <v>40209</v>
      </c>
      <c r="L3" s="28">
        <v>94.844499999999996</v>
      </c>
      <c r="N3" s="28" cm="1">
        <f t="array" ref="N3:N199">_xll.BDH(N2,"PX_LAST",$A$1,$A$2,"PER=M","DATES=H")</f>
        <v>96.044600000000003</v>
      </c>
      <c r="P3" s="28" cm="1">
        <f t="array" ref="P3:P199">_xll.BDH(P2,"PX_LAST",$A$1,$A$2,"PER=M","DATES=H")</f>
        <v>97.248199999999997</v>
      </c>
      <c r="R3" s="28" cm="1">
        <f t="array" ref="R3:R199">_xll.BDH(R2,"PX_LAST",$A$1,$A$2,"PER=M","DATES=H")</f>
        <v>98.455299999999994</v>
      </c>
      <c r="U3" s="27" cm="1">
        <f t="array" ref="U3:V67">_xll.BDH(U2,"PX_LAST",$A$1,$A$2,"PER=M")</f>
        <v>44227</v>
      </c>
      <c r="V3" s="28">
        <v>99.142600000000002</v>
      </c>
      <c r="X3" s="28" cm="1">
        <f t="array" ref="X3:X67">_xll.BDH(X2,"PX_LAST",$A$1,$A$2,"PER=M","DATES=H")</f>
        <v>100.0429</v>
      </c>
      <c r="Z3" s="28" cm="1">
        <f t="array" ref="Z3:Z67">_xll.BDH(Z2,"PX_LAST",$A$1,$A$2,"PER=M","DATES=H")</f>
        <v>99.406199999999998</v>
      </c>
      <c r="AC3" s="27" cm="1">
        <f t="array" ref="AC3:AD19">_xll.BDH(AC2,"PX_LAST",$A$1,$A$2,"PER=M")</f>
        <v>45688</v>
      </c>
      <c r="AD3" s="28">
        <v>102.8613</v>
      </c>
      <c r="AF3" s="28" cm="1">
        <f t="array" ref="AF3:AF19">_xll.BDH(AF2,"PX_LAST",$A$1,$A$2,"PER=M","DATES=H")</f>
        <v>102.29770000000001</v>
      </c>
      <c r="AH3" s="28" cm="1">
        <f t="array" ref="AH3:AH19">_xll.BDH(AH2,"PX_LAST",$A$1,$A$2,"PER=M","DATES=H")</f>
        <v>101.75530000000001</v>
      </c>
      <c r="AJ3" s="28" cm="1">
        <f t="array" ref="AJ3:AJ19">_xll.BDH(AJ2,"PX_LAST",$A$1,$A$2,"PER=M","DATES=H")</f>
        <v>101.2235</v>
      </c>
    </row>
    <row r="4" spans="1:37">
      <c r="A4" s="27">
        <v>40237</v>
      </c>
      <c r="B4" s="28">
        <v>97.591700000000003</v>
      </c>
      <c r="C4" s="29">
        <f>B4/B3-1</f>
        <v>2.8965306369900246E-2</v>
      </c>
      <c r="D4" s="28">
        <v>97.591700000000003</v>
      </c>
      <c r="E4" s="29">
        <f>D4/D3-1</f>
        <v>2.8965306369900246E-2</v>
      </c>
      <c r="F4" s="28">
        <v>98.496099999999998</v>
      </c>
      <c r="G4" s="29">
        <f>F4/F3-1</f>
        <v>2.3923330575041479E-2</v>
      </c>
      <c r="H4" s="28">
        <v>99.353200000000001</v>
      </c>
      <c r="I4" s="29">
        <f>H4/H3-1</f>
        <v>1.8460866632565187E-2</v>
      </c>
      <c r="J4" s="29"/>
      <c r="K4" s="27">
        <v>40237</v>
      </c>
      <c r="L4" s="28">
        <v>97.591700000000003</v>
      </c>
      <c r="M4" s="29">
        <f>L4/L3-1</f>
        <v>2.8965306369900246E-2</v>
      </c>
      <c r="N4" s="28">
        <v>98.395600000000002</v>
      </c>
      <c r="O4" s="29">
        <f>N4/N3-1</f>
        <v>2.4478211164396635E-2</v>
      </c>
      <c r="P4" s="28">
        <v>99.161699999999996</v>
      </c>
      <c r="Q4" s="29">
        <f>P4/P3-1</f>
        <v>1.9676456736474224E-2</v>
      </c>
      <c r="R4" s="28">
        <v>99.908900000000003</v>
      </c>
      <c r="S4" s="29">
        <f>R4/R3-1</f>
        <v>1.4764060441642135E-2</v>
      </c>
      <c r="U4" s="27">
        <v>44255</v>
      </c>
      <c r="V4" s="28">
        <v>100.3843</v>
      </c>
      <c r="W4" s="29">
        <f>V4/V3-1</f>
        <v>1.2524384069007688E-2</v>
      </c>
      <c r="X4" s="28">
        <v>102.3522</v>
      </c>
      <c r="Y4" s="29">
        <f>X4/X3-1</f>
        <v>2.3083097351236148E-2</v>
      </c>
      <c r="Z4" s="28">
        <v>98.930599999999998</v>
      </c>
      <c r="AA4" s="29">
        <f>Z4/Z3-1</f>
        <v>-4.784409825544067E-3</v>
      </c>
      <c r="AC4" s="27">
        <v>45716</v>
      </c>
      <c r="AD4" s="28">
        <v>101.0724</v>
      </c>
      <c r="AE4" s="29">
        <f>AD4/AD3-1</f>
        <v>-1.7391380431707515E-2</v>
      </c>
      <c r="AF4" s="28">
        <v>101.1221</v>
      </c>
      <c r="AG4" s="29">
        <f>AF4/AF3-1</f>
        <v>-1.1491949476869934E-2</v>
      </c>
      <c r="AH4" s="28">
        <v>101.1733</v>
      </c>
      <c r="AI4" s="29">
        <f>AH4/AH3-1</f>
        <v>-5.7196037945935752E-3</v>
      </c>
      <c r="AJ4" s="28">
        <v>101.2257</v>
      </c>
      <c r="AK4" s="29">
        <f>AJ4/AJ3-1</f>
        <v>2.1734083488489375E-5</v>
      </c>
    </row>
    <row r="5" spans="1:37">
      <c r="A5" s="27">
        <v>40268</v>
      </c>
      <c r="B5" s="28">
        <v>103.03570000000001</v>
      </c>
      <c r="C5" s="29">
        <f t="shared" ref="C5:E68" si="0">B5/B4-1</f>
        <v>5.578343240255057E-2</v>
      </c>
      <c r="D5" s="28">
        <v>103.03570000000001</v>
      </c>
      <c r="E5" s="29">
        <f t="shared" si="0"/>
        <v>5.578343240255057E-2</v>
      </c>
      <c r="F5" s="28">
        <v>103.1472</v>
      </c>
      <c r="G5" s="29">
        <f t="shared" ref="G5:I5" si="1">F5/F4-1</f>
        <v>4.7221159010356839E-2</v>
      </c>
      <c r="H5" s="28">
        <v>102.9178</v>
      </c>
      <c r="I5" s="29">
        <f t="shared" si="1"/>
        <v>3.5878059287471453E-2</v>
      </c>
      <c r="J5" s="29"/>
      <c r="K5" s="27">
        <v>40268</v>
      </c>
      <c r="L5" s="28">
        <v>103.03570000000001</v>
      </c>
      <c r="M5" s="29">
        <f t="shared" ref="M5" si="2">L5/L4-1</f>
        <v>5.578343240255057E-2</v>
      </c>
      <c r="N5" s="28">
        <v>102.8674</v>
      </c>
      <c r="O5" s="29">
        <f t="shared" ref="O5:Q5" si="3">N5/N4-1</f>
        <v>4.5447154141038837E-2</v>
      </c>
      <c r="P5" s="28">
        <v>102.3135</v>
      </c>
      <c r="Q5" s="29">
        <f t="shared" si="3"/>
        <v>3.178444903627109E-2</v>
      </c>
      <c r="R5" s="28">
        <v>101.73309999999999</v>
      </c>
      <c r="S5" s="29">
        <f t="shared" ref="S5" si="4">R5/R4-1</f>
        <v>1.8258633615223285E-2</v>
      </c>
      <c r="U5" s="27">
        <v>44286</v>
      </c>
      <c r="V5" s="28">
        <v>102.73909999999999</v>
      </c>
      <c r="W5" s="29">
        <f t="shared" ref="W5:W67" si="5">V5/V4-1</f>
        <v>2.3457851476774705E-2</v>
      </c>
      <c r="X5" s="28">
        <v>105.48779999999999</v>
      </c>
      <c r="Y5" s="29">
        <f t="shared" ref="Y5:AA67" si="6">X5/X4-1</f>
        <v>3.0635394256303128E-2</v>
      </c>
      <c r="Z5" s="28">
        <v>99.901300000000006</v>
      </c>
      <c r="AA5" s="29">
        <f t="shared" si="6"/>
        <v>9.8119287662261634E-3</v>
      </c>
      <c r="AC5" s="27">
        <v>45747</v>
      </c>
      <c r="AD5" s="28">
        <v>94.9726</v>
      </c>
      <c r="AE5" s="29">
        <f t="shared" ref="AE5:AE19" si="7">AD5/AD4-1</f>
        <v>-6.0350798041799769E-2</v>
      </c>
      <c r="AF5" s="28">
        <v>95.860399999999998</v>
      </c>
      <c r="AG5" s="29">
        <f t="shared" ref="AG5:AG19" si="8">AF5/AF4-1</f>
        <v>-5.2033136178936235E-2</v>
      </c>
      <c r="AH5" s="28">
        <v>96.745500000000007</v>
      </c>
      <c r="AI5" s="29">
        <f t="shared" ref="AI5:AI19" si="9">AH5/AH4-1</f>
        <v>-4.3764510992524652E-2</v>
      </c>
      <c r="AJ5" s="28">
        <v>97.632300000000001</v>
      </c>
      <c r="AK5" s="29">
        <f t="shared" ref="AK5:AK19" si="10">AJ5/AJ4-1</f>
        <v>-3.5498890103995318E-2</v>
      </c>
    </row>
    <row r="6" spans="1:37">
      <c r="A6" s="27">
        <v>40298</v>
      </c>
      <c r="B6" s="28">
        <v>104.37309999999999</v>
      </c>
      <c r="C6" s="29">
        <f t="shared" si="0"/>
        <v>1.2979967137603632E-2</v>
      </c>
      <c r="D6" s="28">
        <v>104.37309999999999</v>
      </c>
      <c r="E6" s="29">
        <f t="shared" si="0"/>
        <v>1.2979967137603632E-2</v>
      </c>
      <c r="F6" s="28">
        <v>104.49120000000001</v>
      </c>
      <c r="G6" s="29">
        <f t="shared" ref="G6:I6" si="11">F6/F5-1</f>
        <v>1.3029922285820783E-2</v>
      </c>
      <c r="H6" s="28">
        <v>104.255</v>
      </c>
      <c r="I6" s="29">
        <f t="shared" si="11"/>
        <v>1.2992893357611557E-2</v>
      </c>
      <c r="J6" s="29"/>
      <c r="K6" s="27">
        <v>40298</v>
      </c>
      <c r="L6" s="28">
        <v>104.37309999999999</v>
      </c>
      <c r="M6" s="29">
        <f t="shared" ref="M6" si="12">L6/L5-1</f>
        <v>1.2979967137603632E-2</v>
      </c>
      <c r="N6" s="28">
        <v>104.2041</v>
      </c>
      <c r="O6" s="29">
        <f t="shared" ref="O6:Q6" si="13">N6/N5-1</f>
        <v>1.2994398614138092E-2</v>
      </c>
      <c r="P6" s="28">
        <v>103.63549999999999</v>
      </c>
      <c r="Q6" s="29">
        <f t="shared" si="13"/>
        <v>1.2921071021908093E-2</v>
      </c>
      <c r="R6" s="28">
        <v>103.0295</v>
      </c>
      <c r="S6" s="29">
        <f t="shared" ref="S6" si="14">R6/R5-1</f>
        <v>1.2743148493459922E-2</v>
      </c>
      <c r="U6" s="27">
        <v>44316</v>
      </c>
      <c r="V6" s="28">
        <v>107.9628</v>
      </c>
      <c r="W6" s="29">
        <f t="shared" si="5"/>
        <v>5.0844323144742409E-2</v>
      </c>
      <c r="X6" s="28">
        <v>109.1506</v>
      </c>
      <c r="Y6" s="29">
        <f t="shared" si="6"/>
        <v>3.4722498715491268E-2</v>
      </c>
      <c r="Z6" s="28">
        <v>102.45959999999999</v>
      </c>
      <c r="AA6" s="29">
        <f t="shared" si="6"/>
        <v>2.560827536778798E-2</v>
      </c>
      <c r="AC6" s="27">
        <v>45777</v>
      </c>
      <c r="AD6" s="28">
        <v>95.295299999999997</v>
      </c>
      <c r="AE6" s="29">
        <f t="shared" si="7"/>
        <v>3.3978221086923277E-3</v>
      </c>
      <c r="AF6" s="28">
        <v>96.019400000000005</v>
      </c>
      <c r="AG6" s="29">
        <f t="shared" si="8"/>
        <v>1.6586619709495487E-3</v>
      </c>
      <c r="AH6" s="28">
        <v>96.700299999999999</v>
      </c>
      <c r="AI6" s="29">
        <f t="shared" si="9"/>
        <v>-4.6720519300647023E-4</v>
      </c>
      <c r="AJ6" s="28">
        <v>97.361500000000007</v>
      </c>
      <c r="AK6" s="29">
        <f t="shared" si="10"/>
        <v>-2.7736722375688583E-3</v>
      </c>
    </row>
    <row r="7" spans="1:37">
      <c r="A7" s="27">
        <v>40329</v>
      </c>
      <c r="B7" s="28">
        <v>95.912599999999998</v>
      </c>
      <c r="C7" s="29">
        <f t="shared" si="0"/>
        <v>-8.1060158220844225E-2</v>
      </c>
      <c r="D7" s="28">
        <v>95.912599999999998</v>
      </c>
      <c r="E7" s="29">
        <f t="shared" si="0"/>
        <v>-8.1060158220844225E-2</v>
      </c>
      <c r="F7" s="28">
        <v>97.417299999999997</v>
      </c>
      <c r="G7" s="29">
        <f t="shared" ref="G7:I7" si="15">F7/F6-1</f>
        <v>-6.7698523894835216E-2</v>
      </c>
      <c r="H7" s="28">
        <v>98.967100000000002</v>
      </c>
      <c r="I7" s="29">
        <f t="shared" si="15"/>
        <v>-5.0720828737230716E-2</v>
      </c>
      <c r="J7" s="29"/>
      <c r="K7" s="27">
        <v>40329</v>
      </c>
      <c r="L7" s="28">
        <v>95.912599999999998</v>
      </c>
      <c r="M7" s="29">
        <f t="shared" ref="M7" si="16">L7/L6-1</f>
        <v>-8.1060158220844225E-2</v>
      </c>
      <c r="N7" s="28">
        <v>97.250399999999999</v>
      </c>
      <c r="O7" s="29">
        <f t="shared" ref="O7:Q7" si="17">N7/N6-1</f>
        <v>-6.6731539354017766E-2</v>
      </c>
      <c r="P7" s="28">
        <v>98.612799999999993</v>
      </c>
      <c r="Q7" s="29">
        <f t="shared" si="17"/>
        <v>-4.8465052998248659E-2</v>
      </c>
      <c r="R7" s="28">
        <v>99.823099999999997</v>
      </c>
      <c r="S7" s="29">
        <f t="shared" ref="S7" si="18">R7/R6-1</f>
        <v>-3.1121183738638036E-2</v>
      </c>
      <c r="U7" s="27">
        <v>44347</v>
      </c>
      <c r="V7" s="28">
        <v>108.42319999999999</v>
      </c>
      <c r="W7" s="29">
        <f t="shared" si="5"/>
        <v>4.2644318228128864E-3</v>
      </c>
      <c r="X7" s="28">
        <v>109.79430000000001</v>
      </c>
      <c r="Y7" s="29">
        <f t="shared" si="6"/>
        <v>5.8973564964370784E-3</v>
      </c>
      <c r="Z7" s="28">
        <v>102.81950000000001</v>
      </c>
      <c r="AA7" s="29">
        <f t="shared" si="6"/>
        <v>3.5126039922077634E-3</v>
      </c>
      <c r="AC7" s="27">
        <v>45808</v>
      </c>
      <c r="AD7" s="28">
        <v>101.2586</v>
      </c>
      <c r="AE7" s="29">
        <f t="shared" si="7"/>
        <v>6.2577063087056795E-2</v>
      </c>
      <c r="AF7" s="28">
        <v>100.7085</v>
      </c>
      <c r="AG7" s="29">
        <f t="shared" si="8"/>
        <v>4.8834922942655234E-2</v>
      </c>
      <c r="AH7" s="28">
        <v>100.10250000000001</v>
      </c>
      <c r="AI7" s="29">
        <f t="shared" si="9"/>
        <v>3.5182931180151478E-2</v>
      </c>
      <c r="AJ7" s="28">
        <v>99.463800000000006</v>
      </c>
      <c r="AK7" s="29">
        <f t="shared" si="10"/>
        <v>2.1592724023356213E-2</v>
      </c>
    </row>
    <row r="8" spans="1:37">
      <c r="A8" s="27">
        <v>40359</v>
      </c>
      <c r="B8" s="28">
        <v>93.143600000000006</v>
      </c>
      <c r="C8" s="29">
        <f t="shared" si="0"/>
        <v>-2.8870033759902158E-2</v>
      </c>
      <c r="D8" s="28">
        <v>93.143600000000006</v>
      </c>
      <c r="E8" s="29">
        <f t="shared" si="0"/>
        <v>-2.8870033759902158E-2</v>
      </c>
      <c r="F8" s="28">
        <v>95.352999999999994</v>
      </c>
      <c r="G8" s="29">
        <f t="shared" ref="G8:I8" si="19">F8/F7-1</f>
        <v>-2.1190281397657329E-2</v>
      </c>
      <c r="H8" s="28">
        <v>97.8322</v>
      </c>
      <c r="I8" s="29">
        <f t="shared" si="19"/>
        <v>-1.1467447262777264E-2</v>
      </c>
      <c r="J8" s="29"/>
      <c r="K8" s="27">
        <v>40359</v>
      </c>
      <c r="L8" s="28">
        <v>93.143600000000006</v>
      </c>
      <c r="M8" s="29">
        <f t="shared" ref="M8" si="20">L8/L7-1</f>
        <v>-2.8870033759902158E-2</v>
      </c>
      <c r="N8" s="28">
        <v>94.977800000000002</v>
      </c>
      <c r="O8" s="29">
        <f t="shared" ref="O8:Q8" si="21">N8/N7-1</f>
        <v>-2.3368541414739652E-2</v>
      </c>
      <c r="P8" s="28">
        <v>96.989000000000004</v>
      </c>
      <c r="Q8" s="29">
        <f t="shared" si="21"/>
        <v>-1.6466422208881504E-2</v>
      </c>
      <c r="R8" s="28">
        <v>98.822699999999998</v>
      </c>
      <c r="S8" s="29">
        <f t="shared" ref="S8" si="22">R8/R7-1</f>
        <v>-1.002172843760607E-2</v>
      </c>
      <c r="U8" s="27">
        <v>44377</v>
      </c>
      <c r="V8" s="28">
        <v>108.43689999999999</v>
      </c>
      <c r="W8" s="29">
        <f t="shared" si="5"/>
        <v>1.2635672070193671E-4</v>
      </c>
      <c r="X8" s="28">
        <v>108.88939999999999</v>
      </c>
      <c r="Y8" s="29">
        <f t="shared" si="6"/>
        <v>-8.2417757570293348E-3</v>
      </c>
      <c r="Z8" s="28">
        <v>103.00660000000001</v>
      </c>
      <c r="AA8" s="29">
        <f t="shared" si="6"/>
        <v>1.8196937351377951E-3</v>
      </c>
      <c r="AC8" s="27">
        <v>45838</v>
      </c>
      <c r="AD8" s="28">
        <v>105.82040000000001</v>
      </c>
      <c r="AE8" s="29">
        <f t="shared" si="7"/>
        <v>4.5050988261737812E-2</v>
      </c>
      <c r="AF8" s="28">
        <v>104.5401</v>
      </c>
      <c r="AG8" s="29">
        <f t="shared" si="8"/>
        <v>3.8046440965757489E-2</v>
      </c>
      <c r="AH8" s="28">
        <v>103.17740000000001</v>
      </c>
      <c r="AI8" s="29">
        <f t="shared" si="9"/>
        <v>3.0717514547588642E-2</v>
      </c>
      <c r="AJ8" s="28">
        <v>101.7641</v>
      </c>
      <c r="AK8" s="29">
        <f t="shared" si="10"/>
        <v>2.312700701159609E-2</v>
      </c>
    </row>
    <row r="9" spans="1:37">
      <c r="A9" s="27">
        <v>40390</v>
      </c>
      <c r="B9" s="28">
        <v>99.737899999999996</v>
      </c>
      <c r="C9" s="29">
        <f t="shared" si="0"/>
        <v>7.0797134746777957E-2</v>
      </c>
      <c r="D9" s="28">
        <v>99.737899999999996</v>
      </c>
      <c r="E9" s="29">
        <f t="shared" si="0"/>
        <v>7.0797134746777957E-2</v>
      </c>
      <c r="F9" s="28">
        <v>101.18219999999999</v>
      </c>
      <c r="G9" s="29">
        <f t="shared" ref="G9:I9" si="23">F9/F8-1</f>
        <v>6.1132843224649402E-2</v>
      </c>
      <c r="H9" s="28">
        <v>102.6006</v>
      </c>
      <c r="I9" s="29">
        <f t="shared" si="23"/>
        <v>4.8740598698588045E-2</v>
      </c>
      <c r="J9" s="29"/>
      <c r="K9" s="27">
        <v>40390</v>
      </c>
      <c r="L9" s="28">
        <v>99.737899999999996</v>
      </c>
      <c r="M9" s="29">
        <f t="shared" ref="M9" si="24">L9/L8-1</f>
        <v>7.0797134746777957E-2</v>
      </c>
      <c r="N9" s="28">
        <v>100.7586</v>
      </c>
      <c r="O9" s="29">
        <f t="shared" ref="O9:Q9" si="25">N9/N8-1</f>
        <v>6.0864749446712718E-2</v>
      </c>
      <c r="P9" s="28">
        <v>101.65940000000001</v>
      </c>
      <c r="Q9" s="29">
        <f t="shared" si="25"/>
        <v>4.8153914361422467E-2</v>
      </c>
      <c r="R9" s="28">
        <v>102.3815</v>
      </c>
      <c r="S9" s="29">
        <f t="shared" ref="S9" si="26">R9/R8-1</f>
        <v>3.6011968909977154E-2</v>
      </c>
      <c r="U9" s="27">
        <v>44408</v>
      </c>
      <c r="V9" s="28">
        <v>108.31659999999999</v>
      </c>
      <c r="W9" s="29">
        <f t="shared" si="5"/>
        <v>-1.1094009511521952E-3</v>
      </c>
      <c r="X9" s="28">
        <v>108.2529</v>
      </c>
      <c r="Y9" s="29">
        <f t="shared" si="6"/>
        <v>-5.8453807257639046E-3</v>
      </c>
      <c r="Z9" s="28">
        <v>103.35720000000001</v>
      </c>
      <c r="AA9" s="29">
        <f t="shared" si="6"/>
        <v>3.4036653961979635E-3</v>
      </c>
      <c r="AC9" s="27">
        <v>45869</v>
      </c>
      <c r="AD9" s="28">
        <v>106.9559</v>
      </c>
      <c r="AE9" s="29">
        <f t="shared" si="7"/>
        <v>1.073044516936239E-2</v>
      </c>
      <c r="AF9" s="28">
        <v>105.3549</v>
      </c>
      <c r="AG9" s="29">
        <f t="shared" si="8"/>
        <v>7.7941383258672836E-3</v>
      </c>
      <c r="AH9" s="28">
        <v>103.6575</v>
      </c>
      <c r="AI9" s="29">
        <f t="shared" si="9"/>
        <v>4.6531507868969868E-3</v>
      </c>
      <c r="AJ9" s="28">
        <v>101.9088</v>
      </c>
      <c r="AK9" s="29">
        <f t="shared" si="10"/>
        <v>1.4219159801933667E-3</v>
      </c>
    </row>
    <row r="10" spans="1:37">
      <c r="A10" s="27">
        <v>40421</v>
      </c>
      <c r="B10" s="28">
        <v>97.229200000000006</v>
      </c>
      <c r="C10" s="29">
        <f t="shared" si="0"/>
        <v>-2.5152925818570426E-2</v>
      </c>
      <c r="D10" s="28">
        <v>97.229200000000006</v>
      </c>
      <c r="E10" s="29">
        <f t="shared" si="0"/>
        <v>-2.5152925818570426E-2</v>
      </c>
      <c r="F10" s="28">
        <v>99.320899999999995</v>
      </c>
      <c r="G10" s="29">
        <f t="shared" ref="G10:I10" si="27">F10/F9-1</f>
        <v>-1.8395528067189693E-2</v>
      </c>
      <c r="H10" s="28">
        <v>101.59869999999999</v>
      </c>
      <c r="I10" s="29">
        <f t="shared" si="27"/>
        <v>-9.7650501069195261E-3</v>
      </c>
      <c r="J10" s="29"/>
      <c r="K10" s="27">
        <v>40421</v>
      </c>
      <c r="L10" s="28">
        <v>97.229200000000006</v>
      </c>
      <c r="M10" s="29">
        <f t="shared" ref="M10" si="28">L10/L9-1</f>
        <v>-2.5152925818570426E-2</v>
      </c>
      <c r="N10" s="28">
        <v>99.013800000000003</v>
      </c>
      <c r="O10" s="29">
        <f t="shared" ref="O10:Q10" si="29">N10/N9-1</f>
        <v>-1.7316635999309216E-2</v>
      </c>
      <c r="P10" s="28">
        <v>100.92100000000001</v>
      </c>
      <c r="Q10" s="29">
        <f t="shared" si="29"/>
        <v>-7.2634699791657154E-3</v>
      </c>
      <c r="R10" s="28">
        <v>102.62350000000001</v>
      </c>
      <c r="S10" s="29">
        <f t="shared" ref="S10" si="30">R10/R9-1</f>
        <v>2.3637082871417192E-3</v>
      </c>
      <c r="U10" s="27">
        <v>44439</v>
      </c>
      <c r="V10" s="28">
        <v>110.923</v>
      </c>
      <c r="W10" s="29">
        <f t="shared" si="5"/>
        <v>2.4062793699211493E-2</v>
      </c>
      <c r="X10" s="28">
        <v>109.86920000000001</v>
      </c>
      <c r="Y10" s="29">
        <f t="shared" si="6"/>
        <v>1.4930777835974851E-2</v>
      </c>
      <c r="Z10" s="28">
        <v>104.4016</v>
      </c>
      <c r="AA10" s="29">
        <f t="shared" si="6"/>
        <v>1.0104762899923792E-2</v>
      </c>
      <c r="AC10" s="27">
        <v>45900</v>
      </c>
      <c r="AD10" s="28">
        <v>109.2623</v>
      </c>
      <c r="AE10" s="29">
        <f t="shared" si="7"/>
        <v>2.1564027790893281E-2</v>
      </c>
      <c r="AF10" s="28">
        <v>107.3562</v>
      </c>
      <c r="AG10" s="29">
        <f t="shared" si="8"/>
        <v>1.899579421555142E-2</v>
      </c>
      <c r="AH10" s="28">
        <v>105.36539999999999</v>
      </c>
      <c r="AI10" s="29">
        <f t="shared" si="9"/>
        <v>1.6476376528471226E-2</v>
      </c>
      <c r="AJ10" s="28">
        <v>103.3325</v>
      </c>
      <c r="AK10" s="29">
        <f t="shared" si="10"/>
        <v>1.3970334259651773E-2</v>
      </c>
    </row>
    <row r="11" spans="1:37">
      <c r="A11" s="27">
        <v>40451</v>
      </c>
      <c r="B11" s="28">
        <v>105.3633</v>
      </c>
      <c r="C11" s="29">
        <f t="shared" si="0"/>
        <v>8.3659024243745606E-2</v>
      </c>
      <c r="D11" s="28">
        <v>105.3633</v>
      </c>
      <c r="E11" s="29">
        <f t="shared" si="0"/>
        <v>8.3659024243745606E-2</v>
      </c>
      <c r="F11" s="28">
        <v>106.3702</v>
      </c>
      <c r="G11" s="29">
        <f t="shared" ref="G11:I11" si="31">F11/F10-1</f>
        <v>7.09749911650015E-2</v>
      </c>
      <c r="H11" s="28">
        <v>107.1698</v>
      </c>
      <c r="I11" s="29">
        <f t="shared" si="31"/>
        <v>5.4834363038109846E-2</v>
      </c>
      <c r="J11" s="29"/>
      <c r="K11" s="27">
        <v>40451</v>
      </c>
      <c r="L11" s="28">
        <v>105.3633</v>
      </c>
      <c r="M11" s="29">
        <f t="shared" ref="M11" si="32">L11/L10-1</f>
        <v>8.3659024243745606E-2</v>
      </c>
      <c r="N11" s="28">
        <v>105.8734</v>
      </c>
      <c r="O11" s="29">
        <f t="shared" ref="O11:Q11" si="33">N11/N10-1</f>
        <v>6.9279231783852424E-2</v>
      </c>
      <c r="P11" s="28">
        <v>106.0716</v>
      </c>
      <c r="Q11" s="29">
        <f t="shared" si="33"/>
        <v>5.1035958819274363E-2</v>
      </c>
      <c r="R11" s="28">
        <v>106.0898</v>
      </c>
      <c r="S11" s="29">
        <f t="shared" ref="S11" si="34">R11/R10-1</f>
        <v>3.3776863973651094E-2</v>
      </c>
      <c r="U11" s="27">
        <v>44469</v>
      </c>
      <c r="V11" s="28">
        <v>106.3266</v>
      </c>
      <c r="W11" s="29">
        <f t="shared" si="5"/>
        <v>-4.1437754117721326E-2</v>
      </c>
      <c r="X11" s="28">
        <v>107.1674</v>
      </c>
      <c r="Y11" s="29">
        <f t="shared" si="6"/>
        <v>-2.4591059186742092E-2</v>
      </c>
      <c r="Z11" s="28">
        <v>102.1935</v>
      </c>
      <c r="AA11" s="29">
        <f t="shared" si="6"/>
        <v>-2.1150059002927213E-2</v>
      </c>
      <c r="AC11" s="27">
        <v>45930</v>
      </c>
      <c r="AD11" s="28">
        <v>113.22620000000001</v>
      </c>
      <c r="AE11" s="29">
        <f t="shared" si="7"/>
        <v>3.6278753055720037E-2</v>
      </c>
      <c r="AF11" s="28">
        <v>111.0018</v>
      </c>
      <c r="AG11" s="29">
        <f t="shared" si="8"/>
        <v>3.3957982864520231E-2</v>
      </c>
      <c r="AH11" s="28">
        <v>108.7869</v>
      </c>
      <c r="AI11" s="29">
        <f t="shared" si="9"/>
        <v>3.2472709257498344E-2</v>
      </c>
      <c r="AJ11" s="28">
        <v>106.5771</v>
      </c>
      <c r="AK11" s="29">
        <f t="shared" si="10"/>
        <v>3.1399608061355444E-2</v>
      </c>
    </row>
    <row r="12" spans="1:37">
      <c r="A12" s="27">
        <v>40482</v>
      </c>
      <c r="B12" s="28">
        <v>109.1468</v>
      </c>
      <c r="C12" s="29">
        <f t="shared" si="0"/>
        <v>3.5909087889236524E-2</v>
      </c>
      <c r="D12" s="28">
        <v>109.1468</v>
      </c>
      <c r="E12" s="29">
        <f t="shared" si="0"/>
        <v>3.5909087889236524E-2</v>
      </c>
      <c r="F12" s="28">
        <v>109.80410000000001</v>
      </c>
      <c r="G12" s="29">
        <f t="shared" ref="G12:I12" si="35">F12/F11-1</f>
        <v>3.2282537778437925E-2</v>
      </c>
      <c r="H12" s="28">
        <v>110.1279</v>
      </c>
      <c r="I12" s="29">
        <f t="shared" si="35"/>
        <v>2.760199235232319E-2</v>
      </c>
      <c r="J12" s="29"/>
      <c r="K12" s="27">
        <v>40482</v>
      </c>
      <c r="L12" s="28">
        <v>109.1468</v>
      </c>
      <c r="M12" s="29">
        <f t="shared" ref="M12" si="36">L12/L11-1</f>
        <v>3.5909087889236524E-2</v>
      </c>
      <c r="N12" s="28">
        <v>109.09220000000001</v>
      </c>
      <c r="O12" s="29">
        <f t="shared" ref="O12:Q12" si="37">N12/N11-1</f>
        <v>3.0402348465242479E-2</v>
      </c>
      <c r="P12" s="28">
        <v>108.5458</v>
      </c>
      <c r="Q12" s="29">
        <f t="shared" si="37"/>
        <v>2.3325753547603689E-2</v>
      </c>
      <c r="R12" s="28">
        <v>107.8445</v>
      </c>
      <c r="S12" s="29">
        <f t="shared" ref="S12" si="38">R12/R11-1</f>
        <v>1.6539761598193259E-2</v>
      </c>
      <c r="U12" s="27">
        <v>44500</v>
      </c>
      <c r="V12" s="28">
        <v>112.05710000000001</v>
      </c>
      <c r="W12" s="29">
        <f t="shared" si="5"/>
        <v>5.3895262333226279E-2</v>
      </c>
      <c r="X12" s="28">
        <v>110.1648</v>
      </c>
      <c r="Y12" s="29">
        <f t="shared" si="6"/>
        <v>2.7969326492944591E-2</v>
      </c>
      <c r="Z12" s="28">
        <v>104.2497</v>
      </c>
      <c r="AA12" s="29">
        <f t="shared" si="6"/>
        <v>2.0120653466218608E-2</v>
      </c>
      <c r="AC12" s="27">
        <v>45961</v>
      </c>
      <c r="AD12" s="28">
        <v>115.6789</v>
      </c>
      <c r="AE12" s="29">
        <f t="shared" si="7"/>
        <v>2.1661947499783452E-2</v>
      </c>
      <c r="AF12" s="28">
        <v>113.223</v>
      </c>
      <c r="AG12" s="29">
        <f t="shared" si="8"/>
        <v>2.0010486316438092E-2</v>
      </c>
      <c r="AH12" s="28">
        <v>110.7617</v>
      </c>
      <c r="AI12" s="29">
        <f t="shared" si="9"/>
        <v>1.815292098589083E-2</v>
      </c>
      <c r="AJ12" s="28">
        <v>108.3912</v>
      </c>
      <c r="AK12" s="29">
        <f t="shared" si="10"/>
        <v>1.7021480224175711E-2</v>
      </c>
    </row>
    <row r="13" spans="1:37">
      <c r="A13" s="27">
        <v>40512</v>
      </c>
      <c r="B13" s="28">
        <v>108.7928</v>
      </c>
      <c r="C13" s="29">
        <f t="shared" si="0"/>
        <v>-3.243338329662393E-3</v>
      </c>
      <c r="D13" s="28">
        <v>108.7928</v>
      </c>
      <c r="E13" s="29">
        <f t="shared" si="0"/>
        <v>-3.243338329662393E-3</v>
      </c>
      <c r="F13" s="28">
        <v>109.25620000000001</v>
      </c>
      <c r="G13" s="29">
        <f t="shared" ref="G13:I13" si="39">F13/F12-1</f>
        <v>-4.9897954630109265E-3</v>
      </c>
      <c r="H13" s="28">
        <v>109.3232</v>
      </c>
      <c r="I13" s="29">
        <f t="shared" si="39"/>
        <v>-7.3069585454730301E-3</v>
      </c>
      <c r="J13" s="29"/>
      <c r="K13" s="27">
        <v>40512</v>
      </c>
      <c r="L13" s="28">
        <v>108.7928</v>
      </c>
      <c r="M13" s="29">
        <f t="shared" ref="M13" si="40">L13/L12-1</f>
        <v>-3.243338329662393E-3</v>
      </c>
      <c r="N13" s="28">
        <v>108.502</v>
      </c>
      <c r="O13" s="29">
        <f t="shared" ref="O13:Q13" si="41">N13/N12-1</f>
        <v>-5.4101026471187197E-3</v>
      </c>
      <c r="P13" s="28">
        <v>107.6495</v>
      </c>
      <c r="Q13" s="29">
        <f t="shared" si="41"/>
        <v>-8.2573439046006447E-3</v>
      </c>
      <c r="R13" s="28">
        <v>106.6523</v>
      </c>
      <c r="S13" s="29">
        <f t="shared" ref="S13" si="42">R13/R12-1</f>
        <v>-1.1054805761999908E-2</v>
      </c>
      <c r="U13" s="27">
        <v>44530</v>
      </c>
      <c r="V13" s="28">
        <v>108.74120000000001</v>
      </c>
      <c r="W13" s="29">
        <f t="shared" si="5"/>
        <v>-2.9591163790603225E-2</v>
      </c>
      <c r="X13" s="28">
        <v>107.6007</v>
      </c>
      <c r="Y13" s="29">
        <f t="shared" si="6"/>
        <v>-2.3275129623981483E-2</v>
      </c>
      <c r="Z13" s="28">
        <v>102.82810000000001</v>
      </c>
      <c r="AA13" s="29">
        <f t="shared" si="6"/>
        <v>-1.3636490081026631E-2</v>
      </c>
      <c r="AC13" s="27">
        <v>45991</v>
      </c>
      <c r="AD13" s="28">
        <v>115.6806</v>
      </c>
      <c r="AE13" s="29">
        <f t="shared" si="7"/>
        <v>1.4695852052604153E-5</v>
      </c>
      <c r="AF13" s="28">
        <v>113.1987</v>
      </c>
      <c r="AG13" s="29">
        <f t="shared" si="8"/>
        <v>-2.1462070427380464E-4</v>
      </c>
      <c r="AH13" s="28">
        <v>110.7851</v>
      </c>
      <c r="AI13" s="29">
        <f t="shared" si="9"/>
        <v>2.1126436304230722E-4</v>
      </c>
      <c r="AJ13" s="28">
        <v>108.46429999999999</v>
      </c>
      <c r="AK13" s="29">
        <f t="shared" si="10"/>
        <v>6.7440899261184128E-4</v>
      </c>
    </row>
    <row r="14" spans="1:37">
      <c r="A14" s="27">
        <v>40543</v>
      </c>
      <c r="B14" s="28">
        <v>115.8732</v>
      </c>
      <c r="C14" s="29">
        <f t="shared" si="0"/>
        <v>6.5081512747167114E-2</v>
      </c>
      <c r="D14" s="28">
        <v>115.8732</v>
      </c>
      <c r="E14" s="29">
        <f t="shared" si="0"/>
        <v>6.5081512747167114E-2</v>
      </c>
      <c r="F14" s="28">
        <v>115.04040000000001</v>
      </c>
      <c r="G14" s="29">
        <f t="shared" ref="G14:I14" si="43">F14/F13-1</f>
        <v>5.2941617958523146E-2</v>
      </c>
      <c r="H14" s="28">
        <v>113.4242</v>
      </c>
      <c r="I14" s="29">
        <f t="shared" si="43"/>
        <v>3.7512623121167321E-2</v>
      </c>
      <c r="J14" s="29"/>
      <c r="K14" s="27">
        <v>40543</v>
      </c>
      <c r="L14" s="28">
        <v>115.8732</v>
      </c>
      <c r="M14" s="29">
        <f t="shared" ref="M14" si="44">L14/L13-1</f>
        <v>6.5081512747167114E-2</v>
      </c>
      <c r="N14" s="28">
        <v>114.0945</v>
      </c>
      <c r="O14" s="29">
        <f t="shared" ref="O14:Q14" si="45">N14/N13-1</f>
        <v>5.1542828703618371E-2</v>
      </c>
      <c r="P14" s="28">
        <v>111.3502</v>
      </c>
      <c r="Q14" s="29">
        <f t="shared" si="45"/>
        <v>3.4377307837007987E-2</v>
      </c>
      <c r="R14" s="28">
        <v>108.58799999999999</v>
      </c>
      <c r="S14" s="29">
        <f t="shared" ref="S14" si="46">R14/R13-1</f>
        <v>1.81496320285639E-2</v>
      </c>
      <c r="U14" s="27">
        <v>44561</v>
      </c>
      <c r="V14" s="28">
        <v>114.3828</v>
      </c>
      <c r="W14" s="29">
        <f t="shared" si="5"/>
        <v>5.1880979794227011E-2</v>
      </c>
      <c r="X14" s="28">
        <v>112.1443</v>
      </c>
      <c r="Y14" s="29">
        <f t="shared" si="6"/>
        <v>4.2226491091600593E-2</v>
      </c>
      <c r="Z14" s="28">
        <v>105.6237</v>
      </c>
      <c r="AA14" s="29">
        <f t="shared" si="6"/>
        <v>2.7187121030146422E-2</v>
      </c>
      <c r="AC14" s="27">
        <v>46022</v>
      </c>
      <c r="AD14" s="28">
        <v>116.39400000000001</v>
      </c>
      <c r="AE14" s="29">
        <f t="shared" si="7"/>
        <v>6.1669804617197066E-3</v>
      </c>
      <c r="AF14" s="28">
        <v>113.84610000000001</v>
      </c>
      <c r="AG14" s="29">
        <f t="shared" si="8"/>
        <v>5.7191469513342419E-3</v>
      </c>
      <c r="AH14" s="28">
        <v>111.32380000000001</v>
      </c>
      <c r="AI14" s="29">
        <f t="shared" si="9"/>
        <v>4.8625672585935753E-3</v>
      </c>
      <c r="AJ14" s="28">
        <v>108.8451</v>
      </c>
      <c r="AK14" s="29">
        <f t="shared" si="10"/>
        <v>3.5108325965318432E-3</v>
      </c>
    </row>
    <row r="15" spans="1:37">
      <c r="A15" s="27">
        <v>40574</v>
      </c>
      <c r="B15" s="28">
        <v>115.6632</v>
      </c>
      <c r="C15" s="29">
        <f t="shared" si="0"/>
        <v>-1.8123258872628778E-3</v>
      </c>
      <c r="D15" s="28">
        <v>115.6632</v>
      </c>
      <c r="E15" s="29">
        <f t="shared" si="0"/>
        <v>-1.8123258872628778E-3</v>
      </c>
      <c r="F15" s="28">
        <v>114.89400000000001</v>
      </c>
      <c r="G15" s="29">
        <f t="shared" ref="G15:I15" si="47">F15/F14-1</f>
        <v>-1.2725964096091946E-3</v>
      </c>
      <c r="H15" s="28">
        <v>113.36490000000001</v>
      </c>
      <c r="I15" s="29">
        <f t="shared" si="47"/>
        <v>-5.2281611860605093E-4</v>
      </c>
      <c r="J15" s="29"/>
      <c r="K15" s="27">
        <v>40574</v>
      </c>
      <c r="L15" s="28">
        <v>115.6632</v>
      </c>
      <c r="M15" s="29">
        <f t="shared" ref="M15" si="48">L15/L14-1</f>
        <v>-1.8123258872628778E-3</v>
      </c>
      <c r="N15" s="28">
        <v>113.81489999999999</v>
      </c>
      <c r="O15" s="29">
        <f t="shared" ref="O15:Q15" si="49">N15/N14-1</f>
        <v>-2.4506001603933347E-3</v>
      </c>
      <c r="P15" s="28">
        <v>110.9913</v>
      </c>
      <c r="Q15" s="29">
        <f t="shared" si="49"/>
        <v>-3.2231643948551492E-3</v>
      </c>
      <c r="R15" s="28">
        <v>108.1634</v>
      </c>
      <c r="S15" s="29">
        <f t="shared" ref="S15" si="50">R15/R14-1</f>
        <v>-3.9101926548053001E-3</v>
      </c>
      <c r="U15" s="27">
        <v>44592</v>
      </c>
      <c r="V15" s="28">
        <v>111.5361</v>
      </c>
      <c r="W15" s="29">
        <f t="shared" si="5"/>
        <v>-2.4887483083120832E-2</v>
      </c>
      <c r="X15" s="28">
        <v>111.77160000000001</v>
      </c>
      <c r="Y15" s="29">
        <f t="shared" si="6"/>
        <v>-3.3233967308190504E-3</v>
      </c>
      <c r="Z15" s="28">
        <v>103.58069999999999</v>
      </c>
      <c r="AA15" s="29">
        <f t="shared" si="6"/>
        <v>-1.9342249892779773E-2</v>
      </c>
      <c r="AC15" s="27">
        <v>46053</v>
      </c>
      <c r="AD15" s="28">
        <v>119.5975</v>
      </c>
      <c r="AE15" s="29">
        <f t="shared" si="7"/>
        <v>2.7522896369228667E-2</v>
      </c>
      <c r="AF15" s="28">
        <v>116.672</v>
      </c>
      <c r="AG15" s="29">
        <f t="shared" si="8"/>
        <v>2.4822106334779992E-2</v>
      </c>
      <c r="AH15" s="28">
        <v>113.62820000000001</v>
      </c>
      <c r="AI15" s="29">
        <f t="shared" si="9"/>
        <v>2.0699976105738482E-2</v>
      </c>
      <c r="AJ15" s="28">
        <v>110.64790000000001</v>
      </c>
      <c r="AK15" s="29">
        <f t="shared" si="10"/>
        <v>1.6562987217614733E-2</v>
      </c>
    </row>
    <row r="16" spans="1:37">
      <c r="A16" s="27">
        <v>40602</v>
      </c>
      <c r="B16" s="28">
        <v>119.6172</v>
      </c>
      <c r="C16" s="29">
        <f t="shared" si="0"/>
        <v>3.4185462619052531E-2</v>
      </c>
      <c r="D16" s="28">
        <v>119.6172</v>
      </c>
      <c r="E16" s="29">
        <f t="shared" si="0"/>
        <v>3.4185462619052531E-2</v>
      </c>
      <c r="F16" s="28">
        <v>118.34010000000001</v>
      </c>
      <c r="G16" s="29">
        <f t="shared" ref="G16:I16" si="51">F16/F15-1</f>
        <v>2.9993733354222174E-2</v>
      </c>
      <c r="H16" s="28">
        <v>116.1305</v>
      </c>
      <c r="I16" s="29">
        <f t="shared" si="51"/>
        <v>2.4395558060740008E-2</v>
      </c>
      <c r="J16" s="29"/>
      <c r="K16" s="27">
        <v>40602</v>
      </c>
      <c r="L16" s="28">
        <v>119.6172</v>
      </c>
      <c r="M16" s="29">
        <f t="shared" ref="M16" si="52">L16/L15-1</f>
        <v>3.4185462619052531E-2</v>
      </c>
      <c r="N16" s="28">
        <v>117.3635</v>
      </c>
      <c r="O16" s="29">
        <f t="shared" ref="O16:Q16" si="53">N16/N15-1</f>
        <v>3.117869452945099E-2</v>
      </c>
      <c r="P16" s="28">
        <v>114.00449999999999</v>
      </c>
      <c r="Q16" s="29">
        <f t="shared" si="53"/>
        <v>2.7148073767943925E-2</v>
      </c>
      <c r="R16" s="28">
        <v>110.6614</v>
      </c>
      <c r="S16" s="29">
        <f t="shared" ref="S16" si="54">R16/R15-1</f>
        <v>2.3094688221709125E-2</v>
      </c>
      <c r="U16" s="27">
        <v>44620</v>
      </c>
      <c r="V16" s="28">
        <v>109.6863</v>
      </c>
      <c r="W16" s="29">
        <f t="shared" si="5"/>
        <v>-1.6584764932609297E-2</v>
      </c>
      <c r="X16" s="28">
        <v>111.0115</v>
      </c>
      <c r="Y16" s="29">
        <f t="shared" si="6"/>
        <v>-6.800475254894911E-3</v>
      </c>
      <c r="Z16" s="28">
        <v>102.477</v>
      </c>
      <c r="AA16" s="29">
        <f t="shared" si="6"/>
        <v>-1.0655459945723367E-2</v>
      </c>
      <c r="AC16" s="27">
        <v>46081</v>
      </c>
      <c r="AD16" s="28">
        <v>120.0497</v>
      </c>
      <c r="AE16" s="29">
        <f t="shared" si="7"/>
        <v>3.7810154894541981E-3</v>
      </c>
      <c r="AF16" s="28">
        <v>117.1614</v>
      </c>
      <c r="AG16" s="29">
        <f t="shared" si="8"/>
        <v>4.1946653867253048E-3</v>
      </c>
      <c r="AH16" s="28">
        <v>114.3151</v>
      </c>
      <c r="AI16" s="29">
        <f t="shared" si="9"/>
        <v>6.0451542838837469E-3</v>
      </c>
      <c r="AJ16" s="28">
        <v>111.5925</v>
      </c>
      <c r="AK16" s="29">
        <f t="shared" si="10"/>
        <v>8.5369898570148983E-3</v>
      </c>
    </row>
    <row r="17" spans="1:37">
      <c r="A17" s="27">
        <v>40633</v>
      </c>
      <c r="B17" s="28">
        <v>121.5903</v>
      </c>
      <c r="C17" s="29">
        <f t="shared" si="0"/>
        <v>1.6495119430984806E-2</v>
      </c>
      <c r="D17" s="28">
        <v>121.5903</v>
      </c>
      <c r="E17" s="29">
        <f t="shared" si="0"/>
        <v>1.6495119430984806E-2</v>
      </c>
      <c r="F17" s="28">
        <v>120.2286</v>
      </c>
      <c r="G17" s="29">
        <f t="shared" ref="G17:I17" si="55">F17/F16-1</f>
        <v>1.5958242387829502E-2</v>
      </c>
      <c r="H17" s="28">
        <v>117.67829999999999</v>
      </c>
      <c r="I17" s="29">
        <f t="shared" si="55"/>
        <v>1.3328109325284831E-2</v>
      </c>
      <c r="J17" s="29"/>
      <c r="K17" s="27">
        <v>40633</v>
      </c>
      <c r="L17" s="28">
        <v>121.5903</v>
      </c>
      <c r="M17" s="29">
        <f t="shared" ref="M17" si="56">L17/L16-1</f>
        <v>1.6495119430984806E-2</v>
      </c>
      <c r="N17" s="28">
        <v>119.2042</v>
      </c>
      <c r="O17" s="29">
        <f t="shared" ref="O17:Q17" si="57">N17/N16-1</f>
        <v>1.5683751762685993E-2</v>
      </c>
      <c r="P17" s="28">
        <v>115.42100000000001</v>
      </c>
      <c r="Q17" s="29">
        <f t="shared" si="57"/>
        <v>1.2424948138012315E-2</v>
      </c>
      <c r="R17" s="28">
        <v>111.6673</v>
      </c>
      <c r="S17" s="29">
        <f t="shared" ref="S17" si="58">R17/R16-1</f>
        <v>9.089890422496083E-3</v>
      </c>
      <c r="U17" s="27">
        <v>44651</v>
      </c>
      <c r="V17" s="28">
        <v>112.9838</v>
      </c>
      <c r="W17" s="29">
        <f t="shared" si="5"/>
        <v>3.0063006957113059E-2</v>
      </c>
      <c r="X17" s="28">
        <v>112.3994</v>
      </c>
      <c r="Y17" s="29">
        <f t="shared" si="6"/>
        <v>1.2502308319408462E-2</v>
      </c>
      <c r="Z17" s="28">
        <v>102.63209999999999</v>
      </c>
      <c r="AA17" s="29">
        <f t="shared" si="6"/>
        <v>1.5135103486634272E-3</v>
      </c>
      <c r="AC17" s="27">
        <v>46112</v>
      </c>
      <c r="AD17" s="28">
        <v>112.89060000000001</v>
      </c>
      <c r="AE17" s="29">
        <f t="shared" si="7"/>
        <v>-5.9634468057812695E-2</v>
      </c>
      <c r="AF17" s="28">
        <v>110.67</v>
      </c>
      <c r="AG17" s="29">
        <f t="shared" si="8"/>
        <v>-5.5405619939672968E-2</v>
      </c>
      <c r="AH17" s="28">
        <v>108.82170000000001</v>
      </c>
      <c r="AI17" s="29">
        <f t="shared" si="9"/>
        <v>-4.8054893885409622E-2</v>
      </c>
      <c r="AJ17" s="28">
        <v>107.0665</v>
      </c>
      <c r="AK17" s="29">
        <f t="shared" si="10"/>
        <v>-4.0558281246499517E-2</v>
      </c>
    </row>
    <row r="18" spans="1:37">
      <c r="A18" s="27">
        <v>40663</v>
      </c>
      <c r="B18" s="28">
        <v>126.3295</v>
      </c>
      <c r="C18" s="29">
        <f t="shared" si="0"/>
        <v>3.8976793379077002E-2</v>
      </c>
      <c r="D18" s="28">
        <v>126.3295</v>
      </c>
      <c r="E18" s="29">
        <f t="shared" si="0"/>
        <v>3.8976793379077002E-2</v>
      </c>
      <c r="F18" s="28">
        <v>124.6888</v>
      </c>
      <c r="G18" s="29">
        <f t="shared" ref="G18:I18" si="59">F18/F17-1</f>
        <v>3.7097662286677213E-2</v>
      </c>
      <c r="H18" s="28">
        <v>121.59950000000001</v>
      </c>
      <c r="I18" s="29">
        <f t="shared" si="59"/>
        <v>3.332135151510518E-2</v>
      </c>
      <c r="J18" s="29"/>
      <c r="K18" s="27">
        <v>40663</v>
      </c>
      <c r="L18" s="28">
        <v>126.3295</v>
      </c>
      <c r="M18" s="29">
        <f t="shared" ref="M18" si="60">L18/L17-1</f>
        <v>3.8976793379077002E-2</v>
      </c>
      <c r="N18" s="28">
        <v>123.6219</v>
      </c>
      <c r="O18" s="29">
        <f t="shared" ref="O18:Q18" si="61">N18/N17-1</f>
        <v>3.7059935807630895E-2</v>
      </c>
      <c r="P18" s="28">
        <v>119.2543</v>
      </c>
      <c r="Q18" s="29">
        <f t="shared" si="61"/>
        <v>3.3211460652740721E-2</v>
      </c>
      <c r="R18" s="28">
        <v>114.9436</v>
      </c>
      <c r="S18" s="29">
        <f t="shared" ref="S18" si="62">R18/R17-1</f>
        <v>2.9339833594973719E-2</v>
      </c>
      <c r="U18" s="27">
        <v>44681</v>
      </c>
      <c r="V18" s="28">
        <v>105.9515</v>
      </c>
      <c r="W18" s="29">
        <f t="shared" si="5"/>
        <v>-6.2241666504401549E-2</v>
      </c>
      <c r="X18" s="28">
        <v>107.3228</v>
      </c>
      <c r="Y18" s="29">
        <f t="shared" si="6"/>
        <v>-4.5165721525203817E-2</v>
      </c>
      <c r="Z18" s="28">
        <v>98.144400000000005</v>
      </c>
      <c r="AA18" s="29">
        <f t="shared" si="6"/>
        <v>-4.3726085698334027E-2</v>
      </c>
      <c r="AC18" s="27">
        <v>46142</v>
      </c>
      <c r="AD18" s="28">
        <v>124.7817</v>
      </c>
      <c r="AE18" s="29">
        <f t="shared" si="7"/>
        <v>0.10533295066196824</v>
      </c>
      <c r="AF18" s="28">
        <v>121.2869</v>
      </c>
      <c r="AG18" s="29">
        <f t="shared" si="8"/>
        <v>9.593295382669198E-2</v>
      </c>
      <c r="AH18" s="28">
        <v>117.202</v>
      </c>
      <c r="AI18" s="29">
        <f t="shared" si="9"/>
        <v>7.7009456753570182E-2</v>
      </c>
      <c r="AJ18" s="28">
        <v>113.32810000000001</v>
      </c>
      <c r="AK18" s="29">
        <f t="shared" si="10"/>
        <v>5.8483279083560324E-2</v>
      </c>
    </row>
    <row r="19" spans="1:37">
      <c r="A19" s="27">
        <v>40694</v>
      </c>
      <c r="B19" s="28">
        <v>123.416</v>
      </c>
      <c r="C19" s="29">
        <f t="shared" si="0"/>
        <v>-2.3062705068887301E-2</v>
      </c>
      <c r="D19" s="28">
        <v>123.416</v>
      </c>
      <c r="E19" s="29">
        <f t="shared" si="0"/>
        <v>-2.3062705068887301E-2</v>
      </c>
      <c r="F19" s="28">
        <v>122.1617</v>
      </c>
      <c r="G19" s="29">
        <f t="shared" ref="G19:I19" si="63">F19/F18-1</f>
        <v>-2.0267257363933311E-2</v>
      </c>
      <c r="H19" s="28">
        <v>119.8121</v>
      </c>
      <c r="I19" s="29">
        <f t="shared" si="63"/>
        <v>-1.4699073598164469E-2</v>
      </c>
      <c r="J19" s="29"/>
      <c r="K19" s="27">
        <v>40694</v>
      </c>
      <c r="L19" s="28">
        <v>123.416</v>
      </c>
      <c r="M19" s="29">
        <f t="shared" ref="M19" si="64">L19/L18-1</f>
        <v>-2.3062705068887301E-2</v>
      </c>
      <c r="N19" s="28">
        <v>121.1866</v>
      </c>
      <c r="O19" s="29">
        <f t="shared" ref="O19:Q19" si="65">N19/N18-1</f>
        <v>-1.9699583973389778E-2</v>
      </c>
      <c r="P19" s="28">
        <v>117.705</v>
      </c>
      <c r="Q19" s="29">
        <f t="shared" si="65"/>
        <v>-1.2991565084026324E-2</v>
      </c>
      <c r="R19" s="28">
        <v>114.21899999999999</v>
      </c>
      <c r="S19" s="29">
        <f t="shared" ref="S19" si="66">R19/R18-1</f>
        <v>-6.3039612470812134E-3</v>
      </c>
      <c r="U19" s="27">
        <v>44712</v>
      </c>
      <c r="V19" s="28">
        <v>108.1254</v>
      </c>
      <c r="W19" s="29">
        <f t="shared" si="5"/>
        <v>2.0517878463259143E-2</v>
      </c>
      <c r="X19" s="28">
        <v>110.4211</v>
      </c>
      <c r="Y19" s="29">
        <f t="shared" si="6"/>
        <v>2.8868982173405833E-2</v>
      </c>
      <c r="Z19" s="28">
        <v>99.4084</v>
      </c>
      <c r="AA19" s="29">
        <f t="shared" si="6"/>
        <v>1.2878982397365402E-2</v>
      </c>
      <c r="AC19" s="27">
        <v>46173</v>
      </c>
      <c r="AD19" s="28">
        <v>131.0932</v>
      </c>
      <c r="AE19" s="29">
        <f t="shared" si="7"/>
        <v>5.0580333494414598E-2</v>
      </c>
      <c r="AF19" s="28">
        <v>126.9372</v>
      </c>
      <c r="AG19" s="29">
        <f t="shared" si="8"/>
        <v>4.6586234787103997E-2</v>
      </c>
      <c r="AH19" s="28">
        <v>121.58969999999999</v>
      </c>
      <c r="AI19" s="29">
        <f t="shared" si="9"/>
        <v>3.7437074452654429E-2</v>
      </c>
      <c r="AJ19" s="28">
        <v>116.4974</v>
      </c>
      <c r="AK19" s="29">
        <f t="shared" si="10"/>
        <v>2.7965703122173613E-2</v>
      </c>
    </row>
    <row r="20" spans="1:37">
      <c r="A20" s="27">
        <v>40724</v>
      </c>
      <c r="B20" s="28">
        <v>121.5894</v>
      </c>
      <c r="C20" s="29">
        <f t="shared" si="0"/>
        <v>-1.4800350035651721E-2</v>
      </c>
      <c r="D20" s="28">
        <v>121.5894</v>
      </c>
      <c r="E20" s="29">
        <f t="shared" si="0"/>
        <v>-1.4800350035651721E-2</v>
      </c>
      <c r="F20" s="28">
        <v>120.54559999999999</v>
      </c>
      <c r="G20" s="29">
        <f t="shared" ref="G20:I20" si="67">F20/F19-1</f>
        <v>-1.3229187216615368E-2</v>
      </c>
      <c r="H20" s="28">
        <v>118.5992</v>
      </c>
      <c r="I20" s="29">
        <f t="shared" si="67"/>
        <v>-1.0123351481194365E-2</v>
      </c>
      <c r="J20" s="29"/>
      <c r="K20" s="27">
        <v>40724</v>
      </c>
      <c r="L20" s="28">
        <v>121.5894</v>
      </c>
      <c r="M20" s="29">
        <f t="shared" ref="M20" si="68">L20/L19-1</f>
        <v>-1.4800350035651721E-2</v>
      </c>
      <c r="N20" s="28">
        <v>119.6319</v>
      </c>
      <c r="O20" s="29">
        <f t="shared" ref="O20:Q20" si="69">N20/N19-1</f>
        <v>-1.2828976140926485E-2</v>
      </c>
      <c r="P20" s="28">
        <v>116.655</v>
      </c>
      <c r="Q20" s="29">
        <f t="shared" si="69"/>
        <v>-8.9206066012488261E-3</v>
      </c>
      <c r="R20" s="28">
        <v>113.6409</v>
      </c>
      <c r="S20" s="29">
        <f t="shared" ref="S20" si="70">R20/R19-1</f>
        <v>-5.0613295511253709E-3</v>
      </c>
      <c r="U20" s="27">
        <v>44742</v>
      </c>
      <c r="V20" s="28">
        <v>98.759100000000004</v>
      </c>
      <c r="W20" s="29">
        <f t="shared" si="5"/>
        <v>-8.6624419424113031E-2</v>
      </c>
      <c r="X20" s="28">
        <v>102.87479999999999</v>
      </c>
      <c r="Y20" s="29">
        <f t="shared" si="6"/>
        <v>-6.834110509676139E-2</v>
      </c>
      <c r="Z20" s="28">
        <v>95.157499999999999</v>
      </c>
      <c r="AA20" s="29">
        <f t="shared" si="6"/>
        <v>-4.2761979872928291E-2</v>
      </c>
    </row>
    <row r="21" spans="1:37">
      <c r="A21" s="27">
        <v>40755</v>
      </c>
      <c r="B21" s="28">
        <v>122.0954</v>
      </c>
      <c r="C21" s="29">
        <f t="shared" si="0"/>
        <v>4.1615469769569202E-3</v>
      </c>
      <c r="D21" s="28">
        <v>122.0954</v>
      </c>
      <c r="E21" s="29">
        <f t="shared" si="0"/>
        <v>4.1615469769569202E-3</v>
      </c>
      <c r="F21" s="28">
        <v>121.2791</v>
      </c>
      <c r="G21" s="29">
        <f t="shared" ref="G21:I21" si="71">F21/F20-1</f>
        <v>6.0848342867760863E-3</v>
      </c>
      <c r="H21" s="28">
        <v>119.77509999999999</v>
      </c>
      <c r="I21" s="29">
        <f t="shared" si="71"/>
        <v>9.9149066772794558E-3</v>
      </c>
      <c r="J21" s="29"/>
      <c r="K21" s="27">
        <v>40755</v>
      </c>
      <c r="L21" s="28">
        <v>122.0954</v>
      </c>
      <c r="M21" s="29">
        <f t="shared" ref="M21" si="72">L21/L20-1</f>
        <v>4.1615469769569202E-3</v>
      </c>
      <c r="N21" s="28">
        <v>120.3404</v>
      </c>
      <c r="O21" s="29">
        <f t="shared" ref="O21:Q21" si="73">N21/N20-1</f>
        <v>5.9223334244462578E-3</v>
      </c>
      <c r="P21" s="28">
        <v>117.7543</v>
      </c>
      <c r="Q21" s="29">
        <f t="shared" si="73"/>
        <v>9.4235137799494328E-3</v>
      </c>
      <c r="R21" s="28">
        <v>115.1063</v>
      </c>
      <c r="S21" s="29">
        <f t="shared" ref="S21" si="74">R21/R20-1</f>
        <v>1.2895005231391199E-2</v>
      </c>
      <c r="U21" s="27">
        <v>44773</v>
      </c>
      <c r="V21" s="28">
        <v>104.6416</v>
      </c>
      <c r="W21" s="29">
        <f t="shared" si="5"/>
        <v>5.9564131305368306E-2</v>
      </c>
      <c r="X21" s="28">
        <v>106.4695</v>
      </c>
      <c r="Y21" s="29">
        <f t="shared" si="6"/>
        <v>3.4942473764226101E-2</v>
      </c>
      <c r="Z21" s="28">
        <v>98.037999999999997</v>
      </c>
      <c r="AA21" s="29">
        <f t="shared" si="6"/>
        <v>3.0270866720962575E-2</v>
      </c>
    </row>
    <row r="22" spans="1:37">
      <c r="A22" s="27">
        <v>40786</v>
      </c>
      <c r="B22" s="28">
        <v>118.3922</v>
      </c>
      <c r="C22" s="29">
        <f t="shared" si="0"/>
        <v>-3.0330380997154682E-2</v>
      </c>
      <c r="D22" s="28">
        <v>118.3922</v>
      </c>
      <c r="E22" s="29">
        <f t="shared" si="0"/>
        <v>-3.0330380997154682E-2</v>
      </c>
      <c r="F22" s="28">
        <v>118.0318</v>
      </c>
      <c r="G22" s="29">
        <f t="shared" ref="G22:I22" si="75">F22/F21-1</f>
        <v>-2.6775429567006959E-2</v>
      </c>
      <c r="H22" s="28">
        <v>117.3934</v>
      </c>
      <c r="I22" s="29">
        <f t="shared" si="75"/>
        <v>-1.9884767368175793E-2</v>
      </c>
      <c r="J22" s="29"/>
      <c r="K22" s="27">
        <v>40786</v>
      </c>
      <c r="L22" s="28">
        <v>118.3922</v>
      </c>
      <c r="M22" s="29">
        <f t="shared" ref="M22" si="76">L22/L21-1</f>
        <v>-3.0330380997154682E-2</v>
      </c>
      <c r="N22" s="28">
        <v>117.2667</v>
      </c>
      <c r="O22" s="29">
        <f t="shared" ref="O22:Q22" si="77">N22/N21-1</f>
        <v>-2.5541713339826022E-2</v>
      </c>
      <c r="P22" s="28">
        <v>115.8502</v>
      </c>
      <c r="Q22" s="29">
        <f t="shared" si="77"/>
        <v>-1.6170110136105476E-2</v>
      </c>
      <c r="R22" s="28">
        <v>114.2919</v>
      </c>
      <c r="S22" s="29">
        <f t="shared" ref="S22" si="78">R22/R21-1</f>
        <v>-7.0751991854486329E-3</v>
      </c>
      <c r="U22" s="27">
        <v>44804</v>
      </c>
      <c r="V22" s="28">
        <v>101.29179999999999</v>
      </c>
      <c r="W22" s="29">
        <f t="shared" si="5"/>
        <v>-3.2012125196862473E-2</v>
      </c>
      <c r="X22" s="28">
        <v>104.003</v>
      </c>
      <c r="Y22" s="29">
        <f t="shared" si="6"/>
        <v>-2.3166258881651469E-2</v>
      </c>
      <c r="Z22" s="28">
        <v>95.632000000000005</v>
      </c>
      <c r="AA22" s="29">
        <f t="shared" si="6"/>
        <v>-2.4541504314653406E-2</v>
      </c>
    </row>
    <row r="23" spans="1:37">
      <c r="A23" s="27">
        <v>40816</v>
      </c>
      <c r="B23" s="28">
        <v>107.0506</v>
      </c>
      <c r="C23" s="29">
        <f t="shared" si="0"/>
        <v>-9.5796851481769862E-2</v>
      </c>
      <c r="D23" s="28">
        <v>107.0506</v>
      </c>
      <c r="E23" s="29">
        <f t="shared" si="0"/>
        <v>-9.5796851481769862E-2</v>
      </c>
      <c r="F23" s="28">
        <v>107.5508</v>
      </c>
      <c r="G23" s="29">
        <f t="shared" ref="G23:I23" si="79">F23/F22-1</f>
        <v>-8.8798103561921526E-2</v>
      </c>
      <c r="H23" s="28">
        <v>108.6211</v>
      </c>
      <c r="I23" s="29">
        <f t="shared" si="79"/>
        <v>-7.4725666008480851E-2</v>
      </c>
      <c r="J23" s="29"/>
      <c r="K23" s="27">
        <v>40816</v>
      </c>
      <c r="L23" s="28">
        <v>107.0506</v>
      </c>
      <c r="M23" s="29">
        <f t="shared" ref="M23" si="80">L23/L22-1</f>
        <v>-9.5796851481769862E-2</v>
      </c>
      <c r="N23" s="28">
        <v>106.98350000000001</v>
      </c>
      <c r="O23" s="29">
        <f t="shared" ref="O23:Q23" si="81">N23/N22-1</f>
        <v>-8.769070844493787E-2</v>
      </c>
      <c r="P23" s="28">
        <v>107.5835</v>
      </c>
      <c r="Q23" s="29">
        <f t="shared" si="81"/>
        <v>-7.1356803872587138E-2</v>
      </c>
      <c r="R23" s="28">
        <v>108.02160000000001</v>
      </c>
      <c r="S23" s="29">
        <f t="shared" ref="S23" si="82">R23/R22-1</f>
        <v>-5.4862155585828853E-2</v>
      </c>
      <c r="U23" s="27">
        <v>44834</v>
      </c>
      <c r="V23" s="28">
        <v>93.074299999999994</v>
      </c>
      <c r="W23" s="29">
        <f t="shared" si="5"/>
        <v>-8.1127001395966958E-2</v>
      </c>
      <c r="X23" s="28">
        <v>97.058000000000007</v>
      </c>
      <c r="Y23" s="29">
        <f t="shared" si="6"/>
        <v>-6.6776919896541331E-2</v>
      </c>
      <c r="Z23" s="28">
        <v>91.059299999999993</v>
      </c>
      <c r="AA23" s="29">
        <f t="shared" si="6"/>
        <v>-4.7815584741509265E-2</v>
      </c>
    </row>
    <row r="24" spans="1:37">
      <c r="A24" s="27">
        <v>40847</v>
      </c>
      <c r="B24" s="28">
        <v>114.8202</v>
      </c>
      <c r="C24" s="29">
        <f t="shared" si="0"/>
        <v>7.2578761819177107E-2</v>
      </c>
      <c r="D24" s="28">
        <v>114.8202</v>
      </c>
      <c r="E24" s="29">
        <f t="shared" si="0"/>
        <v>7.2578761819177107E-2</v>
      </c>
      <c r="F24" s="28">
        <v>114.8259</v>
      </c>
      <c r="G24" s="29">
        <f t="shared" ref="G24:I24" si="83">F24/F23-1</f>
        <v>6.7643383405795232E-2</v>
      </c>
      <c r="H24" s="28">
        <v>114.8947</v>
      </c>
      <c r="I24" s="29">
        <f t="shared" si="83"/>
        <v>5.7756734188845416E-2</v>
      </c>
      <c r="J24" s="29"/>
      <c r="K24" s="27">
        <v>40847</v>
      </c>
      <c r="L24" s="28">
        <v>114.8202</v>
      </c>
      <c r="M24" s="29">
        <f t="shared" ref="M24" si="84">L24/L23-1</f>
        <v>7.2578761819177107E-2</v>
      </c>
      <c r="N24" s="28">
        <v>114.12090000000001</v>
      </c>
      <c r="O24" s="29">
        <f t="shared" ref="O24:Q24" si="85">N24/N23-1</f>
        <v>6.6714960718241567E-2</v>
      </c>
      <c r="P24" s="28">
        <v>113.5012</v>
      </c>
      <c r="Q24" s="29">
        <f t="shared" si="85"/>
        <v>5.5005646776689732E-2</v>
      </c>
      <c r="R24" s="28">
        <v>112.7012</v>
      </c>
      <c r="S24" s="29">
        <f t="shared" ref="S24" si="86">R24/R23-1</f>
        <v>4.3320965436542291E-2</v>
      </c>
      <c r="U24" s="27">
        <v>44865</v>
      </c>
      <c r="V24" s="28">
        <v>99.523099999999999</v>
      </c>
      <c r="W24" s="29">
        <f t="shared" si="5"/>
        <v>6.9286580720993918E-2</v>
      </c>
      <c r="X24" s="28">
        <v>101.0896</v>
      </c>
      <c r="Y24" s="29">
        <f t="shared" si="6"/>
        <v>4.1538049413752498E-2</v>
      </c>
      <c r="Z24" s="28">
        <v>92.215800000000002</v>
      </c>
      <c r="AA24" s="29">
        <f t="shared" si="6"/>
        <v>1.270051493916613E-2</v>
      </c>
    </row>
    <row r="25" spans="1:37">
      <c r="A25" s="27">
        <v>40877</v>
      </c>
      <c r="B25" s="28">
        <v>115.0326</v>
      </c>
      <c r="C25" s="29">
        <f t="shared" si="0"/>
        <v>1.8498487199987146E-3</v>
      </c>
      <c r="D25" s="28">
        <v>115.0326</v>
      </c>
      <c r="E25" s="29">
        <f t="shared" si="0"/>
        <v>1.8498487199987146E-3</v>
      </c>
      <c r="F25" s="28">
        <v>114.90470000000001</v>
      </c>
      <c r="G25" s="29">
        <f t="shared" ref="G25:I25" si="87">F25/F24-1</f>
        <v>6.8625632370400425E-4</v>
      </c>
      <c r="H25" s="28">
        <v>114.7</v>
      </c>
      <c r="I25" s="29">
        <f t="shared" si="87"/>
        <v>-1.6945951379828683E-3</v>
      </c>
      <c r="J25" s="29"/>
      <c r="K25" s="27">
        <v>40877</v>
      </c>
      <c r="L25" s="28">
        <v>115.0326</v>
      </c>
      <c r="M25" s="29">
        <f t="shared" ref="M25" si="88">L25/L24-1</f>
        <v>1.8498487199987146E-3</v>
      </c>
      <c r="N25" s="28">
        <v>114.2889</v>
      </c>
      <c r="O25" s="29">
        <f t="shared" ref="O25:Q25" si="89">N25/N24-1</f>
        <v>1.472122985360258E-3</v>
      </c>
      <c r="P25" s="28">
        <v>113.57550000000001</v>
      </c>
      <c r="Q25" s="29">
        <f t="shared" si="89"/>
        <v>6.5461862958282602E-4</v>
      </c>
      <c r="R25" s="28">
        <v>112.6739</v>
      </c>
      <c r="S25" s="29">
        <f t="shared" ref="S25" si="90">R25/R24-1</f>
        <v>-2.4223344560658777E-4</v>
      </c>
      <c r="U25" s="27">
        <v>44895</v>
      </c>
      <c r="V25" s="28">
        <v>106.3921</v>
      </c>
      <c r="W25" s="29">
        <f t="shared" si="5"/>
        <v>6.9019152337497447E-2</v>
      </c>
      <c r="X25" s="28">
        <v>106.5865</v>
      </c>
      <c r="Y25" s="29">
        <f t="shared" si="6"/>
        <v>5.43765135088079E-2</v>
      </c>
      <c r="Z25" s="28">
        <v>96.1113</v>
      </c>
      <c r="AA25" s="29">
        <f t="shared" si="6"/>
        <v>4.2243303208343796E-2</v>
      </c>
    </row>
    <row r="26" spans="1:37">
      <c r="A26" s="27">
        <v>40908</v>
      </c>
      <c r="B26" s="28">
        <v>113.85120000000001</v>
      </c>
      <c r="C26" s="29">
        <f t="shared" si="0"/>
        <v>-1.0270132119068798E-2</v>
      </c>
      <c r="D26" s="28">
        <v>113.85120000000001</v>
      </c>
      <c r="E26" s="29">
        <f t="shared" si="0"/>
        <v>-1.0270132119068798E-2</v>
      </c>
      <c r="F26" s="28">
        <v>113.9546</v>
      </c>
      <c r="G26" s="29">
        <f t="shared" ref="G26:I26" si="91">F26/F25-1</f>
        <v>-8.2685912760749325E-3</v>
      </c>
      <c r="H26" s="28">
        <v>114.20740000000001</v>
      </c>
      <c r="I26" s="29">
        <f t="shared" si="91"/>
        <v>-4.2946817785527447E-3</v>
      </c>
      <c r="J26" s="29"/>
      <c r="K26" s="27">
        <v>40908</v>
      </c>
      <c r="L26" s="28">
        <v>113.85120000000001</v>
      </c>
      <c r="M26" s="29">
        <f t="shared" ref="M26" si="92">L26/L25-1</f>
        <v>-1.0270132119068798E-2</v>
      </c>
      <c r="N26" s="28">
        <v>113.3557</v>
      </c>
      <c r="O26" s="29">
        <f t="shared" ref="O26:Q26" si="93">N26/N25-1</f>
        <v>-8.165272393031997E-3</v>
      </c>
      <c r="P26" s="28">
        <v>113.1236</v>
      </c>
      <c r="Q26" s="29">
        <f t="shared" si="93"/>
        <v>-3.978851072634626E-3</v>
      </c>
      <c r="R26" s="28">
        <v>112.6943</v>
      </c>
      <c r="S26" s="29">
        <f t="shared" ref="S26" si="94">R26/R25-1</f>
        <v>1.8105346491070762E-4</v>
      </c>
      <c r="U26" s="27">
        <v>44926</v>
      </c>
      <c r="V26" s="28">
        <v>102.9487</v>
      </c>
      <c r="W26" s="29">
        <f t="shared" si="5"/>
        <v>-3.2365185009037289E-2</v>
      </c>
      <c r="X26" s="28">
        <v>104.77030000000001</v>
      </c>
      <c r="Y26" s="29">
        <f t="shared" si="6"/>
        <v>-1.7039681385541239E-2</v>
      </c>
      <c r="Z26" s="28">
        <v>94.797499999999999</v>
      </c>
      <c r="AA26" s="29">
        <f t="shared" si="6"/>
        <v>-1.3669568510674579E-2</v>
      </c>
    </row>
    <row r="27" spans="1:37">
      <c r="A27" s="27">
        <v>40939</v>
      </c>
      <c r="B27" s="28">
        <v>119.04179999999999</v>
      </c>
      <c r="C27" s="29">
        <f t="shared" si="0"/>
        <v>4.5591087313967549E-2</v>
      </c>
      <c r="D27" s="28">
        <v>119.04179999999999</v>
      </c>
      <c r="E27" s="29">
        <f t="shared" si="0"/>
        <v>4.5591087313967549E-2</v>
      </c>
      <c r="F27" s="28">
        <v>118.9738</v>
      </c>
      <c r="G27" s="29">
        <f t="shared" ref="G27:I27" si="95">F27/F26-1</f>
        <v>4.4045611146895425E-2</v>
      </c>
      <c r="H27" s="28">
        <v>118.8841</v>
      </c>
      <c r="I27" s="29">
        <f t="shared" si="95"/>
        <v>4.094918542931536E-2</v>
      </c>
      <c r="J27" s="29"/>
      <c r="K27" s="27">
        <v>40939</v>
      </c>
      <c r="L27" s="28">
        <v>119.04179999999999</v>
      </c>
      <c r="M27" s="29">
        <f t="shared" ref="M27" si="96">L27/L26-1</f>
        <v>4.5591087313967549E-2</v>
      </c>
      <c r="N27" s="28">
        <v>118.3272</v>
      </c>
      <c r="O27" s="29">
        <f t="shared" ref="O27:Q27" si="97">N27/N26-1</f>
        <v>4.3857521059814442E-2</v>
      </c>
      <c r="P27" s="28">
        <v>117.6923</v>
      </c>
      <c r="Q27" s="29">
        <f t="shared" si="97"/>
        <v>4.0386798157060033E-2</v>
      </c>
      <c r="R27" s="28">
        <v>116.8539</v>
      </c>
      <c r="S27" s="29">
        <f t="shared" ref="S27" si="98">R27/R26-1</f>
        <v>3.6910473732921778E-2</v>
      </c>
      <c r="U27" s="27">
        <v>44957</v>
      </c>
      <c r="V27" s="28">
        <v>107.7646</v>
      </c>
      <c r="W27" s="29">
        <f t="shared" si="5"/>
        <v>4.6779609650243303E-2</v>
      </c>
      <c r="X27" s="28">
        <v>108.5224</v>
      </c>
      <c r="Y27" s="29">
        <f t="shared" si="6"/>
        <v>3.5812630106051069E-2</v>
      </c>
      <c r="Z27" s="28">
        <v>97.471599999999995</v>
      </c>
      <c r="AA27" s="29">
        <f t="shared" si="6"/>
        <v>2.8208549803528493E-2</v>
      </c>
    </row>
    <row r="28" spans="1:37">
      <c r="A28" s="27">
        <v>40968</v>
      </c>
      <c r="B28" s="28">
        <v>121.77119999999999</v>
      </c>
      <c r="C28" s="29">
        <f t="shared" si="0"/>
        <v>2.2928080724585742E-2</v>
      </c>
      <c r="D28" s="28">
        <v>121.77119999999999</v>
      </c>
      <c r="E28" s="29">
        <f t="shared" si="0"/>
        <v>2.2928080724585742E-2</v>
      </c>
      <c r="F28" s="28">
        <v>121.51139999999999</v>
      </c>
      <c r="G28" s="29">
        <f t="shared" ref="G28:I28" si="99">F28/F27-1</f>
        <v>2.1329065727075935E-2</v>
      </c>
      <c r="H28" s="28">
        <v>121.0389</v>
      </c>
      <c r="I28" s="29">
        <f t="shared" si="99"/>
        <v>1.812521607178752E-2</v>
      </c>
      <c r="J28" s="29"/>
      <c r="K28" s="27">
        <v>40968</v>
      </c>
      <c r="L28" s="28">
        <v>121.77119999999999</v>
      </c>
      <c r="M28" s="29">
        <f t="shared" ref="M28" si="100">L28/L27-1</f>
        <v>2.2928080724585742E-2</v>
      </c>
      <c r="N28" s="28">
        <v>120.8352</v>
      </c>
      <c r="O28" s="29">
        <f t="shared" ref="O28:Q28" si="101">N28/N27-1</f>
        <v>2.1195464779019568E-2</v>
      </c>
      <c r="P28" s="28">
        <v>119.7788</v>
      </c>
      <c r="Q28" s="29">
        <f t="shared" si="101"/>
        <v>1.77284325312701E-2</v>
      </c>
      <c r="R28" s="28">
        <v>118.5196</v>
      </c>
      <c r="S28" s="29">
        <f t="shared" ref="S28" si="102">R28/R27-1</f>
        <v>1.425455205175008E-2</v>
      </c>
      <c r="U28" s="27">
        <v>44985</v>
      </c>
      <c r="V28" s="28">
        <v>104.3306</v>
      </c>
      <c r="W28" s="29">
        <f t="shared" si="5"/>
        <v>-3.1865751833162204E-2</v>
      </c>
      <c r="X28" s="28">
        <v>105.2504</v>
      </c>
      <c r="Y28" s="29">
        <f t="shared" si="6"/>
        <v>-3.0150457417086329E-2</v>
      </c>
      <c r="Z28" s="28">
        <v>94.794700000000006</v>
      </c>
      <c r="AA28" s="29">
        <f t="shared" si="6"/>
        <v>-2.7463384206271257E-2</v>
      </c>
    </row>
    <row r="29" spans="1:37">
      <c r="A29" s="27">
        <v>40999</v>
      </c>
      <c r="B29" s="28">
        <v>123.91200000000001</v>
      </c>
      <c r="C29" s="29">
        <f t="shared" si="0"/>
        <v>1.7580511648074504E-2</v>
      </c>
      <c r="D29" s="28">
        <v>123.91200000000001</v>
      </c>
      <c r="E29" s="29">
        <f t="shared" si="0"/>
        <v>1.7580511648074504E-2</v>
      </c>
      <c r="F29" s="28">
        <v>123.3797</v>
      </c>
      <c r="G29" s="29">
        <f t="shared" ref="G29:I29" si="103">F29/F28-1</f>
        <v>1.5375512091869714E-2</v>
      </c>
      <c r="H29" s="28">
        <v>122.3638</v>
      </c>
      <c r="I29" s="29">
        <f t="shared" si="103"/>
        <v>1.0946067751772315E-2</v>
      </c>
      <c r="J29" s="29"/>
      <c r="K29" s="27">
        <v>40999</v>
      </c>
      <c r="L29" s="28">
        <v>123.91200000000001</v>
      </c>
      <c r="M29" s="29">
        <f t="shared" ref="M29" si="104">L29/L28-1</f>
        <v>1.7580511648074504E-2</v>
      </c>
      <c r="N29" s="28">
        <v>122.64530000000001</v>
      </c>
      <c r="O29" s="29">
        <f t="shared" ref="O29:Q29" si="105">N29/N28-1</f>
        <v>1.4979906517306185E-2</v>
      </c>
      <c r="P29" s="28">
        <v>120.94880000000001</v>
      </c>
      <c r="Q29" s="29">
        <f t="shared" si="105"/>
        <v>9.7680056904894119E-3</v>
      </c>
      <c r="R29" s="28">
        <v>119.05800000000001</v>
      </c>
      <c r="S29" s="29">
        <f t="shared" ref="S29" si="106">R29/R28-1</f>
        <v>4.5427085477844908E-3</v>
      </c>
      <c r="U29" s="27">
        <v>45016</v>
      </c>
      <c r="V29" s="28">
        <v>106.2551</v>
      </c>
      <c r="W29" s="29">
        <f t="shared" si="5"/>
        <v>1.8446170155256514E-2</v>
      </c>
      <c r="X29" s="28">
        <v>106.1327</v>
      </c>
      <c r="Y29" s="29">
        <f t="shared" si="6"/>
        <v>8.3828660033595792E-3</v>
      </c>
      <c r="Z29" s="28">
        <v>96.986599999999996</v>
      </c>
      <c r="AA29" s="29">
        <f t="shared" si="6"/>
        <v>2.3122600736116938E-2</v>
      </c>
    </row>
    <row r="30" spans="1:37">
      <c r="A30" s="27">
        <v>41029</v>
      </c>
      <c r="B30" s="28">
        <v>124.0741</v>
      </c>
      <c r="C30" s="29">
        <f t="shared" si="0"/>
        <v>1.3081864549033817E-3</v>
      </c>
      <c r="D30" s="28">
        <v>124.0741</v>
      </c>
      <c r="E30" s="29">
        <f t="shared" si="0"/>
        <v>1.3081864549033817E-3</v>
      </c>
      <c r="F30" s="28">
        <v>123.6866</v>
      </c>
      <c r="G30" s="29">
        <f t="shared" ref="G30:I30" si="107">F30/F29-1</f>
        <v>2.487443234178599E-3</v>
      </c>
      <c r="H30" s="28">
        <v>122.95229999999999</v>
      </c>
      <c r="I30" s="29">
        <f t="shared" si="107"/>
        <v>4.8094289324129846E-3</v>
      </c>
      <c r="J30" s="29"/>
      <c r="K30" s="27">
        <v>41029</v>
      </c>
      <c r="L30" s="28">
        <v>124.0741</v>
      </c>
      <c r="M30" s="29">
        <f t="shared" ref="M30" si="108">L30/L29-1</f>
        <v>1.3081864549033817E-3</v>
      </c>
      <c r="N30" s="28">
        <v>122.93389999999999</v>
      </c>
      <c r="O30" s="29">
        <f t="shared" ref="O30:Q30" si="109">N30/N29-1</f>
        <v>2.3531272702663752E-3</v>
      </c>
      <c r="P30" s="28">
        <v>121.4816</v>
      </c>
      <c r="Q30" s="29">
        <f t="shared" si="109"/>
        <v>4.4051697908535914E-3</v>
      </c>
      <c r="R30" s="28">
        <v>119.82040000000001</v>
      </c>
      <c r="S30" s="29">
        <f t="shared" ref="S30" si="110">R30/R29-1</f>
        <v>6.4036016059398904E-3</v>
      </c>
      <c r="U30" s="27">
        <v>45046</v>
      </c>
      <c r="V30" s="28">
        <v>108.29859999999999</v>
      </c>
      <c r="W30" s="29">
        <f t="shared" si="5"/>
        <v>1.9232018039604615E-2</v>
      </c>
      <c r="X30" s="28">
        <v>107.37139999999999</v>
      </c>
      <c r="Y30" s="29">
        <f t="shared" si="6"/>
        <v>1.167123798791514E-2</v>
      </c>
      <c r="Z30" s="28">
        <v>98.1203</v>
      </c>
      <c r="AA30" s="29">
        <f t="shared" si="6"/>
        <v>1.1689243668713045E-2</v>
      </c>
    </row>
    <row r="31" spans="1:37">
      <c r="A31" s="27">
        <v>41060</v>
      </c>
      <c r="B31" s="28">
        <v>115.8151</v>
      </c>
      <c r="C31" s="29">
        <f t="shared" si="0"/>
        <v>-6.6565060717748481E-2</v>
      </c>
      <c r="D31" s="28">
        <v>115.8151</v>
      </c>
      <c r="E31" s="29">
        <f t="shared" si="0"/>
        <v>-6.6565060717748481E-2</v>
      </c>
      <c r="F31" s="28">
        <v>116.2201</v>
      </c>
      <c r="G31" s="29">
        <f t="shared" ref="G31:I31" si="111">F31/F30-1</f>
        <v>-6.0366280583345255E-2</v>
      </c>
      <c r="H31" s="28">
        <v>117.0637</v>
      </c>
      <c r="I31" s="29">
        <f t="shared" si="111"/>
        <v>-4.7893370030491433E-2</v>
      </c>
      <c r="J31" s="29"/>
      <c r="K31" s="27">
        <v>41060</v>
      </c>
      <c r="L31" s="28">
        <v>115.8151</v>
      </c>
      <c r="M31" s="29">
        <f t="shared" ref="M31" si="112">L31/L30-1</f>
        <v>-6.6565060717748481E-2</v>
      </c>
      <c r="N31" s="28">
        <v>115.50530000000001</v>
      </c>
      <c r="O31" s="29">
        <f t="shared" ref="O31:Q31" si="113">N31/N30-1</f>
        <v>-6.0427595642861598E-2</v>
      </c>
      <c r="P31" s="28">
        <v>115.6412</v>
      </c>
      <c r="Q31" s="29">
        <f t="shared" si="113"/>
        <v>-4.807641651081318E-2</v>
      </c>
      <c r="R31" s="28">
        <v>115.5521</v>
      </c>
      <c r="S31" s="29">
        <f t="shared" ref="S31" si="114">R31/R30-1</f>
        <v>-3.5622481647532567E-2</v>
      </c>
      <c r="U31" s="27">
        <v>45077</v>
      </c>
      <c r="V31" s="28">
        <v>105.1071</v>
      </c>
      <c r="W31" s="29">
        <f t="shared" si="5"/>
        <v>-2.9469448358519834E-2</v>
      </c>
      <c r="X31" s="28">
        <v>103.5772</v>
      </c>
      <c r="Y31" s="29">
        <f t="shared" si="6"/>
        <v>-3.5337156822021432E-2</v>
      </c>
      <c r="Z31" s="28">
        <v>96.222099999999998</v>
      </c>
      <c r="AA31" s="29">
        <f t="shared" si="6"/>
        <v>-1.9345639994985731E-2</v>
      </c>
    </row>
    <row r="32" spans="1:37">
      <c r="A32" s="27">
        <v>41090</v>
      </c>
      <c r="B32" s="28">
        <v>119.9166</v>
      </c>
      <c r="C32" s="29">
        <f t="shared" si="0"/>
        <v>3.5414207646498719E-2</v>
      </c>
      <c r="D32" s="28">
        <v>119.9166</v>
      </c>
      <c r="E32" s="29">
        <f t="shared" si="0"/>
        <v>3.5414207646498719E-2</v>
      </c>
      <c r="F32" s="28">
        <v>120.0675</v>
      </c>
      <c r="G32" s="29">
        <f t="shared" ref="G32:I32" si="115">F32/F31-1</f>
        <v>3.3104428579910028E-2</v>
      </c>
      <c r="H32" s="28">
        <v>120.38849999999999</v>
      </c>
      <c r="I32" s="29">
        <f t="shared" si="115"/>
        <v>2.8401630906933484E-2</v>
      </c>
      <c r="J32" s="29"/>
      <c r="K32" s="27">
        <v>41090</v>
      </c>
      <c r="L32" s="28">
        <v>119.9166</v>
      </c>
      <c r="M32" s="29">
        <f t="shared" ref="M32" si="116">L32/L31-1</f>
        <v>3.5414207646498719E-2</v>
      </c>
      <c r="N32" s="28">
        <v>119.2989</v>
      </c>
      <c r="O32" s="29">
        <f t="shared" ref="O32:Q32" si="117">N32/N31-1</f>
        <v>3.2843514540025431E-2</v>
      </c>
      <c r="P32" s="28">
        <v>118.8359</v>
      </c>
      <c r="Q32" s="29">
        <f t="shared" si="117"/>
        <v>2.7625967215836544E-2</v>
      </c>
      <c r="R32" s="28">
        <v>118.1307</v>
      </c>
      <c r="S32" s="29">
        <f t="shared" ref="S32" si="118">R32/R31-1</f>
        <v>2.2315475010839414E-2</v>
      </c>
      <c r="U32" s="27">
        <v>45107</v>
      </c>
      <c r="V32" s="28">
        <v>109.2426</v>
      </c>
      <c r="W32" s="29">
        <f t="shared" si="5"/>
        <v>3.9345581792286088E-2</v>
      </c>
      <c r="X32" s="28">
        <v>105.7826</v>
      </c>
      <c r="Y32" s="29">
        <f t="shared" si="6"/>
        <v>2.1292330744604016E-2</v>
      </c>
      <c r="Z32" s="28">
        <v>97.013499999999993</v>
      </c>
      <c r="AA32" s="29">
        <f t="shared" si="6"/>
        <v>8.2247217635034175E-3</v>
      </c>
    </row>
    <row r="33" spans="1:27">
      <c r="A33" s="27">
        <v>41121</v>
      </c>
      <c r="B33" s="28">
        <v>121.8429</v>
      </c>
      <c r="C33" s="29">
        <f t="shared" si="0"/>
        <v>1.6063664246651399E-2</v>
      </c>
      <c r="D33" s="28">
        <v>121.8429</v>
      </c>
      <c r="E33" s="29">
        <f t="shared" si="0"/>
        <v>1.6063664246651399E-2</v>
      </c>
      <c r="F33" s="28">
        <v>122.0506</v>
      </c>
      <c r="G33" s="29">
        <f t="shared" ref="G33:I33" si="119">F33/F32-1</f>
        <v>1.6516542778020726E-2</v>
      </c>
      <c r="H33" s="28">
        <v>122.48139999999999</v>
      </c>
      <c r="I33" s="29">
        <f t="shared" si="119"/>
        <v>1.7384550849956604E-2</v>
      </c>
      <c r="J33" s="29"/>
      <c r="K33" s="27">
        <v>41121</v>
      </c>
      <c r="L33" s="28">
        <v>121.8429</v>
      </c>
      <c r="M33" s="29">
        <f t="shared" ref="M33" si="120">L33/L32-1</f>
        <v>1.6063664246651399E-2</v>
      </c>
      <c r="N33" s="28">
        <v>121.25279999999999</v>
      </c>
      <c r="O33" s="29">
        <f t="shared" ref="O33:Q33" si="121">N33/N32-1</f>
        <v>1.6378189572577639E-2</v>
      </c>
      <c r="P33" s="28">
        <v>120.8526</v>
      </c>
      <c r="Q33" s="29">
        <f t="shared" si="121"/>
        <v>1.6970460946565735E-2</v>
      </c>
      <c r="R33" s="28">
        <v>120.1994</v>
      </c>
      <c r="S33" s="29">
        <f t="shared" ref="S33" si="122">R33/R32-1</f>
        <v>1.7511959211280237E-2</v>
      </c>
      <c r="U33" s="27">
        <v>45138</v>
      </c>
      <c r="V33" s="28">
        <v>111.76390000000001</v>
      </c>
      <c r="W33" s="29">
        <f t="shared" si="5"/>
        <v>2.3079824171156726E-2</v>
      </c>
      <c r="X33" s="28">
        <v>107.5291</v>
      </c>
      <c r="Y33" s="29">
        <f t="shared" si="6"/>
        <v>1.6510276737383922E-2</v>
      </c>
      <c r="Z33" s="28">
        <v>97.655500000000004</v>
      </c>
      <c r="AA33" s="29">
        <f t="shared" si="6"/>
        <v>6.6176356898783872E-3</v>
      </c>
    </row>
    <row r="34" spans="1:27">
      <c r="A34" s="27">
        <v>41152</v>
      </c>
      <c r="B34" s="28">
        <v>124.0184</v>
      </c>
      <c r="C34" s="29">
        <f t="shared" si="0"/>
        <v>1.7854959131800019E-2</v>
      </c>
      <c r="D34" s="28">
        <v>124.0184</v>
      </c>
      <c r="E34" s="29">
        <f t="shared" si="0"/>
        <v>1.7854959131800019E-2</v>
      </c>
      <c r="F34" s="28">
        <v>124.0514</v>
      </c>
      <c r="G34" s="29">
        <f t="shared" ref="G34:I34" si="123">F34/F33-1</f>
        <v>1.639320085276097E-2</v>
      </c>
      <c r="H34" s="28">
        <v>124.1298</v>
      </c>
      <c r="I34" s="29">
        <f t="shared" si="123"/>
        <v>1.3458370005568376E-2</v>
      </c>
      <c r="J34" s="29"/>
      <c r="K34" s="27">
        <v>41152</v>
      </c>
      <c r="L34" s="28">
        <v>124.0184</v>
      </c>
      <c r="M34" s="29">
        <f t="shared" ref="M34" si="124">L34/L33-1</f>
        <v>1.7854959131800019E-2</v>
      </c>
      <c r="N34" s="28">
        <v>123.22499999999999</v>
      </c>
      <c r="O34" s="29">
        <f t="shared" ref="O34:Q34" si="125">N34/N33-1</f>
        <v>1.6265191401765522E-2</v>
      </c>
      <c r="P34" s="28">
        <v>122.4331</v>
      </c>
      <c r="Q34" s="29">
        <f t="shared" si="125"/>
        <v>1.3077914749041408E-2</v>
      </c>
      <c r="R34" s="28">
        <v>121.3865</v>
      </c>
      <c r="S34" s="29">
        <f t="shared" ref="S34" si="126">R34/R33-1</f>
        <v>9.8760892317266702E-3</v>
      </c>
      <c r="U34" s="27">
        <v>45169</v>
      </c>
      <c r="V34" s="28">
        <v>109.8167</v>
      </c>
      <c r="W34" s="29">
        <f t="shared" si="5"/>
        <v>-1.7422441414446044E-2</v>
      </c>
      <c r="X34" s="28">
        <v>105.6644</v>
      </c>
      <c r="Y34" s="29">
        <f t="shared" si="6"/>
        <v>-1.7341352247903119E-2</v>
      </c>
      <c r="Z34" s="28">
        <v>96.717799999999997</v>
      </c>
      <c r="AA34" s="29">
        <f t="shared" si="6"/>
        <v>-9.602121744295089E-3</v>
      </c>
    </row>
    <row r="35" spans="1:27">
      <c r="A35" s="27">
        <v>41182</v>
      </c>
      <c r="B35" s="28">
        <v>126.83499999999999</v>
      </c>
      <c r="C35" s="29">
        <f t="shared" si="0"/>
        <v>2.2711146087999845E-2</v>
      </c>
      <c r="D35" s="28">
        <v>126.83499999999999</v>
      </c>
      <c r="E35" s="29">
        <f t="shared" si="0"/>
        <v>2.2711146087999845E-2</v>
      </c>
      <c r="F35" s="28">
        <v>126.7281</v>
      </c>
      <c r="G35" s="29">
        <f t="shared" ref="G35:I35" si="127">F35/F34-1</f>
        <v>2.157734616457363E-2</v>
      </c>
      <c r="H35" s="28">
        <v>126.52370000000001</v>
      </c>
      <c r="I35" s="29">
        <f t="shared" si="127"/>
        <v>1.9285457641919912E-2</v>
      </c>
      <c r="J35" s="29"/>
      <c r="K35" s="27">
        <v>41182</v>
      </c>
      <c r="L35" s="28">
        <v>126.83499999999999</v>
      </c>
      <c r="M35" s="29">
        <f t="shared" ref="M35" si="128">L35/L34-1</f>
        <v>2.2711146087999845E-2</v>
      </c>
      <c r="N35" s="28">
        <v>125.87309999999999</v>
      </c>
      <c r="O35" s="29">
        <f t="shared" ref="O35:Q35" si="129">N35/N34-1</f>
        <v>2.148995739500914E-2</v>
      </c>
      <c r="P35" s="28">
        <v>124.7621</v>
      </c>
      <c r="Q35" s="29">
        <f t="shared" si="129"/>
        <v>1.9022633585198845E-2</v>
      </c>
      <c r="R35" s="28">
        <v>123.3929</v>
      </c>
      <c r="S35" s="29">
        <f t="shared" ref="S35" si="130">R35/R34-1</f>
        <v>1.6529020937254169E-2</v>
      </c>
      <c r="U35" s="27">
        <v>45199</v>
      </c>
      <c r="V35" s="28">
        <v>105.5213</v>
      </c>
      <c r="W35" s="29">
        <f t="shared" si="5"/>
        <v>-3.9114269505457711E-2</v>
      </c>
      <c r="X35" s="28">
        <v>102.5779</v>
      </c>
      <c r="Y35" s="29">
        <f t="shared" si="6"/>
        <v>-2.9210405775265902E-2</v>
      </c>
      <c r="Z35" s="28">
        <v>94.410200000000003</v>
      </c>
      <c r="AA35" s="29">
        <f t="shared" si="6"/>
        <v>-2.3859103494909828E-2</v>
      </c>
    </row>
    <row r="36" spans="1:27">
      <c r="A36" s="27">
        <v>41213</v>
      </c>
      <c r="B36" s="28">
        <v>125.7642</v>
      </c>
      <c r="C36" s="29">
        <f t="shared" si="0"/>
        <v>-8.4424646193873576E-3</v>
      </c>
      <c r="D36" s="28">
        <v>125.7642</v>
      </c>
      <c r="E36" s="29">
        <f t="shared" si="0"/>
        <v>-8.4424646193873576E-3</v>
      </c>
      <c r="F36" s="28">
        <v>125.85209999999999</v>
      </c>
      <c r="G36" s="29">
        <f t="shared" ref="G36:I36" si="131">F36/F35-1</f>
        <v>-6.9124369417674636E-3</v>
      </c>
      <c r="H36" s="28">
        <v>126.03360000000001</v>
      </c>
      <c r="I36" s="29">
        <f t="shared" si="131"/>
        <v>-3.8735825778095645E-3</v>
      </c>
      <c r="J36" s="29"/>
      <c r="K36" s="27">
        <v>41213</v>
      </c>
      <c r="L36" s="28">
        <v>125.7642</v>
      </c>
      <c r="M36" s="29">
        <f t="shared" ref="M36" si="132">L36/L35-1</f>
        <v>-8.4424646193873576E-3</v>
      </c>
      <c r="N36" s="28">
        <v>124.99379999999999</v>
      </c>
      <c r="O36" s="29">
        <f t="shared" ref="O36:Q36" si="133">N36/N35-1</f>
        <v>-6.9856069326964532E-3</v>
      </c>
      <c r="P36" s="28">
        <v>124.25149999999999</v>
      </c>
      <c r="Q36" s="29">
        <f t="shared" si="133"/>
        <v>-4.0925890154142053E-3</v>
      </c>
      <c r="R36" s="28">
        <v>123.2415</v>
      </c>
      <c r="S36" s="29">
        <f t="shared" ref="S36" si="134">R36/R35-1</f>
        <v>-1.2269749718176737E-3</v>
      </c>
      <c r="U36" s="27">
        <v>45230</v>
      </c>
      <c r="V36" s="28">
        <v>104.7256</v>
      </c>
      <c r="W36" s="29">
        <f t="shared" si="5"/>
        <v>-7.540657668167472E-3</v>
      </c>
      <c r="X36" s="28">
        <v>101.4037</v>
      </c>
      <c r="Y36" s="29">
        <f t="shared" si="6"/>
        <v>-1.1446910104418229E-2</v>
      </c>
      <c r="Z36" s="28">
        <v>93.439300000000003</v>
      </c>
      <c r="AA36" s="29">
        <f t="shared" si="6"/>
        <v>-1.0283846448794765E-2</v>
      </c>
    </row>
    <row r="37" spans="1:27">
      <c r="A37" s="27">
        <v>41243</v>
      </c>
      <c r="B37" s="28">
        <v>125.7698</v>
      </c>
      <c r="C37" s="29">
        <f t="shared" si="0"/>
        <v>4.4527774994751468E-5</v>
      </c>
      <c r="D37" s="28">
        <v>125.7698</v>
      </c>
      <c r="E37" s="29">
        <f t="shared" si="0"/>
        <v>4.4527774994751468E-5</v>
      </c>
      <c r="F37" s="28">
        <v>125.94110000000001</v>
      </c>
      <c r="G37" s="29">
        <f t="shared" ref="G37:I37" si="135">F37/F36-1</f>
        <v>7.0717930014696506E-4</v>
      </c>
      <c r="H37" s="28">
        <v>126.2843</v>
      </c>
      <c r="I37" s="29">
        <f t="shared" si="135"/>
        <v>1.9891520991226486E-3</v>
      </c>
      <c r="J37" s="29"/>
      <c r="K37" s="27">
        <v>41243</v>
      </c>
      <c r="L37" s="28">
        <v>125.7698</v>
      </c>
      <c r="M37" s="29">
        <f t="shared" ref="M37" si="136">L37/L36-1</f>
        <v>4.4527774994751468E-5</v>
      </c>
      <c r="N37" s="28">
        <v>125.1292</v>
      </c>
      <c r="O37" s="29">
        <f t="shared" ref="O37:Q37" si="137">N37/N36-1</f>
        <v>1.0832537293850031E-3</v>
      </c>
      <c r="P37" s="28">
        <v>124.63930000000001</v>
      </c>
      <c r="Q37" s="29">
        <f t="shared" si="137"/>
        <v>3.1210890814197256E-3</v>
      </c>
      <c r="R37" s="28">
        <v>123.8704</v>
      </c>
      <c r="S37" s="29">
        <f t="shared" ref="S37" si="138">R37/R36-1</f>
        <v>5.102988847101031E-3</v>
      </c>
      <c r="U37" s="27">
        <v>45260</v>
      </c>
      <c r="V37" s="28">
        <v>112.3807</v>
      </c>
      <c r="W37" s="29">
        <f t="shared" si="5"/>
        <v>7.3096740434048568E-2</v>
      </c>
      <c r="X37" s="28">
        <v>107.25020000000001</v>
      </c>
      <c r="Y37" s="29">
        <f t="shared" si="6"/>
        <v>5.7655687119898102E-2</v>
      </c>
      <c r="Z37" s="28">
        <v>97.759900000000002</v>
      </c>
      <c r="AA37" s="29">
        <f t="shared" si="6"/>
        <v>4.6239644346650621E-2</v>
      </c>
    </row>
    <row r="38" spans="1:27">
      <c r="A38" s="27">
        <v>41274</v>
      </c>
      <c r="B38" s="28">
        <v>128.4451</v>
      </c>
      <c r="C38" s="29">
        <f t="shared" si="0"/>
        <v>2.1271402196711753E-2</v>
      </c>
      <c r="D38" s="28">
        <v>128.4451</v>
      </c>
      <c r="E38" s="29">
        <f t="shared" si="0"/>
        <v>2.1271402196711753E-2</v>
      </c>
      <c r="F38" s="28">
        <v>128.38890000000001</v>
      </c>
      <c r="G38" s="29">
        <f t="shared" ref="G38:I38" si="139">F38/F37-1</f>
        <v>1.9436069718304916E-2</v>
      </c>
      <c r="H38" s="28">
        <v>128.274</v>
      </c>
      <c r="I38" s="29">
        <f t="shared" si="139"/>
        <v>1.5755719436224558E-2</v>
      </c>
      <c r="J38" s="29"/>
      <c r="K38" s="27">
        <v>41274</v>
      </c>
      <c r="L38" s="28">
        <v>128.4451</v>
      </c>
      <c r="M38" s="29">
        <f t="shared" ref="M38" si="140">L38/L37-1</f>
        <v>2.1271402196711753E-2</v>
      </c>
      <c r="N38" s="28">
        <v>127.4881</v>
      </c>
      <c r="O38" s="29">
        <f t="shared" ref="O38:Q38" si="141">N38/N37-1</f>
        <v>1.8851714867512914E-2</v>
      </c>
      <c r="P38" s="28">
        <v>126.3853</v>
      </c>
      <c r="Q38" s="29">
        <f t="shared" si="141"/>
        <v>1.4008422704556267E-2</v>
      </c>
      <c r="R38" s="28">
        <v>125.00530000000001</v>
      </c>
      <c r="S38" s="29">
        <f t="shared" ref="S38" si="142">R38/R37-1</f>
        <v>9.1619951174777281E-3</v>
      </c>
      <c r="U38" s="27">
        <v>45291</v>
      </c>
      <c r="V38" s="28">
        <v>116.6019</v>
      </c>
      <c r="W38" s="29">
        <f t="shared" si="5"/>
        <v>3.7561609778191452E-2</v>
      </c>
      <c r="X38" s="28">
        <v>111.27200000000001</v>
      </c>
      <c r="Y38" s="29">
        <f t="shared" si="6"/>
        <v>3.7499230770665193E-2</v>
      </c>
      <c r="Z38" s="28">
        <v>100.8518</v>
      </c>
      <c r="AA38" s="29">
        <f t="shared" si="6"/>
        <v>3.1627487343992788E-2</v>
      </c>
    </row>
    <row r="39" spans="1:27">
      <c r="A39" s="27">
        <v>41305</v>
      </c>
      <c r="B39" s="28">
        <v>133.4787</v>
      </c>
      <c r="C39" s="29">
        <f t="shared" si="0"/>
        <v>3.9188727323969497E-2</v>
      </c>
      <c r="D39" s="28">
        <v>133.4787</v>
      </c>
      <c r="E39" s="29">
        <f t="shared" si="0"/>
        <v>3.9188727323969497E-2</v>
      </c>
      <c r="F39" s="28">
        <v>132.8759</v>
      </c>
      <c r="G39" s="29">
        <f t="shared" ref="G39:I39" si="143">F39/F38-1</f>
        <v>3.4948504115231094E-2</v>
      </c>
      <c r="H39" s="28">
        <v>131.67349999999999</v>
      </c>
      <c r="I39" s="29">
        <f t="shared" si="143"/>
        <v>2.6501863199089426E-2</v>
      </c>
      <c r="J39" s="29"/>
      <c r="K39" s="27">
        <v>41305</v>
      </c>
      <c r="L39" s="28">
        <v>133.4787</v>
      </c>
      <c r="M39" s="29">
        <f t="shared" ref="M39" si="144">L39/L38-1</f>
        <v>3.9188727323969497E-2</v>
      </c>
      <c r="N39" s="28">
        <v>131.97890000000001</v>
      </c>
      <c r="O39" s="29">
        <f t="shared" ref="O39:Q39" si="145">N39/N38-1</f>
        <v>3.52252484741713E-2</v>
      </c>
      <c r="P39" s="28">
        <v>129.8389</v>
      </c>
      <c r="Q39" s="29">
        <f t="shared" si="145"/>
        <v>2.7325962750414767E-2</v>
      </c>
      <c r="R39" s="28">
        <v>127.4384</v>
      </c>
      <c r="S39" s="29">
        <f t="shared" ref="S39" si="146">R39/R38-1</f>
        <v>1.9463974727471633E-2</v>
      </c>
      <c r="U39" s="27">
        <v>45322</v>
      </c>
      <c r="V39" s="28">
        <v>117.66119999999999</v>
      </c>
      <c r="W39" s="29">
        <f t="shared" si="5"/>
        <v>9.0847576240180583E-3</v>
      </c>
      <c r="X39" s="28">
        <v>111.1593</v>
      </c>
      <c r="Y39" s="29">
        <f t="shared" si="6"/>
        <v>-1.0128334172119224E-3</v>
      </c>
      <c r="Z39" s="28">
        <v>101.1337</v>
      </c>
      <c r="AA39" s="29">
        <f t="shared" si="6"/>
        <v>2.7951905667524812E-3</v>
      </c>
    </row>
    <row r="40" spans="1:27">
      <c r="A40" s="27">
        <v>41333</v>
      </c>
      <c r="B40" s="28">
        <v>131.93969999999999</v>
      </c>
      <c r="C40" s="29">
        <f t="shared" si="0"/>
        <v>-1.1529929494368929E-2</v>
      </c>
      <c r="D40" s="28">
        <v>131.93969999999999</v>
      </c>
      <c r="E40" s="29">
        <f t="shared" si="0"/>
        <v>-1.1529929494368929E-2</v>
      </c>
      <c r="F40" s="28">
        <v>131.57570000000001</v>
      </c>
      <c r="G40" s="29">
        <f t="shared" ref="G40:I40" si="147">F40/F39-1</f>
        <v>-9.7850701293461517E-3</v>
      </c>
      <c r="H40" s="28">
        <v>130.8409</v>
      </c>
      <c r="I40" s="29">
        <f t="shared" si="147"/>
        <v>-6.3232161368839135E-3</v>
      </c>
      <c r="J40" s="29"/>
      <c r="K40" s="27">
        <v>41333</v>
      </c>
      <c r="L40" s="28">
        <v>131.93969999999999</v>
      </c>
      <c r="M40" s="29">
        <f t="shared" ref="M40" si="148">L40/L39-1</f>
        <v>-1.1529929494368929E-2</v>
      </c>
      <c r="N40" s="28">
        <v>130.67750000000001</v>
      </c>
      <c r="O40" s="29">
        <f t="shared" ref="O40:Q40" si="149">N40/N39-1</f>
        <v>-9.8606671217899011E-3</v>
      </c>
      <c r="P40" s="28">
        <v>128.989</v>
      </c>
      <c r="Q40" s="29">
        <f t="shared" si="149"/>
        <v>-6.5458040695045572E-3</v>
      </c>
      <c r="R40" s="28">
        <v>127.0223</v>
      </c>
      <c r="S40" s="29">
        <f t="shared" ref="S40" si="150">R40/R39-1</f>
        <v>-3.2651069065524618E-3</v>
      </c>
      <c r="U40" s="27">
        <v>45351</v>
      </c>
      <c r="V40" s="28">
        <v>123.2582</v>
      </c>
      <c r="W40" s="29">
        <f t="shared" si="5"/>
        <v>4.7568782232375817E-2</v>
      </c>
      <c r="X40" s="28">
        <v>112.8086</v>
      </c>
      <c r="Y40" s="29">
        <f t="shared" si="6"/>
        <v>1.4837265078135653E-2</v>
      </c>
      <c r="Z40" s="28">
        <v>101.5026</v>
      </c>
      <c r="AA40" s="29">
        <f t="shared" si="6"/>
        <v>3.6476466301538224E-3</v>
      </c>
    </row>
    <row r="41" spans="1:27">
      <c r="A41" s="27">
        <v>41364</v>
      </c>
      <c r="B41" s="28">
        <v>133.72190000000001</v>
      </c>
      <c r="C41" s="29">
        <f t="shared" si="0"/>
        <v>1.3507685707941031E-2</v>
      </c>
      <c r="D41" s="28">
        <v>133.72190000000001</v>
      </c>
      <c r="E41" s="29">
        <f t="shared" si="0"/>
        <v>1.3507685707941031E-2</v>
      </c>
      <c r="F41" s="28">
        <v>133.21080000000001</v>
      </c>
      <c r="G41" s="29">
        <f t="shared" ref="G41:I41" si="151">F41/F40-1</f>
        <v>1.2427066700006151E-2</v>
      </c>
      <c r="H41" s="28">
        <v>132.18260000000001</v>
      </c>
      <c r="I41" s="29">
        <f t="shared" si="151"/>
        <v>1.0254438787871356E-2</v>
      </c>
      <c r="J41" s="29"/>
      <c r="K41" s="27">
        <v>41364</v>
      </c>
      <c r="L41" s="28">
        <v>133.72190000000001</v>
      </c>
      <c r="M41" s="29">
        <f t="shared" ref="M41" si="152">L41/L40-1</f>
        <v>1.3507685707941031E-2</v>
      </c>
      <c r="N41" s="28">
        <v>132.26439999999999</v>
      </c>
      <c r="O41" s="29">
        <f t="shared" ref="O41:Q41" si="153">N41/N40-1</f>
        <v>1.214363605058244E-2</v>
      </c>
      <c r="P41" s="28">
        <v>130.2021</v>
      </c>
      <c r="Q41" s="29">
        <f t="shared" si="153"/>
        <v>9.4046779182721529E-3</v>
      </c>
      <c r="R41" s="28">
        <v>127.86750000000001</v>
      </c>
      <c r="S41" s="29">
        <f t="shared" ref="S41" si="154">R41/R40-1</f>
        <v>6.6539497395339264E-3</v>
      </c>
      <c r="U41" s="27">
        <v>45382</v>
      </c>
      <c r="V41" s="28">
        <v>126.8984</v>
      </c>
      <c r="W41" s="29">
        <f t="shared" si="5"/>
        <v>2.9533126396458664E-2</v>
      </c>
      <c r="X41" s="28">
        <v>115.8899</v>
      </c>
      <c r="Y41" s="29">
        <f t="shared" si="6"/>
        <v>2.7314406880326381E-2</v>
      </c>
      <c r="Z41" s="28">
        <v>103.1387</v>
      </c>
      <c r="AA41" s="29">
        <f t="shared" si="6"/>
        <v>1.6118798927318156E-2</v>
      </c>
    </row>
    <row r="42" spans="1:27">
      <c r="A42" s="27">
        <v>41394</v>
      </c>
      <c r="B42" s="28">
        <v>136.74709999999999</v>
      </c>
      <c r="C42" s="29">
        <f t="shared" si="0"/>
        <v>2.2623070716165206E-2</v>
      </c>
      <c r="D42" s="28">
        <v>136.74709999999999</v>
      </c>
      <c r="E42" s="29">
        <f t="shared" si="0"/>
        <v>2.2623070716165206E-2</v>
      </c>
      <c r="F42" s="28">
        <v>136.09950000000001</v>
      </c>
      <c r="G42" s="29">
        <f t="shared" ref="G42:I42" si="155">F42/F41-1</f>
        <v>2.1685178679206274E-2</v>
      </c>
      <c r="H42" s="28">
        <v>134.7955</v>
      </c>
      <c r="I42" s="29">
        <f t="shared" si="155"/>
        <v>1.9767352132580296E-2</v>
      </c>
      <c r="J42" s="29"/>
      <c r="K42" s="27">
        <v>41394</v>
      </c>
      <c r="L42" s="28">
        <v>136.74709999999999</v>
      </c>
      <c r="M42" s="29">
        <f t="shared" ref="M42" si="156">L42/L41-1</f>
        <v>2.2623070716165206E-2</v>
      </c>
      <c r="N42" s="28">
        <v>135.1208</v>
      </c>
      <c r="O42" s="29">
        <f t="shared" ref="O42:Q42" si="157">N42/N41-1</f>
        <v>2.1596136224108831E-2</v>
      </c>
      <c r="P42" s="28">
        <v>132.74080000000001</v>
      </c>
      <c r="Q42" s="29">
        <f t="shared" si="157"/>
        <v>1.949814941540895E-2</v>
      </c>
      <c r="R42" s="28">
        <v>130.08510000000001</v>
      </c>
      <c r="S42" s="29">
        <f t="shared" ref="S42" si="158">R42/R41-1</f>
        <v>1.7342952665845512E-2</v>
      </c>
      <c r="U42" s="27">
        <v>45412</v>
      </c>
      <c r="V42" s="28">
        <v>121.0972</v>
      </c>
      <c r="W42" s="29">
        <f t="shared" si="5"/>
        <v>-4.5715312407406228E-2</v>
      </c>
      <c r="X42" s="28">
        <v>112.2025</v>
      </c>
      <c r="Y42" s="29">
        <f t="shared" si="6"/>
        <v>-3.181813082934748E-2</v>
      </c>
      <c r="Z42" s="28">
        <v>100.1345</v>
      </c>
      <c r="AA42" s="29">
        <f t="shared" si="6"/>
        <v>-2.9127766783952125E-2</v>
      </c>
    </row>
    <row r="43" spans="1:27">
      <c r="A43" s="27">
        <v>41425</v>
      </c>
      <c r="B43" s="28">
        <v>135.3946</v>
      </c>
      <c r="C43" s="29">
        <f t="shared" si="0"/>
        <v>-9.8905205302342036E-3</v>
      </c>
      <c r="D43" s="28">
        <v>135.3946</v>
      </c>
      <c r="E43" s="29">
        <f t="shared" si="0"/>
        <v>-9.8905205302342036E-3</v>
      </c>
      <c r="F43" s="28">
        <v>134.54839999999999</v>
      </c>
      <c r="G43" s="29">
        <f t="shared" ref="G43:I43" si="159">F43/F42-1</f>
        <v>-1.1396808952274018E-2</v>
      </c>
      <c r="H43" s="28">
        <v>132.85040000000001</v>
      </c>
      <c r="I43" s="29">
        <f t="shared" si="159"/>
        <v>-1.4430006936433259E-2</v>
      </c>
      <c r="J43" s="29"/>
      <c r="K43" s="27">
        <v>41425</v>
      </c>
      <c r="L43" s="28">
        <v>135.3946</v>
      </c>
      <c r="M43" s="29">
        <f t="shared" ref="M43" si="160">L43/L42-1</f>
        <v>-9.8905205302342036E-3</v>
      </c>
      <c r="N43" s="28">
        <v>133.62819999999999</v>
      </c>
      <c r="O43" s="29">
        <f t="shared" ref="O43:Q43" si="161">N43/N42-1</f>
        <v>-1.1046411803364187E-2</v>
      </c>
      <c r="P43" s="28">
        <v>130.96510000000001</v>
      </c>
      <c r="Q43" s="29">
        <f t="shared" si="161"/>
        <v>-1.3377198269107882E-2</v>
      </c>
      <c r="R43" s="28">
        <v>128.03790000000001</v>
      </c>
      <c r="S43" s="29">
        <f t="shared" ref="S43" si="162">R43/R42-1</f>
        <v>-1.5737390369842563E-2</v>
      </c>
      <c r="U43" s="27">
        <v>45443</v>
      </c>
      <c r="V43" s="28">
        <v>127.7958</v>
      </c>
      <c r="W43" s="29">
        <f t="shared" si="5"/>
        <v>5.5315895000049631E-2</v>
      </c>
      <c r="X43" s="28">
        <v>116.5331</v>
      </c>
      <c r="Y43" s="29">
        <f t="shared" si="6"/>
        <v>3.8596287961498277E-2</v>
      </c>
      <c r="Z43" s="28">
        <v>102.80500000000001</v>
      </c>
      <c r="AA43" s="29">
        <f t="shared" si="6"/>
        <v>2.6669130020122944E-2</v>
      </c>
    </row>
    <row r="44" spans="1:27">
      <c r="A44" s="27">
        <v>41455</v>
      </c>
      <c r="B44" s="28">
        <v>132.67019999999999</v>
      </c>
      <c r="C44" s="29">
        <f t="shared" si="0"/>
        <v>-2.0121925098933069E-2</v>
      </c>
      <c r="D44" s="28">
        <v>132.67019999999999</v>
      </c>
      <c r="E44" s="29">
        <f t="shared" si="0"/>
        <v>-2.0121925098933069E-2</v>
      </c>
      <c r="F44" s="28">
        <v>131.75579999999999</v>
      </c>
      <c r="G44" s="29">
        <f t="shared" ref="G44:I44" si="163">F44/F43-1</f>
        <v>-2.0755356436791494E-2</v>
      </c>
      <c r="H44" s="28">
        <v>129.91659999999999</v>
      </c>
      <c r="I44" s="29">
        <f t="shared" si="163"/>
        <v>-2.2083486387696416E-2</v>
      </c>
      <c r="J44" s="29"/>
      <c r="K44" s="27">
        <v>41455</v>
      </c>
      <c r="L44" s="28">
        <v>132.67019999999999</v>
      </c>
      <c r="M44" s="29">
        <f t="shared" ref="M44" si="164">L44/L43-1</f>
        <v>-2.0121925098933069E-2</v>
      </c>
      <c r="N44" s="28">
        <v>130.85210000000001</v>
      </c>
      <c r="O44" s="29">
        <f t="shared" ref="O44:Q44" si="165">N44/N43-1</f>
        <v>-2.0774806515391098E-2</v>
      </c>
      <c r="P44" s="28">
        <v>128.0658</v>
      </c>
      <c r="Q44" s="29">
        <f t="shared" si="165"/>
        <v>-2.2137958891338294E-2</v>
      </c>
      <c r="R44" s="28">
        <v>125.01909999999999</v>
      </c>
      <c r="S44" s="29">
        <f t="shared" ref="S44" si="166">R44/R43-1</f>
        <v>-2.3577393881030639E-2</v>
      </c>
      <c r="U44" s="27">
        <v>45473</v>
      </c>
      <c r="V44" s="28">
        <v>131.8125</v>
      </c>
      <c r="W44" s="29">
        <f t="shared" si="5"/>
        <v>3.1430610395646763E-2</v>
      </c>
      <c r="X44" s="28">
        <v>117.9924</v>
      </c>
      <c r="Y44" s="29">
        <f t="shared" si="6"/>
        <v>1.2522622327905131E-2</v>
      </c>
      <c r="Z44" s="28">
        <v>104.4512</v>
      </c>
      <c r="AA44" s="29">
        <f t="shared" si="6"/>
        <v>1.6012839842419968E-2</v>
      </c>
    </row>
    <row r="45" spans="1:27">
      <c r="A45" s="27">
        <v>41486</v>
      </c>
      <c r="B45" s="28">
        <v>139.48249999999999</v>
      </c>
      <c r="C45" s="29">
        <f t="shared" si="0"/>
        <v>5.134762742499821E-2</v>
      </c>
      <c r="D45" s="28">
        <v>139.48249999999999</v>
      </c>
      <c r="E45" s="29">
        <f t="shared" si="0"/>
        <v>5.134762742499821E-2</v>
      </c>
      <c r="F45" s="28">
        <v>137.83860000000001</v>
      </c>
      <c r="G45" s="29">
        <f t="shared" ref="G45:I45" si="167">F45/F44-1</f>
        <v>4.6167227552790902E-2</v>
      </c>
      <c r="H45" s="28">
        <v>134.57570000000001</v>
      </c>
      <c r="I45" s="29">
        <f t="shared" si="167"/>
        <v>3.5862237774079819E-2</v>
      </c>
      <c r="J45" s="29"/>
      <c r="K45" s="27">
        <v>41486</v>
      </c>
      <c r="L45" s="28">
        <v>139.48249999999999</v>
      </c>
      <c r="M45" s="29">
        <f t="shared" ref="M45" si="168">L45/L44-1</f>
        <v>5.134762742499821E-2</v>
      </c>
      <c r="N45" s="28">
        <v>136.8295</v>
      </c>
      <c r="O45" s="29">
        <f t="shared" ref="O45:Q45" si="169">N45/N44-1</f>
        <v>4.5680581358648276E-2</v>
      </c>
      <c r="P45" s="28">
        <v>132.47290000000001</v>
      </c>
      <c r="Q45" s="29">
        <f t="shared" si="169"/>
        <v>3.441277843108792E-2</v>
      </c>
      <c r="R45" s="28">
        <v>127.9238</v>
      </c>
      <c r="S45" s="29">
        <f t="shared" ref="S45" si="170">R45/R44-1</f>
        <v>2.3234049837185022E-2</v>
      </c>
      <c r="U45" s="27">
        <v>45504</v>
      </c>
      <c r="V45" s="28">
        <v>130.65389999999999</v>
      </c>
      <c r="W45" s="29">
        <f t="shared" si="5"/>
        <v>-8.789758179231888E-3</v>
      </c>
      <c r="X45" s="28">
        <v>119.8314</v>
      </c>
      <c r="Y45" s="29">
        <f t="shared" si="6"/>
        <v>1.558574959065151E-2</v>
      </c>
      <c r="Z45" s="28">
        <v>105.9957</v>
      </c>
      <c r="AA45" s="29">
        <f t="shared" si="6"/>
        <v>1.4786809534021561E-2</v>
      </c>
    </row>
    <row r="46" spans="1:27">
      <c r="A46" s="27">
        <v>41517</v>
      </c>
      <c r="B46" s="28">
        <v>135.31479999999999</v>
      </c>
      <c r="C46" s="29">
        <f t="shared" si="0"/>
        <v>-2.9879734016812098E-2</v>
      </c>
      <c r="D46" s="28">
        <v>135.31479999999999</v>
      </c>
      <c r="E46" s="29">
        <f t="shared" si="0"/>
        <v>-2.9879734016812098E-2</v>
      </c>
      <c r="F46" s="28">
        <v>134.04759999999999</v>
      </c>
      <c r="G46" s="29">
        <f t="shared" ref="G46:I46" si="171">F46/F45-1</f>
        <v>-2.7503181256919529E-2</v>
      </c>
      <c r="H46" s="28">
        <v>131.5121</v>
      </c>
      <c r="I46" s="29">
        <f t="shared" si="171"/>
        <v>-2.2764882515937224E-2</v>
      </c>
      <c r="J46" s="29"/>
      <c r="K46" s="27">
        <v>41517</v>
      </c>
      <c r="L46" s="28">
        <v>135.31479999999999</v>
      </c>
      <c r="M46" s="29">
        <f t="shared" ref="M46" si="172">L46/L45-1</f>
        <v>-2.9879734016812098E-2</v>
      </c>
      <c r="N46" s="28">
        <v>133.0146</v>
      </c>
      <c r="O46" s="29">
        <f t="shared" ref="O46:Q46" si="173">N46/N45-1</f>
        <v>-2.7880683624510794E-2</v>
      </c>
      <c r="P46" s="28">
        <v>129.30690000000001</v>
      </c>
      <c r="Q46" s="29">
        <f t="shared" si="173"/>
        <v>-2.3899227691097535E-2</v>
      </c>
      <c r="R46" s="28">
        <v>125.3733</v>
      </c>
      <c r="S46" s="29">
        <f t="shared" ref="S46" si="174">R46/R45-1</f>
        <v>-1.9937650382493288E-2</v>
      </c>
      <c r="U46" s="27">
        <v>45535</v>
      </c>
      <c r="V46" s="28">
        <v>134.535</v>
      </c>
      <c r="W46" s="29">
        <f t="shared" si="5"/>
        <v>2.9705198237480968E-2</v>
      </c>
      <c r="X46" s="28">
        <v>122.57129999999999</v>
      </c>
      <c r="Y46" s="29">
        <f t="shared" si="6"/>
        <v>2.2864624797840793E-2</v>
      </c>
      <c r="Z46" s="28">
        <v>108.3343</v>
      </c>
      <c r="AA46" s="29">
        <f t="shared" si="6"/>
        <v>2.2063159165890633E-2</v>
      </c>
    </row>
    <row r="47" spans="1:27">
      <c r="A47" s="27">
        <v>41547</v>
      </c>
      <c r="B47" s="28">
        <v>141.67679999999999</v>
      </c>
      <c r="C47" s="29">
        <f t="shared" si="0"/>
        <v>4.7016290900921298E-2</v>
      </c>
      <c r="D47" s="28">
        <v>141.67679999999999</v>
      </c>
      <c r="E47" s="29">
        <f t="shared" si="0"/>
        <v>4.7016290900921298E-2</v>
      </c>
      <c r="F47" s="28">
        <v>139.83019999999999</v>
      </c>
      <c r="G47" s="29">
        <f t="shared" ref="G47:I47" si="175">F47/F46-1</f>
        <v>4.3138407550750602E-2</v>
      </c>
      <c r="H47" s="28">
        <v>136.1679</v>
      </c>
      <c r="I47" s="29">
        <f t="shared" si="175"/>
        <v>3.5402065665440574E-2</v>
      </c>
      <c r="J47" s="29"/>
      <c r="K47" s="27">
        <v>41547</v>
      </c>
      <c r="L47" s="28">
        <v>141.67679999999999</v>
      </c>
      <c r="M47" s="29">
        <f t="shared" ref="M47" si="176">L47/L46-1</f>
        <v>4.7016290900921298E-2</v>
      </c>
      <c r="N47" s="28">
        <v>138.8494</v>
      </c>
      <c r="O47" s="29">
        <f t="shared" ref="O47:Q47" si="177">N47/N46-1</f>
        <v>4.3865861341537027E-2</v>
      </c>
      <c r="P47" s="28">
        <v>134.16460000000001</v>
      </c>
      <c r="Q47" s="29">
        <f t="shared" si="177"/>
        <v>3.7567214123917614E-2</v>
      </c>
      <c r="R47" s="28">
        <v>129.29400000000001</v>
      </c>
      <c r="S47" s="29">
        <f t="shared" ref="S47" si="178">R47/R46-1</f>
        <v>3.1272208676009994E-2</v>
      </c>
      <c r="U47" s="27">
        <v>45565</v>
      </c>
      <c r="V47" s="28">
        <v>136.93459999999999</v>
      </c>
      <c r="W47" s="29">
        <f t="shared" si="5"/>
        <v>1.7836250789757147E-2</v>
      </c>
      <c r="X47" s="28">
        <v>124.7757</v>
      </c>
      <c r="Y47" s="29">
        <f t="shared" si="6"/>
        <v>1.7984634249616382E-2</v>
      </c>
      <c r="Z47" s="28">
        <v>109.8879</v>
      </c>
      <c r="AA47" s="29">
        <f t="shared" si="6"/>
        <v>1.4340795112905091E-2</v>
      </c>
    </row>
    <row r="48" spans="1:27">
      <c r="A48" s="27">
        <v>41578</v>
      </c>
      <c r="B48" s="28">
        <v>146.9949</v>
      </c>
      <c r="C48" s="29">
        <f t="shared" si="0"/>
        <v>3.7536844423363691E-2</v>
      </c>
      <c r="D48" s="28">
        <v>146.9949</v>
      </c>
      <c r="E48" s="29">
        <f t="shared" si="0"/>
        <v>3.7536844423363691E-2</v>
      </c>
      <c r="F48" s="28">
        <v>144.636</v>
      </c>
      <c r="G48" s="29">
        <f t="shared" ref="G48:I48" si="179">F48/F47-1</f>
        <v>3.436882733486768E-2</v>
      </c>
      <c r="H48" s="28">
        <v>139.98419999999999</v>
      </c>
      <c r="I48" s="29">
        <f t="shared" si="179"/>
        <v>2.8026429136382314E-2</v>
      </c>
      <c r="J48" s="29"/>
      <c r="K48" s="27">
        <v>41578</v>
      </c>
      <c r="L48" s="28">
        <v>146.9949</v>
      </c>
      <c r="M48" s="29">
        <f t="shared" ref="M48" si="180">L48/L47-1</f>
        <v>3.7536844423363691E-2</v>
      </c>
      <c r="N48" s="28">
        <v>143.6069</v>
      </c>
      <c r="O48" s="29">
        <f t="shared" ref="O48:Q48" si="181">N48/N47-1</f>
        <v>3.4263741867087694E-2</v>
      </c>
      <c r="P48" s="28">
        <v>137.88220000000001</v>
      </c>
      <c r="Q48" s="29">
        <f t="shared" si="181"/>
        <v>2.7709246701439927E-2</v>
      </c>
      <c r="R48" s="28">
        <v>132.0274</v>
      </c>
      <c r="S48" s="29">
        <f t="shared" ref="S48" si="182">R48/R47-1</f>
        <v>2.114096555137901E-2</v>
      </c>
      <c r="U48" s="27">
        <v>45596</v>
      </c>
      <c r="V48" s="28">
        <v>135.2159</v>
      </c>
      <c r="W48" s="29">
        <f t="shared" si="5"/>
        <v>-1.2551247091677209E-2</v>
      </c>
      <c r="X48" s="28">
        <v>122.8822</v>
      </c>
      <c r="Y48" s="29">
        <f t="shared" si="6"/>
        <v>-1.5175230433489895E-2</v>
      </c>
      <c r="Z48" s="28">
        <v>107.73099999999999</v>
      </c>
      <c r="AA48" s="29">
        <f t="shared" si="6"/>
        <v>-1.9628184722794817E-2</v>
      </c>
    </row>
    <row r="49" spans="1:27">
      <c r="A49" s="27">
        <v>41608</v>
      </c>
      <c r="B49" s="28">
        <v>149.7937</v>
      </c>
      <c r="C49" s="29">
        <f t="shared" si="0"/>
        <v>1.9040116357778469E-2</v>
      </c>
      <c r="D49" s="28">
        <v>149.7937</v>
      </c>
      <c r="E49" s="29">
        <f t="shared" si="0"/>
        <v>1.9040116357778469E-2</v>
      </c>
      <c r="F49" s="28">
        <v>147.0821</v>
      </c>
      <c r="G49" s="29">
        <f t="shared" ref="G49:I49" si="183">F49/F48-1</f>
        <v>1.6912110401283265E-2</v>
      </c>
      <c r="H49" s="28">
        <v>141.75479999999999</v>
      </c>
      <c r="I49" s="29">
        <f t="shared" si="183"/>
        <v>1.2648570338652521E-2</v>
      </c>
      <c r="J49" s="29"/>
      <c r="K49" s="27">
        <v>41608</v>
      </c>
      <c r="L49" s="28">
        <v>149.7937</v>
      </c>
      <c r="M49" s="29">
        <f t="shared" ref="M49" si="184">L49/L48-1</f>
        <v>1.9040116357778469E-2</v>
      </c>
      <c r="N49" s="28">
        <v>146.05029999999999</v>
      </c>
      <c r="O49" s="29">
        <f t="shared" ref="O49:Q49" si="185">N49/N48-1</f>
        <v>1.7014502785033248E-2</v>
      </c>
      <c r="P49" s="28">
        <v>139.6686</v>
      </c>
      <c r="Q49" s="29">
        <f t="shared" si="185"/>
        <v>1.295598706722112E-2</v>
      </c>
      <c r="R49" s="28">
        <v>133.20070000000001</v>
      </c>
      <c r="S49" s="29">
        <f t="shared" ref="S49" si="186">R49/R48-1</f>
        <v>8.8867916811208314E-3</v>
      </c>
      <c r="U49" s="27">
        <v>45626</v>
      </c>
      <c r="V49" s="28">
        <v>142.67439999999999</v>
      </c>
      <c r="W49" s="29">
        <f t="shared" si="5"/>
        <v>5.5159933114374837E-2</v>
      </c>
      <c r="X49" s="28">
        <v>127.8492</v>
      </c>
      <c r="Y49" s="29">
        <f t="shared" si="6"/>
        <v>4.042082579901729E-2</v>
      </c>
      <c r="Z49" s="28">
        <v>110.7637</v>
      </c>
      <c r="AA49" s="29">
        <f t="shared" si="6"/>
        <v>2.8150671580139397E-2</v>
      </c>
    </row>
    <row r="50" spans="1:27">
      <c r="A50" s="27">
        <v>41639</v>
      </c>
      <c r="B50" s="28">
        <v>152.98689999999999</v>
      </c>
      <c r="C50" s="29">
        <f t="shared" si="0"/>
        <v>2.1317318418598408E-2</v>
      </c>
      <c r="D50" s="28">
        <v>152.98689999999999</v>
      </c>
      <c r="E50" s="29">
        <f t="shared" si="0"/>
        <v>2.1317318418598408E-2</v>
      </c>
      <c r="F50" s="28">
        <v>149.8245</v>
      </c>
      <c r="G50" s="29">
        <f t="shared" ref="G50:I50" si="187">F50/F49-1</f>
        <v>1.8645368811024632E-2</v>
      </c>
      <c r="H50" s="28">
        <v>143.63980000000001</v>
      </c>
      <c r="I50" s="29">
        <f t="shared" si="187"/>
        <v>1.3297609675298583E-2</v>
      </c>
      <c r="J50" s="29"/>
      <c r="K50" s="27">
        <v>41639</v>
      </c>
      <c r="L50" s="28">
        <v>152.98689999999999</v>
      </c>
      <c r="M50" s="29">
        <f t="shared" ref="M50" si="188">L50/L49-1</f>
        <v>2.1317318418598408E-2</v>
      </c>
      <c r="N50" s="28">
        <v>148.86179999999999</v>
      </c>
      <c r="O50" s="29">
        <f t="shared" ref="O50:Q50" si="189">N50/N49-1</f>
        <v>1.9250217219683785E-2</v>
      </c>
      <c r="P50" s="28">
        <v>141.7782</v>
      </c>
      <c r="Q50" s="29">
        <f t="shared" si="189"/>
        <v>1.5104325524849527E-2</v>
      </c>
      <c r="R50" s="28">
        <v>134.6583</v>
      </c>
      <c r="S50" s="29">
        <f t="shared" ref="S50" si="190">R50/R49-1</f>
        <v>1.0942885435286653E-2</v>
      </c>
      <c r="U50" s="27">
        <v>45657</v>
      </c>
      <c r="V50" s="28">
        <v>140.15190000000001</v>
      </c>
      <c r="W50" s="29">
        <f t="shared" si="5"/>
        <v>-1.7680116404904966E-2</v>
      </c>
      <c r="X50" s="28">
        <v>124.8386</v>
      </c>
      <c r="Y50" s="29">
        <f t="shared" si="6"/>
        <v>-2.3548055052358574E-2</v>
      </c>
      <c r="Z50" s="28">
        <v>108.73520000000001</v>
      </c>
      <c r="AA50" s="29">
        <f t="shared" si="6"/>
        <v>-1.8313761638515058E-2</v>
      </c>
    </row>
    <row r="51" spans="1:27">
      <c r="A51" s="27">
        <v>41670</v>
      </c>
      <c r="B51" s="28">
        <v>147.36410000000001</v>
      </c>
      <c r="C51" s="29">
        <f t="shared" si="0"/>
        <v>-3.675347366343118E-2</v>
      </c>
      <c r="D51" s="28">
        <v>147.36410000000001</v>
      </c>
      <c r="E51" s="29">
        <f t="shared" si="0"/>
        <v>-3.675347366343118E-2</v>
      </c>
      <c r="F51" s="28">
        <v>145.0273</v>
      </c>
      <c r="G51" s="29">
        <f t="shared" ref="G51:I51" si="191">F51/F50-1</f>
        <v>-3.2018795323862315E-2</v>
      </c>
      <c r="H51" s="28">
        <v>140.404</v>
      </c>
      <c r="I51" s="29">
        <f t="shared" si="191"/>
        <v>-2.2527182577530835E-2</v>
      </c>
      <c r="J51" s="29"/>
      <c r="K51" s="27">
        <v>41670</v>
      </c>
      <c r="L51" s="28">
        <v>147.36410000000001</v>
      </c>
      <c r="M51" s="29">
        <f t="shared" ref="M51" si="192">L51/L50-1</f>
        <v>-3.675347366343118E-2</v>
      </c>
      <c r="N51" s="28">
        <v>144.10509999999999</v>
      </c>
      <c r="O51" s="29">
        <f t="shared" ref="O51:Q51" si="193">N51/N50-1</f>
        <v>-3.1953798758311391E-2</v>
      </c>
      <c r="P51" s="28">
        <v>138.61240000000001</v>
      </c>
      <c r="Q51" s="29">
        <f t="shared" si="193"/>
        <v>-2.232924384707935E-2</v>
      </c>
      <c r="R51" s="28">
        <v>132.95240000000001</v>
      </c>
      <c r="S51" s="29">
        <f t="shared" ref="S51" si="194">R51/R50-1</f>
        <v>-1.2668361326409028E-2</v>
      </c>
      <c r="U51" s="27">
        <v>45688</v>
      </c>
      <c r="V51" s="28">
        <v>144.17779999999999</v>
      </c>
      <c r="W51" s="29">
        <f t="shared" si="5"/>
        <v>2.8725261662524648E-2</v>
      </c>
      <c r="X51" s="28">
        <v>127.2607</v>
      </c>
      <c r="Y51" s="29">
        <f t="shared" si="6"/>
        <v>1.9401851670877379E-2</v>
      </c>
      <c r="Z51" s="28">
        <v>110.27849999999999</v>
      </c>
      <c r="AA51" s="29">
        <f t="shared" si="6"/>
        <v>1.4193195947586279E-2</v>
      </c>
    </row>
    <row r="52" spans="1:27">
      <c r="A52" s="27">
        <v>41698</v>
      </c>
      <c r="B52" s="28">
        <v>154.23660000000001</v>
      </c>
      <c r="C52" s="29">
        <f t="shared" si="0"/>
        <v>4.6636188868252271E-2</v>
      </c>
      <c r="D52" s="28">
        <v>154.23660000000001</v>
      </c>
      <c r="E52" s="29">
        <f t="shared" si="0"/>
        <v>4.6636188868252271E-2</v>
      </c>
      <c r="F52" s="28">
        <v>151.18450000000001</v>
      </c>
      <c r="G52" s="29">
        <f t="shared" ref="G52:I52" si="195">F52/F51-1</f>
        <v>4.2455454938484127E-2</v>
      </c>
      <c r="H52" s="28">
        <v>145.1919</v>
      </c>
      <c r="I52" s="29">
        <f t="shared" si="195"/>
        <v>3.4100880316800142E-2</v>
      </c>
      <c r="J52" s="29"/>
      <c r="K52" s="27">
        <v>41698</v>
      </c>
      <c r="L52" s="28">
        <v>154.23660000000001</v>
      </c>
      <c r="M52" s="29">
        <f t="shared" ref="M52" si="196">L52/L51-1</f>
        <v>4.6636188868252271E-2</v>
      </c>
      <c r="N52" s="28">
        <v>150.29259999999999</v>
      </c>
      <c r="O52" s="29">
        <f t="shared" ref="O52:Q52" si="197">N52/N51-1</f>
        <v>4.2937411653022783E-2</v>
      </c>
      <c r="P52" s="28">
        <v>143.53899999999999</v>
      </c>
      <c r="Q52" s="29">
        <f t="shared" si="197"/>
        <v>3.5542274717124789E-2</v>
      </c>
      <c r="R52" s="28">
        <v>136.69479999999999</v>
      </c>
      <c r="S52" s="29">
        <f t="shared" ref="S52" si="198">R52/R51-1</f>
        <v>2.8148420036042676E-2</v>
      </c>
      <c r="U52" s="27">
        <v>45716</v>
      </c>
      <c r="V52" s="28">
        <v>141.66380000000001</v>
      </c>
      <c r="W52" s="29">
        <f t="shared" si="5"/>
        <v>-1.7436803724290351E-2</v>
      </c>
      <c r="X52" s="28">
        <v>128.11060000000001</v>
      </c>
      <c r="Y52" s="29">
        <f t="shared" si="6"/>
        <v>6.6784168246756259E-3</v>
      </c>
      <c r="Z52" s="28">
        <v>111.584</v>
      </c>
      <c r="AA52" s="29">
        <f t="shared" si="6"/>
        <v>1.1838209623816098E-2</v>
      </c>
    </row>
    <row r="53" spans="1:27">
      <c r="A53" s="27">
        <v>41729</v>
      </c>
      <c r="B53" s="28">
        <v>153.57390000000001</v>
      </c>
      <c r="C53" s="29">
        <f t="shared" si="0"/>
        <v>-4.29664554327569E-3</v>
      </c>
      <c r="D53" s="28">
        <v>153.57390000000001</v>
      </c>
      <c r="E53" s="29">
        <f t="shared" si="0"/>
        <v>-4.29664554327569E-3</v>
      </c>
      <c r="F53" s="28">
        <v>150.5909</v>
      </c>
      <c r="G53" s="29">
        <f t="shared" ref="G53:I53" si="199">F53/F52-1</f>
        <v>-3.926328426525294E-3</v>
      </c>
      <c r="H53" s="28">
        <v>144.72450000000001</v>
      </c>
      <c r="I53" s="29">
        <f t="shared" si="199"/>
        <v>-3.2191878472559443E-3</v>
      </c>
      <c r="J53" s="29"/>
      <c r="K53" s="27">
        <v>41729</v>
      </c>
      <c r="L53" s="28">
        <v>153.57390000000001</v>
      </c>
      <c r="M53" s="29">
        <f t="shared" ref="M53" si="200">L53/L52-1</f>
        <v>-4.29664554327569E-3</v>
      </c>
      <c r="N53" s="28">
        <v>149.69300000000001</v>
      </c>
      <c r="O53" s="29">
        <f t="shared" ref="O53:Q53" si="201">N53/N52-1</f>
        <v>-3.9895510490868258E-3</v>
      </c>
      <c r="P53" s="28">
        <v>143.0504</v>
      </c>
      <c r="Q53" s="29">
        <f t="shared" si="201"/>
        <v>-3.4039529326523876E-3</v>
      </c>
      <c r="R53" s="28">
        <v>136.30430000000001</v>
      </c>
      <c r="S53" s="29">
        <f t="shared" ref="S53" si="202">R53/R52-1</f>
        <v>-2.8567290050534044E-3</v>
      </c>
      <c r="U53" s="27">
        <v>45747</v>
      </c>
      <c r="V53" s="28">
        <v>133.11510000000001</v>
      </c>
      <c r="W53" s="29">
        <f t="shared" si="5"/>
        <v>-6.0344985804418605E-2</v>
      </c>
      <c r="X53" s="28">
        <v>124.7287</v>
      </c>
      <c r="Y53" s="29">
        <f t="shared" si="6"/>
        <v>-2.6398283982746129E-2</v>
      </c>
      <c r="Z53" s="28">
        <v>109.87990000000001</v>
      </c>
      <c r="AA53" s="29">
        <f t="shared" si="6"/>
        <v>-1.5271902781760827E-2</v>
      </c>
    </row>
    <row r="54" spans="1:27">
      <c r="A54" s="27">
        <v>41759</v>
      </c>
      <c r="B54" s="28">
        <v>153.58590000000001</v>
      </c>
      <c r="C54" s="29">
        <f t="shared" si="0"/>
        <v>7.8138277402661771E-5</v>
      </c>
      <c r="D54" s="28">
        <v>153.58590000000001</v>
      </c>
      <c r="E54" s="29">
        <f t="shared" si="0"/>
        <v>7.8138277402661771E-5</v>
      </c>
      <c r="F54" s="28">
        <v>150.70070000000001</v>
      </c>
      <c r="G54" s="29">
        <f t="shared" ref="G54:I54" si="203">F54/F53-1</f>
        <v>7.291277228571591E-4</v>
      </c>
      <c r="H54" s="28">
        <v>145.0111</v>
      </c>
      <c r="I54" s="29">
        <f t="shared" si="203"/>
        <v>1.9803143213483754E-3</v>
      </c>
      <c r="J54" s="29"/>
      <c r="K54" s="27">
        <v>41759</v>
      </c>
      <c r="L54" s="28">
        <v>153.58590000000001</v>
      </c>
      <c r="M54" s="29">
        <f t="shared" ref="M54" si="204">L54/L53-1</f>
        <v>7.8138277402661771E-5</v>
      </c>
      <c r="N54" s="28">
        <v>149.82830000000001</v>
      </c>
      <c r="O54" s="29">
        <f t="shared" ref="O54:Q54" si="205">N54/N53-1</f>
        <v>9.0384987941982686E-4</v>
      </c>
      <c r="P54" s="28">
        <v>143.4091</v>
      </c>
      <c r="Q54" s="29">
        <f t="shared" si="205"/>
        <v>2.5075078433893783E-3</v>
      </c>
      <c r="R54" s="28">
        <v>136.8563</v>
      </c>
      <c r="S54" s="29">
        <f t="shared" ref="S54" si="206">R54/R53-1</f>
        <v>4.0497621865194233E-3</v>
      </c>
      <c r="U54" s="27">
        <v>45777</v>
      </c>
      <c r="V54" s="28">
        <v>133.6146</v>
      </c>
      <c r="W54" s="29">
        <f t="shared" si="5"/>
        <v>3.7523917271593543E-3</v>
      </c>
      <c r="X54" s="28">
        <v>124.8789</v>
      </c>
      <c r="Y54" s="29">
        <f t="shared" si="6"/>
        <v>1.2042136252521374E-3</v>
      </c>
      <c r="Z54" s="28">
        <v>110.54649999999999</v>
      </c>
      <c r="AA54" s="29">
        <f t="shared" si="6"/>
        <v>6.0666236500033222E-3</v>
      </c>
    </row>
    <row r="55" spans="1:27">
      <c r="A55" s="27">
        <v>41790</v>
      </c>
      <c r="B55" s="28">
        <v>156.93780000000001</v>
      </c>
      <c r="C55" s="29">
        <f t="shared" si="0"/>
        <v>2.1824269024695697E-2</v>
      </c>
      <c r="D55" s="28">
        <v>156.93780000000001</v>
      </c>
      <c r="E55" s="29">
        <f t="shared" si="0"/>
        <v>2.1824269024695697E-2</v>
      </c>
      <c r="F55" s="28">
        <v>153.8578</v>
      </c>
      <c r="G55" s="29">
        <f t="shared" ref="G55:I55" si="207">F55/F54-1</f>
        <v>2.0949471369409611E-2</v>
      </c>
      <c r="H55" s="28">
        <v>147.7929</v>
      </c>
      <c r="I55" s="29">
        <f t="shared" si="207"/>
        <v>1.9183359066995642E-2</v>
      </c>
      <c r="J55" s="29"/>
      <c r="K55" s="27">
        <v>41790</v>
      </c>
      <c r="L55" s="28">
        <v>156.93780000000001</v>
      </c>
      <c r="M55" s="29">
        <f t="shared" ref="M55" si="208">L55/L54-1</f>
        <v>2.1824269024695697E-2</v>
      </c>
      <c r="N55" s="28">
        <v>152.97559999999999</v>
      </c>
      <c r="O55" s="29">
        <f t="shared" ref="O55:Q55" si="209">N55/N54-1</f>
        <v>2.1006044919417599E-2</v>
      </c>
      <c r="P55" s="28">
        <v>146.1848</v>
      </c>
      <c r="Q55" s="29">
        <f t="shared" si="209"/>
        <v>1.9355117632005259E-2</v>
      </c>
      <c r="R55" s="28">
        <v>139.27670000000001</v>
      </c>
      <c r="S55" s="29">
        <f t="shared" ref="S55" si="210">R55/R54-1</f>
        <v>1.7685703909867456E-2</v>
      </c>
      <c r="U55" s="27">
        <v>45808</v>
      </c>
      <c r="V55" s="28">
        <v>141.98339999999999</v>
      </c>
      <c r="W55" s="29">
        <f t="shared" si="5"/>
        <v>6.2633873843127796E-2</v>
      </c>
      <c r="X55" s="28">
        <v>128.89779999999999</v>
      </c>
      <c r="Y55" s="29">
        <f t="shared" si="6"/>
        <v>3.2182378288085456E-2</v>
      </c>
      <c r="Z55" s="28">
        <v>112.3399</v>
      </c>
      <c r="AA55" s="29">
        <f t="shared" si="6"/>
        <v>1.6223037364367032E-2</v>
      </c>
    </row>
    <row r="56" spans="1:27">
      <c r="A56" s="27">
        <v>41820</v>
      </c>
      <c r="B56" s="28">
        <v>160.3503</v>
      </c>
      <c r="C56" s="29">
        <f t="shared" si="0"/>
        <v>2.1744283403998255E-2</v>
      </c>
      <c r="D56" s="28">
        <v>160.3503</v>
      </c>
      <c r="E56" s="29">
        <f t="shared" si="0"/>
        <v>2.1744283403998255E-2</v>
      </c>
      <c r="F56" s="28">
        <v>156.90649999999999</v>
      </c>
      <c r="G56" s="29">
        <f t="shared" ref="G56:I56" si="211">F56/F55-1</f>
        <v>1.9815050000714818E-2</v>
      </c>
      <c r="H56" s="28">
        <v>150.15209999999999</v>
      </c>
      <c r="I56" s="29">
        <f t="shared" si="211"/>
        <v>1.5962877783709306E-2</v>
      </c>
      <c r="J56" s="29"/>
      <c r="K56" s="27">
        <v>41820</v>
      </c>
      <c r="L56" s="28">
        <v>160.3503</v>
      </c>
      <c r="M56" s="29">
        <f t="shared" ref="M56" si="212">L56/L55-1</f>
        <v>2.1744283403998255E-2</v>
      </c>
      <c r="N56" s="28">
        <v>155.97909999999999</v>
      </c>
      <c r="O56" s="29">
        <f t="shared" ref="O56:Q56" si="213">N56/N55-1</f>
        <v>1.9633850104199713E-2</v>
      </c>
      <c r="P56" s="28">
        <v>148.4392</v>
      </c>
      <c r="Q56" s="29">
        <f t="shared" si="213"/>
        <v>1.5421575977803359E-2</v>
      </c>
      <c r="R56" s="28">
        <v>140.83920000000001</v>
      </c>
      <c r="S56" s="29">
        <f t="shared" ref="S56" si="214">R56/R55-1</f>
        <v>1.1218674767567105E-2</v>
      </c>
      <c r="U56" s="27">
        <v>45838</v>
      </c>
      <c r="V56" s="28">
        <v>148.3546</v>
      </c>
      <c r="W56" s="29">
        <f t="shared" si="5"/>
        <v>4.487285133332497E-2</v>
      </c>
      <c r="X56" s="28">
        <v>132.85419999999999</v>
      </c>
      <c r="Y56" s="29">
        <f t="shared" si="6"/>
        <v>3.0694084771035746E-2</v>
      </c>
      <c r="Z56" s="28">
        <v>114.88679999999999</v>
      </c>
      <c r="AA56" s="29">
        <f t="shared" si="6"/>
        <v>2.2671374996773075E-2</v>
      </c>
    </row>
    <row r="57" spans="1:27">
      <c r="A57" s="27">
        <v>41851</v>
      </c>
      <c r="B57" s="28">
        <v>158.00810000000001</v>
      </c>
      <c r="C57" s="29">
        <f t="shared" si="0"/>
        <v>-1.4606770302269423E-2</v>
      </c>
      <c r="D57" s="28">
        <v>158.00810000000001</v>
      </c>
      <c r="E57" s="29">
        <f t="shared" si="0"/>
        <v>-1.4606770302269423E-2</v>
      </c>
      <c r="F57" s="28">
        <v>154.8365</v>
      </c>
      <c r="G57" s="29">
        <f t="shared" ref="G57:I57" si="215">F57/F56-1</f>
        <v>-1.3192570097478429E-2</v>
      </c>
      <c r="H57" s="28">
        <v>148.59270000000001</v>
      </c>
      <c r="I57" s="29">
        <f t="shared" si="215"/>
        <v>-1.038546913429772E-2</v>
      </c>
      <c r="J57" s="29"/>
      <c r="K57" s="27">
        <v>41851</v>
      </c>
      <c r="L57" s="28">
        <v>158.00810000000001</v>
      </c>
      <c r="M57" s="29">
        <f t="shared" ref="M57" si="216">L57/L56-1</f>
        <v>-1.4606770302269423E-2</v>
      </c>
      <c r="N57" s="28">
        <v>153.95060000000001</v>
      </c>
      <c r="O57" s="29">
        <f t="shared" ref="O57:Q57" si="217">N57/N56-1</f>
        <v>-1.3004947457704086E-2</v>
      </c>
      <c r="P57" s="28">
        <v>146.9821</v>
      </c>
      <c r="Q57" s="29">
        <f t="shared" si="217"/>
        <v>-9.8161402109415707E-3</v>
      </c>
      <c r="R57" s="28">
        <v>139.90299999999999</v>
      </c>
      <c r="S57" s="29">
        <f t="shared" ref="S57" si="218">R57/R56-1</f>
        <v>-6.6472970593415281E-3</v>
      </c>
      <c r="U57" s="27">
        <v>45869</v>
      </c>
      <c r="V57" s="28">
        <v>149.9409</v>
      </c>
      <c r="W57" s="29">
        <f t="shared" si="5"/>
        <v>1.0692624293415776E-2</v>
      </c>
      <c r="X57" s="28">
        <v>134.03550000000001</v>
      </c>
      <c r="Y57" s="29">
        <f t="shared" si="6"/>
        <v>8.891702332331386E-3</v>
      </c>
      <c r="Z57" s="28">
        <v>114.87739999999999</v>
      </c>
      <c r="AA57" s="29">
        <f t="shared" si="6"/>
        <v>-8.1819669448535137E-5</v>
      </c>
    </row>
    <row r="58" spans="1:27">
      <c r="A58" s="27">
        <v>41882</v>
      </c>
      <c r="B58" s="28">
        <v>162.70840000000001</v>
      </c>
      <c r="C58" s="29">
        <f t="shared" si="0"/>
        <v>2.9747209162061861E-2</v>
      </c>
      <c r="D58" s="28">
        <v>162.70840000000001</v>
      </c>
      <c r="E58" s="29">
        <f t="shared" si="0"/>
        <v>2.9747209162061861E-2</v>
      </c>
      <c r="F58" s="28">
        <v>159.1217</v>
      </c>
      <c r="G58" s="29">
        <f t="shared" ref="G58:I58" si="219">F58/F57-1</f>
        <v>2.7675644954516576E-2</v>
      </c>
      <c r="H58" s="28">
        <v>152.0899</v>
      </c>
      <c r="I58" s="29">
        <f t="shared" si="219"/>
        <v>2.3535476507257735E-2</v>
      </c>
      <c r="J58" s="29"/>
      <c r="K58" s="27">
        <v>41882</v>
      </c>
      <c r="L58" s="28">
        <v>162.70840000000001</v>
      </c>
      <c r="M58" s="29">
        <f t="shared" ref="M58" si="220">L58/L57-1</f>
        <v>2.9747209162061861E-2</v>
      </c>
      <c r="N58" s="28">
        <v>158.23439999999999</v>
      </c>
      <c r="O58" s="29">
        <f t="shared" ref="O58:Q58" si="221">N58/N57-1</f>
        <v>2.7825809058230178E-2</v>
      </c>
      <c r="P58" s="28">
        <v>150.50729999999999</v>
      </c>
      <c r="Q58" s="29">
        <f t="shared" si="221"/>
        <v>2.3983872866151668E-2</v>
      </c>
      <c r="R58" s="28">
        <v>142.72120000000001</v>
      </c>
      <c r="S58" s="29">
        <f t="shared" ref="S58" si="222">R58/R57-1</f>
        <v>2.0143956884412839E-2</v>
      </c>
      <c r="U58" s="27">
        <v>45900</v>
      </c>
      <c r="V58" s="28">
        <v>152.916</v>
      </c>
      <c r="W58" s="29">
        <f t="shared" si="5"/>
        <v>1.9841817676164331E-2</v>
      </c>
      <c r="X58" s="28">
        <v>137.03749999999999</v>
      </c>
      <c r="Y58" s="29">
        <f t="shared" si="6"/>
        <v>2.2397051527393685E-2</v>
      </c>
      <c r="Z58" s="28">
        <v>116.7054</v>
      </c>
      <c r="AA58" s="29">
        <f t="shared" si="6"/>
        <v>1.5912616406708491E-2</v>
      </c>
    </row>
    <row r="59" spans="1:27">
      <c r="A59" s="27">
        <v>41912</v>
      </c>
      <c r="B59" s="28">
        <v>157.39259999999999</v>
      </c>
      <c r="C59" s="29">
        <f t="shared" si="0"/>
        <v>-3.2670716447337877E-2</v>
      </c>
      <c r="D59" s="28">
        <v>157.39259999999999</v>
      </c>
      <c r="E59" s="29">
        <f t="shared" si="0"/>
        <v>-3.2670716447337877E-2</v>
      </c>
      <c r="F59" s="28">
        <v>154.345</v>
      </c>
      <c r="G59" s="29">
        <f t="shared" ref="G59:I59" si="223">F59/F58-1</f>
        <v>-3.0019161434298391E-2</v>
      </c>
      <c r="H59" s="28">
        <v>148.3312</v>
      </c>
      <c r="I59" s="29">
        <f t="shared" si="223"/>
        <v>-2.4713672637039052E-2</v>
      </c>
      <c r="J59" s="29"/>
      <c r="K59" s="27">
        <v>41912</v>
      </c>
      <c r="L59" s="28">
        <v>157.39259999999999</v>
      </c>
      <c r="M59" s="29">
        <f t="shared" ref="M59" si="224">L59/L58-1</f>
        <v>-3.2670716447337877E-2</v>
      </c>
      <c r="N59" s="28">
        <v>153.5455</v>
      </c>
      <c r="O59" s="29">
        <f t="shared" ref="O59:Q59" si="225">N59/N58-1</f>
        <v>-2.963262097243069E-2</v>
      </c>
      <c r="P59" s="28">
        <v>146.96360000000001</v>
      </c>
      <c r="Q59" s="29">
        <f t="shared" si="225"/>
        <v>-2.3545037350347631E-2</v>
      </c>
      <c r="R59" s="28">
        <v>140.23159999999999</v>
      </c>
      <c r="S59" s="29">
        <f t="shared" ref="S59" si="226">R59/R58-1</f>
        <v>-1.7443799519623049E-2</v>
      </c>
      <c r="U59" s="27">
        <v>45930</v>
      </c>
      <c r="V59" s="28">
        <v>158.70650000000001</v>
      </c>
      <c r="W59" s="29">
        <f t="shared" si="5"/>
        <v>3.7867195061340952E-2</v>
      </c>
      <c r="X59" s="28">
        <v>140.0444</v>
      </c>
      <c r="Y59" s="29">
        <f t="shared" si="6"/>
        <v>2.1942169114293586E-2</v>
      </c>
      <c r="Z59" s="28">
        <v>118.68340000000001</v>
      </c>
      <c r="AA59" s="29">
        <f t="shared" si="6"/>
        <v>1.6948658759577517E-2</v>
      </c>
    </row>
    <row r="60" spans="1:27">
      <c r="A60" s="27">
        <v>41943</v>
      </c>
      <c r="B60" s="28">
        <v>160.04509999999999</v>
      </c>
      <c r="C60" s="29">
        <f t="shared" si="0"/>
        <v>1.6852761819805995E-2</v>
      </c>
      <c r="D60" s="28">
        <v>160.04509999999999</v>
      </c>
      <c r="E60" s="29">
        <f t="shared" si="0"/>
        <v>1.6852761819805995E-2</v>
      </c>
      <c r="F60" s="28">
        <v>156.81489999999999</v>
      </c>
      <c r="G60" s="29">
        <f t="shared" ref="G60:I60" si="227">F60/F59-1</f>
        <v>1.6002462016910135E-2</v>
      </c>
      <c r="H60" s="28">
        <v>150.4427</v>
      </c>
      <c r="I60" s="29">
        <f t="shared" si="227"/>
        <v>1.4235036189284456E-2</v>
      </c>
      <c r="J60" s="29"/>
      <c r="K60" s="27">
        <v>41943</v>
      </c>
      <c r="L60" s="28">
        <v>160.04509999999999</v>
      </c>
      <c r="M60" s="29">
        <f t="shared" ref="M60" si="228">L60/L59-1</f>
        <v>1.6852761819805995E-2</v>
      </c>
      <c r="N60" s="28">
        <v>155.9734</v>
      </c>
      <c r="O60" s="29">
        <f t="shared" ref="O60:Q60" si="229">N60/N59-1</f>
        <v>1.5812251091695817E-2</v>
      </c>
      <c r="P60" s="28">
        <v>148.97190000000001</v>
      </c>
      <c r="Q60" s="29">
        <f t="shared" si="229"/>
        <v>1.3665288547640264E-2</v>
      </c>
      <c r="R60" s="28">
        <v>141.83449999999999</v>
      </c>
      <c r="S60" s="29">
        <f t="shared" ref="S60" si="230">R60/R59-1</f>
        <v>1.1430376605558346E-2</v>
      </c>
      <c r="U60" s="27">
        <v>45961</v>
      </c>
      <c r="V60" s="28">
        <v>162.6361</v>
      </c>
      <c r="W60" s="29">
        <f t="shared" si="5"/>
        <v>2.4760170503413503E-2</v>
      </c>
      <c r="X60" s="28">
        <v>141.71870000000001</v>
      </c>
      <c r="Y60" s="29">
        <f t="shared" si="6"/>
        <v>1.1955494114723741E-2</v>
      </c>
      <c r="Z60" s="28">
        <v>119.77070000000001</v>
      </c>
      <c r="AA60" s="29">
        <f t="shared" si="6"/>
        <v>9.1613485963495389E-3</v>
      </c>
    </row>
    <row r="61" spans="1:27">
      <c r="A61" s="27">
        <v>41973</v>
      </c>
      <c r="B61" s="28">
        <v>162.81700000000001</v>
      </c>
      <c r="C61" s="29">
        <f t="shared" si="0"/>
        <v>1.7319493067891489E-2</v>
      </c>
      <c r="D61" s="28">
        <v>162.81700000000001</v>
      </c>
      <c r="E61" s="29">
        <f t="shared" si="0"/>
        <v>1.7319493067891489E-2</v>
      </c>
      <c r="F61" s="28">
        <v>159.30350000000001</v>
      </c>
      <c r="G61" s="29">
        <f t="shared" ref="G61:I61" si="231">F61/F60-1</f>
        <v>1.5869665446332171E-2</v>
      </c>
      <c r="H61" s="28">
        <v>152.39420000000001</v>
      </c>
      <c r="I61" s="29">
        <f t="shared" si="231"/>
        <v>1.2971716141760403E-2</v>
      </c>
      <c r="J61" s="29"/>
      <c r="K61" s="27">
        <v>41973</v>
      </c>
      <c r="L61" s="28">
        <v>162.81700000000001</v>
      </c>
      <c r="M61" s="29">
        <f t="shared" ref="M61" si="232">L61/L60-1</f>
        <v>1.7319493067891489E-2</v>
      </c>
      <c r="N61" s="28">
        <v>158.38380000000001</v>
      </c>
      <c r="O61" s="29">
        <f t="shared" ref="O61:Q61" si="233">N61/N60-1</f>
        <v>1.5453917142282059E-2</v>
      </c>
      <c r="P61" s="28">
        <v>150.71899999999999</v>
      </c>
      <c r="Q61" s="29">
        <f t="shared" si="233"/>
        <v>1.1727715092577862E-2</v>
      </c>
      <c r="R61" s="28">
        <v>142.97049999999999</v>
      </c>
      <c r="S61" s="29">
        <f t="shared" ref="S61" si="234">R61/R60-1</f>
        <v>8.0093348233327699E-3</v>
      </c>
      <c r="U61" s="27">
        <v>45991</v>
      </c>
      <c r="V61" s="28">
        <v>162.197</v>
      </c>
      <c r="W61" s="29">
        <f t="shared" si="5"/>
        <v>-2.6998925822740993E-3</v>
      </c>
      <c r="X61" s="28">
        <v>142.36689999999999</v>
      </c>
      <c r="Y61" s="29">
        <f t="shared" si="6"/>
        <v>4.5738494637614924E-3</v>
      </c>
      <c r="Z61" s="28">
        <v>120.2642</v>
      </c>
      <c r="AA61" s="29">
        <f t="shared" si="6"/>
        <v>4.1203733467367609E-3</v>
      </c>
    </row>
    <row r="62" spans="1:27">
      <c r="A62" s="27">
        <v>42004</v>
      </c>
      <c r="B62" s="28">
        <v>159.554</v>
      </c>
      <c r="C62" s="29">
        <f t="shared" si="0"/>
        <v>-2.0040904819521366E-2</v>
      </c>
      <c r="D62" s="28">
        <v>159.554</v>
      </c>
      <c r="E62" s="29">
        <f t="shared" si="0"/>
        <v>-2.0040904819521366E-2</v>
      </c>
      <c r="F62" s="28">
        <v>156.2116</v>
      </c>
      <c r="G62" s="29">
        <f t="shared" ref="G62:I62" si="235">F62/F61-1</f>
        <v>-1.9408864212023036E-2</v>
      </c>
      <c r="H62" s="28">
        <v>149.96279999999999</v>
      </c>
      <c r="I62" s="29">
        <f t="shared" si="235"/>
        <v>-1.5954675440404076E-2</v>
      </c>
      <c r="J62" s="29"/>
      <c r="K62" s="27">
        <v>42004</v>
      </c>
      <c r="L62" s="28">
        <v>159.554</v>
      </c>
      <c r="M62" s="29">
        <f t="shared" ref="M62" si="236">L62/L61-1</f>
        <v>-2.0040904819521366E-2</v>
      </c>
      <c r="N62" s="28">
        <v>155.51609999999999</v>
      </c>
      <c r="O62" s="29">
        <f t="shared" ref="O62:Q62" si="237">N62/N61-1</f>
        <v>-1.8106018418550418E-2</v>
      </c>
      <c r="P62" s="28">
        <v>148.5675</v>
      </c>
      <c r="Q62" s="29">
        <f t="shared" si="237"/>
        <v>-1.4274908936497743E-2</v>
      </c>
      <c r="R62" s="28">
        <v>141.4701</v>
      </c>
      <c r="S62" s="29">
        <f t="shared" ref="S62" si="238">R62/R61-1</f>
        <v>-1.0494472635963259E-2</v>
      </c>
      <c r="U62" s="27">
        <v>46022</v>
      </c>
      <c r="V62" s="28">
        <v>163.06219999999999</v>
      </c>
      <c r="W62" s="29">
        <f t="shared" si="5"/>
        <v>5.3342540244269987E-3</v>
      </c>
      <c r="X62" s="28">
        <v>142.87950000000001</v>
      </c>
      <c r="Y62" s="29">
        <f t="shared" si="6"/>
        <v>3.6005560281218152E-3</v>
      </c>
      <c r="Z62" s="28">
        <v>120.21299999999999</v>
      </c>
      <c r="AA62" s="29">
        <f t="shared" si="6"/>
        <v>-4.2572935254225897E-4</v>
      </c>
    </row>
    <row r="63" spans="1:27">
      <c r="A63" s="27">
        <v>42035</v>
      </c>
      <c r="B63" s="28">
        <v>157.96420000000001</v>
      </c>
      <c r="C63" s="29">
        <f t="shared" si="0"/>
        <v>-9.9640247189038966E-3</v>
      </c>
      <c r="D63" s="28">
        <v>157.96420000000001</v>
      </c>
      <c r="E63" s="29">
        <f t="shared" si="0"/>
        <v>-9.9640247189038966E-3</v>
      </c>
      <c r="F63" s="28">
        <v>155.15029999999999</v>
      </c>
      <c r="G63" s="29">
        <f t="shared" ref="G63:I63" si="239">F63/F62-1</f>
        <v>-6.793989690906499E-3</v>
      </c>
      <c r="H63" s="28">
        <v>149.5735</v>
      </c>
      <c r="I63" s="29">
        <f t="shared" si="239"/>
        <v>-2.5959771356629524E-3</v>
      </c>
      <c r="J63" s="29"/>
      <c r="K63" s="27">
        <v>42035</v>
      </c>
      <c r="L63" s="28">
        <v>157.96420000000001</v>
      </c>
      <c r="M63" s="29">
        <f t="shared" ref="M63" si="240">L63/L62-1</f>
        <v>-9.9640247189038966E-3</v>
      </c>
      <c r="N63" s="28">
        <v>154.2784</v>
      </c>
      <c r="O63" s="29">
        <f t="shared" ref="O63:Q63" si="241">N63/N62-1</f>
        <v>-7.9586615147884121E-3</v>
      </c>
      <c r="P63" s="28">
        <v>147.9752</v>
      </c>
      <c r="Q63" s="29">
        <f t="shared" si="241"/>
        <v>-3.9867400339912429E-3</v>
      </c>
      <c r="R63" s="28">
        <v>141.4607</v>
      </c>
      <c r="S63" s="29">
        <f t="shared" ref="S63" si="242">R63/R62-1</f>
        <v>-6.6445135756598717E-5</v>
      </c>
      <c r="U63" s="27">
        <v>46053</v>
      </c>
      <c r="V63" s="28">
        <v>166.8074</v>
      </c>
      <c r="W63" s="29">
        <f t="shared" si="5"/>
        <v>2.2967922669999696E-2</v>
      </c>
      <c r="X63" s="28">
        <v>145.93389999999999</v>
      </c>
      <c r="Y63" s="29">
        <f t="shared" si="6"/>
        <v>2.1377454428381792E-2</v>
      </c>
      <c r="Z63" s="28">
        <v>121.3182</v>
      </c>
      <c r="AA63" s="29">
        <f t="shared" si="6"/>
        <v>9.1936812158419645E-3</v>
      </c>
    </row>
    <row r="64" spans="1:27">
      <c r="A64" s="27">
        <v>42063</v>
      </c>
      <c r="B64" s="28">
        <v>165.6833</v>
      </c>
      <c r="C64" s="29">
        <f t="shared" si="0"/>
        <v>4.8866135491459461E-2</v>
      </c>
      <c r="D64" s="28">
        <v>165.6833</v>
      </c>
      <c r="E64" s="29">
        <f t="shared" si="0"/>
        <v>4.8866135491459461E-2</v>
      </c>
      <c r="F64" s="28">
        <v>161.91210000000001</v>
      </c>
      <c r="G64" s="29">
        <f t="shared" ref="G64:I64" si="243">F64/F63-1</f>
        <v>4.3582255400086423E-2</v>
      </c>
      <c r="H64" s="28">
        <v>154.52029999999999</v>
      </c>
      <c r="I64" s="29">
        <f t="shared" si="243"/>
        <v>3.3072703386629376E-2</v>
      </c>
      <c r="J64" s="29"/>
      <c r="K64" s="27">
        <v>42063</v>
      </c>
      <c r="L64" s="28">
        <v>165.6833</v>
      </c>
      <c r="M64" s="29">
        <f t="shared" ref="M64" si="244">L64/L63-1</f>
        <v>4.8866135491459461E-2</v>
      </c>
      <c r="N64" s="28">
        <v>161.00030000000001</v>
      </c>
      <c r="O64" s="29">
        <f t="shared" ref="O64:Q64" si="245">N64/N63-1</f>
        <v>4.3569935908072788E-2</v>
      </c>
      <c r="P64" s="28">
        <v>152.8638</v>
      </c>
      <c r="Q64" s="29">
        <f t="shared" si="245"/>
        <v>3.3036616946623409E-2</v>
      </c>
      <c r="R64" s="28">
        <v>144.65520000000001</v>
      </c>
      <c r="S64" s="29">
        <f t="shared" ref="S64" si="246">R64/R63-1</f>
        <v>2.2582243690297155E-2</v>
      </c>
      <c r="U64" s="27">
        <v>46081</v>
      </c>
      <c r="V64" s="28">
        <v>166.38740000000001</v>
      </c>
      <c r="W64" s="29">
        <f t="shared" si="5"/>
        <v>-2.5178739072726497E-3</v>
      </c>
      <c r="X64" s="28">
        <v>147.33969999999999</v>
      </c>
      <c r="Y64" s="29">
        <f t="shared" si="6"/>
        <v>9.633128423210735E-3</v>
      </c>
      <c r="Z64" s="28">
        <v>122.50409999999999</v>
      </c>
      <c r="AA64" s="29">
        <f t="shared" si="6"/>
        <v>9.7751203034663892E-3</v>
      </c>
    </row>
    <row r="65" spans="1:27">
      <c r="A65" s="27">
        <v>42094</v>
      </c>
      <c r="B65" s="28">
        <v>164.6319</v>
      </c>
      <c r="C65" s="29">
        <f t="shared" si="0"/>
        <v>-6.3458417354073093E-3</v>
      </c>
      <c r="D65" s="28">
        <v>164.6319</v>
      </c>
      <c r="E65" s="29">
        <f t="shared" si="0"/>
        <v>-6.3458417354073093E-3</v>
      </c>
      <c r="F65" s="28">
        <v>161.05959999999999</v>
      </c>
      <c r="G65" s="29">
        <f t="shared" ref="G65:I65" si="247">F65/F64-1</f>
        <v>-5.2652025389086088E-3</v>
      </c>
      <c r="H65" s="28">
        <v>154.03530000000001</v>
      </c>
      <c r="I65" s="29">
        <f t="shared" si="247"/>
        <v>-3.1387461712149012E-3</v>
      </c>
      <c r="J65" s="29"/>
      <c r="K65" s="27">
        <v>42094</v>
      </c>
      <c r="L65" s="28">
        <v>164.6319</v>
      </c>
      <c r="M65" s="29">
        <f t="shared" ref="M65" si="248">L65/L64-1</f>
        <v>-6.3458417354073093E-3</v>
      </c>
      <c r="N65" s="28">
        <v>160.1387</v>
      </c>
      <c r="O65" s="29">
        <f t="shared" ref="O65:Q65" si="249">N65/N64-1</f>
        <v>-5.351542823212152E-3</v>
      </c>
      <c r="P65" s="28">
        <v>152.3443</v>
      </c>
      <c r="Q65" s="29">
        <f t="shared" si="249"/>
        <v>-3.3984501235739817E-3</v>
      </c>
      <c r="R65" s="28">
        <v>144.43899999999999</v>
      </c>
      <c r="S65" s="29">
        <f t="shared" ref="S65" si="250">R65/R64-1</f>
        <v>-1.4945885111632418E-3</v>
      </c>
      <c r="U65" s="27">
        <v>46112</v>
      </c>
      <c r="V65" s="28">
        <v>156.88329999999999</v>
      </c>
      <c r="W65" s="29">
        <f t="shared" si="5"/>
        <v>-5.7120310792764473E-2</v>
      </c>
      <c r="X65" s="28">
        <v>141.9872</v>
      </c>
      <c r="Y65" s="29">
        <f t="shared" si="6"/>
        <v>-3.6327615707103966E-2</v>
      </c>
      <c r="Z65" s="28">
        <v>118.38209999999999</v>
      </c>
      <c r="AA65" s="29">
        <f t="shared" si="6"/>
        <v>-3.3647853418783513E-2</v>
      </c>
    </row>
    <row r="66" spans="1:27">
      <c r="A66" s="27">
        <v>42124</v>
      </c>
      <c r="B66" s="28">
        <v>166.0684</v>
      </c>
      <c r="C66" s="29">
        <f t="shared" si="0"/>
        <v>8.7255264623684603E-3</v>
      </c>
      <c r="D66" s="28">
        <v>166.0684</v>
      </c>
      <c r="E66" s="29">
        <f t="shared" si="0"/>
        <v>8.7255264623684603E-3</v>
      </c>
      <c r="F66" s="28">
        <v>162.255</v>
      </c>
      <c r="G66" s="29">
        <f t="shared" ref="G66:I66" si="251">F66/F65-1</f>
        <v>7.422097161547736E-3</v>
      </c>
      <c r="H66" s="28">
        <v>154.7748</v>
      </c>
      <c r="I66" s="29">
        <f t="shared" si="251"/>
        <v>4.8008475979206544E-3</v>
      </c>
      <c r="J66" s="29"/>
      <c r="K66" s="27">
        <v>42124</v>
      </c>
      <c r="L66" s="28">
        <v>166.0684</v>
      </c>
      <c r="M66" s="29">
        <f t="shared" ref="M66" si="252">L66/L65-1</f>
        <v>8.7255264623684603E-3</v>
      </c>
      <c r="N66" s="28">
        <v>161.30019999999999</v>
      </c>
      <c r="O66" s="29">
        <f t="shared" ref="O66:Q66" si="253">N66/N65-1</f>
        <v>7.2530874797909206E-3</v>
      </c>
      <c r="P66" s="28">
        <v>152.999</v>
      </c>
      <c r="Q66" s="29">
        <f t="shared" si="253"/>
        <v>4.2975024336322498E-3</v>
      </c>
      <c r="R66" s="28">
        <v>144.63069999999999</v>
      </c>
      <c r="S66" s="29">
        <f t="shared" ref="S66" si="254">R66/R65-1</f>
        <v>1.3272038715306245E-3</v>
      </c>
      <c r="U66" s="27">
        <v>46142</v>
      </c>
      <c r="V66" s="28">
        <v>173.40170000000001</v>
      </c>
      <c r="W66" s="29">
        <f t="shared" si="5"/>
        <v>0.10529100293020366</v>
      </c>
      <c r="X66" s="28">
        <v>150.3219</v>
      </c>
      <c r="Y66" s="29">
        <f t="shared" si="6"/>
        <v>5.8700361722746841E-2</v>
      </c>
      <c r="Z66" s="28">
        <v>123.0471</v>
      </c>
      <c r="AA66" s="29">
        <f t="shared" si="6"/>
        <v>3.9406295377426126E-2</v>
      </c>
    </row>
    <row r="67" spans="1:27">
      <c r="A67" s="27">
        <v>42155</v>
      </c>
      <c r="B67" s="28">
        <v>169.02709999999999</v>
      </c>
      <c r="C67" s="29">
        <f t="shared" si="0"/>
        <v>1.7816152862314416E-2</v>
      </c>
      <c r="D67" s="28">
        <v>169.02709999999999</v>
      </c>
      <c r="E67" s="29">
        <f t="shared" si="0"/>
        <v>1.7816152862314416E-2</v>
      </c>
      <c r="F67" s="28">
        <v>164.81569999999999</v>
      </c>
      <c r="G67" s="29">
        <f t="shared" ref="G67:I67" si="255">F67/F66-1</f>
        <v>1.5781948168007043E-2</v>
      </c>
      <c r="H67" s="28">
        <v>156.58500000000001</v>
      </c>
      <c r="I67" s="29">
        <f t="shared" si="255"/>
        <v>1.169570240116613E-2</v>
      </c>
      <c r="J67" s="29"/>
      <c r="K67" s="27">
        <v>42155</v>
      </c>
      <c r="L67" s="28">
        <v>169.02709999999999</v>
      </c>
      <c r="M67" s="29">
        <f t="shared" ref="M67" si="256">L67/L66-1</f>
        <v>1.7816152862314416E-2</v>
      </c>
      <c r="N67" s="28">
        <v>163.83609999999999</v>
      </c>
      <c r="O67" s="29">
        <f t="shared" ref="O67:Q67" si="257">N67/N66-1</f>
        <v>1.5721617208162231E-2</v>
      </c>
      <c r="P67" s="28">
        <v>154.761</v>
      </c>
      <c r="Q67" s="29">
        <f t="shared" si="257"/>
        <v>1.1516415139968261E-2</v>
      </c>
      <c r="R67" s="28">
        <v>145.685</v>
      </c>
      <c r="S67" s="29">
        <f t="shared" ref="S67" si="258">R67/R66-1</f>
        <v>7.2896003407298959E-3</v>
      </c>
      <c r="U67" s="27">
        <v>46173</v>
      </c>
      <c r="V67" s="28">
        <v>182.06909999999999</v>
      </c>
      <c r="W67" s="29">
        <f t="shared" si="5"/>
        <v>4.9984515722740763E-2</v>
      </c>
      <c r="X67" s="28">
        <v>154.44820000000001</v>
      </c>
      <c r="Y67" s="29">
        <f t="shared" si="6"/>
        <v>2.7449759482816694E-2</v>
      </c>
      <c r="Z67" s="28">
        <v>125.7353</v>
      </c>
      <c r="AA67" s="29">
        <f t="shared" si="6"/>
        <v>2.184691878150713E-2</v>
      </c>
    </row>
    <row r="68" spans="1:27">
      <c r="A68" s="27">
        <v>42185</v>
      </c>
      <c r="B68" s="28">
        <v>164.928</v>
      </c>
      <c r="C68" s="29">
        <f t="shared" si="0"/>
        <v>-2.4251140793399406E-2</v>
      </c>
      <c r="D68" s="28">
        <v>164.928</v>
      </c>
      <c r="E68" s="29">
        <f t="shared" si="0"/>
        <v>-2.4251140793399406E-2</v>
      </c>
      <c r="F68" s="28">
        <v>161.0445</v>
      </c>
      <c r="G68" s="29">
        <f t="shared" ref="G68:I68" si="259">F68/F67-1</f>
        <v>-2.2881315311587436E-2</v>
      </c>
      <c r="H68" s="28">
        <v>153.4248</v>
      </c>
      <c r="I68" s="29">
        <f t="shared" si="259"/>
        <v>-2.0182009771050891E-2</v>
      </c>
      <c r="J68" s="29"/>
      <c r="K68" s="27">
        <v>42185</v>
      </c>
      <c r="L68" s="28">
        <v>164.928</v>
      </c>
      <c r="M68" s="29">
        <f t="shared" ref="M68" si="260">L68/L67-1</f>
        <v>-2.4251140793399406E-2</v>
      </c>
      <c r="N68" s="28">
        <v>160.17840000000001</v>
      </c>
      <c r="O68" s="29">
        <f t="shared" ref="O68:Q68" si="261">N68/N67-1</f>
        <v>-2.2325360527990945E-2</v>
      </c>
      <c r="P68" s="28">
        <v>151.89789999999999</v>
      </c>
      <c r="Q68" s="29">
        <f t="shared" si="261"/>
        <v>-1.8500138923889131E-2</v>
      </c>
      <c r="R68" s="28">
        <v>143.5419</v>
      </c>
      <c r="S68" s="29">
        <f t="shared" ref="S68" si="262">R68/R67-1</f>
        <v>-1.4710505542780639E-2</v>
      </c>
    </row>
    <row r="69" spans="1:27">
      <c r="A69" s="27">
        <v>42216</v>
      </c>
      <c r="B69" s="28">
        <v>168.97049999999999</v>
      </c>
      <c r="C69" s="29">
        <f t="shared" ref="C69:E132" si="263">B69/B68-1</f>
        <v>2.4510695576251296E-2</v>
      </c>
      <c r="D69" s="28">
        <v>168.97049999999999</v>
      </c>
      <c r="E69" s="29">
        <f t="shared" si="263"/>
        <v>2.4510695576251296E-2</v>
      </c>
      <c r="F69" s="28">
        <v>164.71209999999999</v>
      </c>
      <c r="G69" s="29">
        <f t="shared" ref="G69:I69" si="264">F69/F68-1</f>
        <v>2.2773829593683681E-2</v>
      </c>
      <c r="H69" s="28">
        <v>156.3784</v>
      </c>
      <c r="I69" s="29">
        <f t="shared" si="264"/>
        <v>1.9251124981098267E-2</v>
      </c>
      <c r="J69" s="29"/>
      <c r="K69" s="27">
        <v>42216</v>
      </c>
      <c r="L69" s="28">
        <v>168.97049999999999</v>
      </c>
      <c r="M69" s="29">
        <f t="shared" ref="M69" si="265">L69/L68-1</f>
        <v>2.4510695576251296E-2</v>
      </c>
      <c r="N69" s="28">
        <v>163.84620000000001</v>
      </c>
      <c r="O69" s="29">
        <f t="shared" ref="O69:Q69" si="266">N69/N68-1</f>
        <v>2.2898218486387734E-2</v>
      </c>
      <c r="P69" s="28">
        <v>154.8794</v>
      </c>
      <c r="Q69" s="29">
        <f t="shared" si="266"/>
        <v>1.9628316125502865E-2</v>
      </c>
      <c r="R69" s="28">
        <v>145.88130000000001</v>
      </c>
      <c r="S69" s="29">
        <f t="shared" ref="S69" si="267">R69/R68-1</f>
        <v>1.6297680328879682E-2</v>
      </c>
    </row>
    <row r="70" spans="1:27">
      <c r="A70" s="27">
        <v>42247</v>
      </c>
      <c r="B70" s="28">
        <v>158.01</v>
      </c>
      <c r="C70" s="29">
        <f t="shared" si="263"/>
        <v>-6.4866352410627881E-2</v>
      </c>
      <c r="D70" s="28">
        <v>158.01</v>
      </c>
      <c r="E70" s="29">
        <f t="shared" si="263"/>
        <v>-6.4866352410627881E-2</v>
      </c>
      <c r="F70" s="28">
        <v>155.0488</v>
      </c>
      <c r="G70" s="29">
        <f t="shared" ref="G70:I70" si="268">F70/F69-1</f>
        <v>-5.8667821004042775E-2</v>
      </c>
      <c r="H70" s="28">
        <v>149.1318</v>
      </c>
      <c r="I70" s="29">
        <f t="shared" si="268"/>
        <v>-4.6340159510520618E-2</v>
      </c>
      <c r="J70" s="29"/>
      <c r="K70" s="27">
        <v>42247</v>
      </c>
      <c r="L70" s="28">
        <v>158.01</v>
      </c>
      <c r="M70" s="29">
        <f t="shared" ref="M70" si="269">L70/L69-1</f>
        <v>-6.4866352410627881E-2</v>
      </c>
      <c r="N70" s="28">
        <v>154.2841</v>
      </c>
      <c r="O70" s="29">
        <f t="shared" ref="O70:Q70" si="270">N70/N69-1</f>
        <v>-5.8360218302285993E-2</v>
      </c>
      <c r="P70" s="28">
        <v>147.84690000000001</v>
      </c>
      <c r="Q70" s="29">
        <f t="shared" si="270"/>
        <v>-4.5406296770261201E-2</v>
      </c>
      <c r="R70" s="28">
        <v>141.1353</v>
      </c>
      <c r="S70" s="29">
        <f t="shared" ref="S70" si="271">R70/R69-1</f>
        <v>-3.2533299333088017E-2</v>
      </c>
    </row>
    <row r="71" spans="1:27">
      <c r="A71" s="27">
        <v>42277</v>
      </c>
      <c r="B71" s="28">
        <v>153.6009</v>
      </c>
      <c r="C71" s="29">
        <f t="shared" si="263"/>
        <v>-2.790393013100434E-2</v>
      </c>
      <c r="D71" s="28">
        <v>153.6009</v>
      </c>
      <c r="E71" s="29">
        <f t="shared" si="263"/>
        <v>-2.790393013100434E-2</v>
      </c>
      <c r="F71" s="28">
        <v>151.49430000000001</v>
      </c>
      <c r="G71" s="29">
        <f t="shared" ref="G71:I71" si="272">F71/F70-1</f>
        <v>-2.2925040374385253E-2</v>
      </c>
      <c r="H71" s="28">
        <v>146.53540000000001</v>
      </c>
      <c r="I71" s="29">
        <f t="shared" si="272"/>
        <v>-1.7410103009552591E-2</v>
      </c>
      <c r="J71" s="29"/>
      <c r="K71" s="27">
        <v>42277</v>
      </c>
      <c r="L71" s="28">
        <v>153.6009</v>
      </c>
      <c r="M71" s="29">
        <f t="shared" ref="M71" si="273">L71/L70-1</f>
        <v>-2.790393013100434E-2</v>
      </c>
      <c r="N71" s="28">
        <v>150.82579999999999</v>
      </c>
      <c r="O71" s="29">
        <f t="shared" ref="O71:Q71" si="274">N71/N70-1</f>
        <v>-2.2415141936207306E-2</v>
      </c>
      <c r="P71" s="28">
        <v>145.37039999999999</v>
      </c>
      <c r="Q71" s="29">
        <f t="shared" si="274"/>
        <v>-1.6750435754824822E-2</v>
      </c>
      <c r="R71" s="28">
        <v>139.69460000000001</v>
      </c>
      <c r="S71" s="29">
        <f t="shared" ref="S71" si="275">R71/R70-1</f>
        <v>-1.0207935222442566E-2</v>
      </c>
    </row>
    <row r="72" spans="1:27">
      <c r="A72" s="27">
        <v>42308</v>
      </c>
      <c r="B72" s="28">
        <v>162.352</v>
      </c>
      <c r="C72" s="29">
        <f t="shared" si="263"/>
        <v>5.6972973465650334E-2</v>
      </c>
      <c r="D72" s="28">
        <v>162.352</v>
      </c>
      <c r="E72" s="29">
        <f t="shared" si="263"/>
        <v>5.6972973465650334E-2</v>
      </c>
      <c r="F72" s="28">
        <v>158.5018</v>
      </c>
      <c r="G72" s="29">
        <f t="shared" ref="G72:I72" si="276">F72/F71-1</f>
        <v>4.6255865732242052E-2</v>
      </c>
      <c r="H72" s="28">
        <v>151.67509999999999</v>
      </c>
      <c r="I72" s="29">
        <f t="shared" si="276"/>
        <v>3.5074801037837888E-2</v>
      </c>
      <c r="J72" s="29"/>
      <c r="K72" s="27">
        <v>42308</v>
      </c>
      <c r="L72" s="28">
        <v>162.352</v>
      </c>
      <c r="M72" s="29">
        <f t="shared" ref="M72" si="277">L72/L71-1</f>
        <v>5.6972973465650334E-2</v>
      </c>
      <c r="N72" s="28">
        <v>157.9836</v>
      </c>
      <c r="O72" s="29">
        <f t="shared" ref="O72:Q72" si="278">N72/N71-1</f>
        <v>4.7457397872247453E-2</v>
      </c>
      <c r="P72" s="28">
        <v>150.7081</v>
      </c>
      <c r="Q72" s="29">
        <f t="shared" si="278"/>
        <v>3.6717928821823564E-2</v>
      </c>
      <c r="R72" s="28">
        <v>142.83940000000001</v>
      </c>
      <c r="S72" s="29">
        <f t="shared" ref="S72" si="279">R72/R71-1</f>
        <v>2.2511965387352229E-2</v>
      </c>
    </row>
    <row r="73" spans="1:27">
      <c r="A73" s="27">
        <v>42338</v>
      </c>
      <c r="B73" s="28">
        <v>163.34610000000001</v>
      </c>
      <c r="C73" s="29">
        <f t="shared" si="263"/>
        <v>6.123115206464913E-3</v>
      </c>
      <c r="D73" s="28">
        <v>163.34610000000001</v>
      </c>
      <c r="E73" s="29">
        <f t="shared" si="263"/>
        <v>6.123115206464913E-3</v>
      </c>
      <c r="F73" s="28">
        <v>159.17150000000001</v>
      </c>
      <c r="G73" s="29">
        <f t="shared" ref="G73:I73" si="280">F73/F72-1</f>
        <v>4.2251886098454428E-3</v>
      </c>
      <c r="H73" s="28">
        <v>152.09270000000001</v>
      </c>
      <c r="I73" s="29">
        <f t="shared" si="280"/>
        <v>2.7532535004100023E-3</v>
      </c>
      <c r="J73" s="29"/>
      <c r="K73" s="27">
        <v>42338</v>
      </c>
      <c r="L73" s="28">
        <v>163.34610000000001</v>
      </c>
      <c r="M73" s="29">
        <f t="shared" ref="M73" si="281">L73/L72-1</f>
        <v>6.123115206464913E-3</v>
      </c>
      <c r="N73" s="28">
        <v>158.8837</v>
      </c>
      <c r="O73" s="29">
        <f t="shared" ref="O73:Q73" si="282">N73/N72-1</f>
        <v>5.6974268215181922E-3</v>
      </c>
      <c r="P73" s="28">
        <v>151.4282</v>
      </c>
      <c r="Q73" s="29">
        <f t="shared" si="282"/>
        <v>4.7781107982916016E-3</v>
      </c>
      <c r="R73" s="28">
        <v>143.3424</v>
      </c>
      <c r="S73" s="29">
        <f t="shared" ref="S73" si="283">R73/R72-1</f>
        <v>3.5214373625203077E-3</v>
      </c>
    </row>
    <row r="74" spans="1:27">
      <c r="A74" s="27">
        <v>42369</v>
      </c>
      <c r="B74" s="28">
        <v>161.03870000000001</v>
      </c>
      <c r="C74" s="29">
        <f t="shared" si="263"/>
        <v>-1.4125834654148517E-2</v>
      </c>
      <c r="D74" s="28">
        <v>161.03870000000001</v>
      </c>
      <c r="E74" s="29">
        <f t="shared" si="263"/>
        <v>-1.4125834654148517E-2</v>
      </c>
      <c r="F74" s="28">
        <v>157.13149999999999</v>
      </c>
      <c r="G74" s="29">
        <f t="shared" ref="G74:I74" si="284">F74/F73-1</f>
        <v>-1.2816364738662545E-2</v>
      </c>
      <c r="H74" s="28">
        <v>150.48670000000001</v>
      </c>
      <c r="I74" s="29">
        <f t="shared" si="284"/>
        <v>-1.0559349659779782E-2</v>
      </c>
      <c r="J74" s="29"/>
      <c r="K74" s="27">
        <v>42369</v>
      </c>
      <c r="L74" s="28">
        <v>161.03870000000001</v>
      </c>
      <c r="M74" s="29">
        <f t="shared" ref="M74" si="285">L74/L73-1</f>
        <v>-1.4125834654148517E-2</v>
      </c>
      <c r="N74" s="28">
        <v>157.26410000000001</v>
      </c>
      <c r="O74" s="29">
        <f t="shared" ref="O74:Q74" si="286">N74/N73-1</f>
        <v>-1.019361960981513E-2</v>
      </c>
      <c r="P74" s="28">
        <v>150.37710000000001</v>
      </c>
      <c r="Q74" s="29">
        <f t="shared" si="286"/>
        <v>-6.9412434407857271E-3</v>
      </c>
      <c r="R74" s="28">
        <v>142.95820000000001</v>
      </c>
      <c r="S74" s="29">
        <f t="shared" ref="S74" si="287">R74/R73-1</f>
        <v>-2.6802955720010013E-3</v>
      </c>
    </row>
    <row r="75" spans="1:27">
      <c r="A75" s="27">
        <v>42400</v>
      </c>
      <c r="B75" s="28">
        <v>154.53219999999999</v>
      </c>
      <c r="C75" s="29">
        <f t="shared" si="263"/>
        <v>-4.0403331621529537E-2</v>
      </c>
      <c r="D75" s="28">
        <v>154.53219999999999</v>
      </c>
      <c r="E75" s="29">
        <f t="shared" si="263"/>
        <v>-4.0403331621529537E-2</v>
      </c>
      <c r="F75" s="28">
        <v>152.7116</v>
      </c>
      <c r="G75" s="29">
        <f t="shared" ref="G75:I75" si="288">F75/F74-1</f>
        <v>-2.8128669299281039E-2</v>
      </c>
      <c r="H75" s="28">
        <v>147.71469999999999</v>
      </c>
      <c r="I75" s="29">
        <f t="shared" si="288"/>
        <v>-1.8420232485661603E-2</v>
      </c>
      <c r="J75" s="29"/>
      <c r="K75" s="27">
        <v>42400</v>
      </c>
      <c r="L75" s="28">
        <v>154.53219999999999</v>
      </c>
      <c r="M75" s="29">
        <f t="shared" ref="M75" si="289">L75/L74-1</f>
        <v>-4.0403331621529537E-2</v>
      </c>
      <c r="N75" s="28">
        <v>152.8389</v>
      </c>
      <c r="O75" s="29">
        <f t="shared" ref="O75:Q75" si="290">N75/N74-1</f>
        <v>-2.8138653386246548E-2</v>
      </c>
      <c r="P75" s="28">
        <v>147.6045</v>
      </c>
      <c r="Q75" s="29">
        <f t="shared" si="290"/>
        <v>-1.8437647753547615E-2</v>
      </c>
      <c r="R75" s="28">
        <v>142.16839999999999</v>
      </c>
      <c r="S75" s="29">
        <f t="shared" ref="S75" si="291">R75/R74-1</f>
        <v>-5.5246918329974193E-3</v>
      </c>
    </row>
    <row r="76" spans="1:27">
      <c r="A76" s="27">
        <v>42429</v>
      </c>
      <c r="B76" s="28">
        <v>152.1002</v>
      </c>
      <c r="C76" s="29">
        <f t="shared" si="263"/>
        <v>-1.5737820337767716E-2</v>
      </c>
      <c r="D76" s="28">
        <v>152.1002</v>
      </c>
      <c r="E76" s="29">
        <f t="shared" si="263"/>
        <v>-1.5737820337767716E-2</v>
      </c>
      <c r="F76" s="28">
        <v>151.08340000000001</v>
      </c>
      <c r="G76" s="29">
        <f t="shared" ref="G76:I76" si="292">F76/F75-1</f>
        <v>-1.0661927450174025E-2</v>
      </c>
      <c r="H76" s="28">
        <v>146.71629999999999</v>
      </c>
      <c r="I76" s="29">
        <f t="shared" si="292"/>
        <v>-6.75897524078517E-3</v>
      </c>
      <c r="J76" s="29"/>
      <c r="K76" s="27">
        <v>42429</v>
      </c>
      <c r="L76" s="28">
        <v>152.1002</v>
      </c>
      <c r="M76" s="29">
        <f t="shared" ref="M76" si="293">L76/L75-1</f>
        <v>-1.5737820337767716E-2</v>
      </c>
      <c r="N76" s="28">
        <v>150.96780000000001</v>
      </c>
      <c r="O76" s="29">
        <f t="shared" ref="O76:Q76" si="294">N76/N75-1</f>
        <v>-1.2242302188775089E-2</v>
      </c>
      <c r="P76" s="28">
        <v>146.2979</v>
      </c>
      <c r="Q76" s="29">
        <f t="shared" si="294"/>
        <v>-8.8520336439606995E-3</v>
      </c>
      <c r="R76" s="28">
        <v>141.5401</v>
      </c>
      <c r="S76" s="29">
        <f t="shared" ref="S76" si="295">R76/R75-1</f>
        <v>-4.4194068442775514E-3</v>
      </c>
    </row>
    <row r="77" spans="1:27">
      <c r="A77" s="27">
        <v>42460</v>
      </c>
      <c r="B77" s="28">
        <v>159.45910000000001</v>
      </c>
      <c r="C77" s="29">
        <f t="shared" si="263"/>
        <v>4.8381921917262538E-2</v>
      </c>
      <c r="D77" s="28">
        <v>159.45910000000001</v>
      </c>
      <c r="E77" s="29">
        <f t="shared" si="263"/>
        <v>4.8381921917262538E-2</v>
      </c>
      <c r="F77" s="28">
        <v>157.09</v>
      </c>
      <c r="G77" s="29">
        <f t="shared" ref="G77:I77" si="296">F77/F76-1</f>
        <v>3.9756849528141291E-2</v>
      </c>
      <c r="H77" s="28">
        <v>151.37549999999999</v>
      </c>
      <c r="I77" s="29">
        <f t="shared" si="296"/>
        <v>3.175652603016843E-2</v>
      </c>
      <c r="J77" s="29"/>
      <c r="K77" s="27">
        <v>42460</v>
      </c>
      <c r="L77" s="28">
        <v>159.25729999999999</v>
      </c>
      <c r="M77" s="29">
        <f t="shared" ref="M77" si="297">L77/L76-1</f>
        <v>4.7055164950473349E-2</v>
      </c>
      <c r="N77" s="28">
        <v>156.6764</v>
      </c>
      <c r="O77" s="29">
        <f t="shared" ref="O77:Q77" si="298">N77/N76-1</f>
        <v>3.7813361524775324E-2</v>
      </c>
      <c r="P77" s="28">
        <v>150.59119999999999</v>
      </c>
      <c r="Q77" s="29">
        <f t="shared" si="298"/>
        <v>2.9346285900207603E-2</v>
      </c>
      <c r="R77" s="28">
        <v>144.0686</v>
      </c>
      <c r="S77" s="29">
        <f t="shared" ref="S77" si="299">R77/R76-1</f>
        <v>1.7864195376434022E-2</v>
      </c>
    </row>
    <row r="78" spans="1:27">
      <c r="A78" s="27">
        <v>42490</v>
      </c>
      <c r="B78" s="28">
        <v>159.31190000000001</v>
      </c>
      <c r="C78" s="29">
        <f t="shared" si="263"/>
        <v>-9.2312072500089215E-4</v>
      </c>
      <c r="D78" s="28">
        <v>159.31190000000001</v>
      </c>
      <c r="E78" s="29">
        <f t="shared" si="263"/>
        <v>-9.2312072500089215E-4</v>
      </c>
      <c r="F78" s="28">
        <v>157.0958</v>
      </c>
      <c r="G78" s="29">
        <f t="shared" ref="G78:I78" si="300">F78/F77-1</f>
        <v>3.6921509962484222E-5</v>
      </c>
      <c r="H78" s="28">
        <v>151.506</v>
      </c>
      <c r="I78" s="29">
        <f t="shared" si="300"/>
        <v>8.6209459258612675E-4</v>
      </c>
      <c r="J78" s="29"/>
      <c r="K78" s="27">
        <v>42490</v>
      </c>
      <c r="L78" s="28">
        <v>159.22900000000001</v>
      </c>
      <c r="M78" s="29">
        <f t="shared" ref="M78" si="301">L78/L77-1</f>
        <v>-1.7769986053994824E-4</v>
      </c>
      <c r="N78" s="28">
        <v>156.84110000000001</v>
      </c>
      <c r="O78" s="29">
        <f t="shared" ref="O78:Q78" si="302">N78/N77-1</f>
        <v>1.0512112864478063E-3</v>
      </c>
      <c r="P78" s="28">
        <v>150.90770000000001</v>
      </c>
      <c r="Q78" s="29">
        <f t="shared" si="302"/>
        <v>2.1017164349577122E-3</v>
      </c>
      <c r="R78" s="28">
        <v>144.58279999999999</v>
      </c>
      <c r="S78" s="29">
        <f t="shared" ref="S78" si="303">R78/R77-1</f>
        <v>3.5691330380109854E-3</v>
      </c>
    </row>
    <row r="79" spans="1:27">
      <c r="A79" s="27">
        <v>42521</v>
      </c>
      <c r="B79" s="28">
        <v>160.84440000000001</v>
      </c>
      <c r="C79" s="29">
        <f t="shared" si="263"/>
        <v>9.6194948399963565E-3</v>
      </c>
      <c r="D79" s="28">
        <v>160.84440000000001</v>
      </c>
      <c r="E79" s="29">
        <f t="shared" si="263"/>
        <v>9.6194948399963565E-3</v>
      </c>
      <c r="F79" s="28">
        <v>158.34549999999999</v>
      </c>
      <c r="G79" s="29">
        <f t="shared" ref="G79:I79" si="304">F79/F78-1</f>
        <v>7.9550185300942822E-3</v>
      </c>
      <c r="H79" s="28">
        <v>152.46860000000001</v>
      </c>
      <c r="I79" s="29">
        <f t="shared" si="304"/>
        <v>6.3535437540427342E-3</v>
      </c>
      <c r="J79" s="29"/>
      <c r="K79" s="27">
        <v>42521</v>
      </c>
      <c r="L79" s="28">
        <v>160.8355</v>
      </c>
      <c r="M79" s="29">
        <f t="shared" ref="M79" si="305">L79/L78-1</f>
        <v>1.008924253747745E-2</v>
      </c>
      <c r="N79" s="28">
        <v>158.10300000000001</v>
      </c>
      <c r="O79" s="29">
        <f t="shared" ref="O79:Q79" si="306">N79/N78-1</f>
        <v>8.0457227091623729E-3</v>
      </c>
      <c r="P79" s="28">
        <v>151.88390000000001</v>
      </c>
      <c r="Q79" s="29">
        <f t="shared" si="306"/>
        <v>6.4688548033002835E-3</v>
      </c>
      <c r="R79" s="28">
        <v>145.19540000000001</v>
      </c>
      <c r="S79" s="29">
        <f t="shared" ref="S79" si="307">R79/R78-1</f>
        <v>4.237018511192403E-3</v>
      </c>
    </row>
    <row r="80" spans="1:27">
      <c r="A80" s="27">
        <v>42551</v>
      </c>
      <c r="B80" s="28">
        <v>162.74809999999999</v>
      </c>
      <c r="C80" s="29">
        <f t="shared" si="263"/>
        <v>1.1835662292252636E-2</v>
      </c>
      <c r="D80" s="28">
        <v>162.74809999999999</v>
      </c>
      <c r="E80" s="29">
        <f t="shared" si="263"/>
        <v>1.1835662292252636E-2</v>
      </c>
      <c r="F80" s="28">
        <v>160.30099999999999</v>
      </c>
      <c r="G80" s="29">
        <f t="shared" ref="G80:I80" si="308">F80/F79-1</f>
        <v>1.2349577348266916E-2</v>
      </c>
      <c r="H80" s="28">
        <v>154.43279999999999</v>
      </c>
      <c r="I80" s="29">
        <f t="shared" si="308"/>
        <v>1.2882652559280894E-2</v>
      </c>
      <c r="J80" s="29"/>
      <c r="K80" s="27">
        <v>42551</v>
      </c>
      <c r="L80" s="28">
        <v>162.7593</v>
      </c>
      <c r="M80" s="29">
        <f t="shared" ref="M80" si="309">L80/L79-1</f>
        <v>1.1961289640657791E-2</v>
      </c>
      <c r="N80" s="28">
        <v>160.05799999999999</v>
      </c>
      <c r="O80" s="29">
        <f t="shared" ref="O80:Q80" si="310">N80/N79-1</f>
        <v>1.2365356761098623E-2</v>
      </c>
      <c r="P80" s="28">
        <v>153.84270000000001</v>
      </c>
      <c r="Q80" s="29">
        <f t="shared" si="310"/>
        <v>1.289669280285799E-2</v>
      </c>
      <c r="R80" s="28">
        <v>147.16810000000001</v>
      </c>
      <c r="S80" s="29">
        <f t="shared" ref="S80" si="311">R80/R79-1</f>
        <v>1.3586518581167217E-2</v>
      </c>
    </row>
    <row r="81" spans="1:19">
      <c r="A81" s="27">
        <v>42582</v>
      </c>
      <c r="B81" s="28">
        <v>168.18799999999999</v>
      </c>
      <c r="C81" s="29">
        <f t="shared" si="263"/>
        <v>3.3425275010890987E-2</v>
      </c>
      <c r="D81" s="28">
        <v>168.18799999999999</v>
      </c>
      <c r="E81" s="29">
        <f t="shared" si="263"/>
        <v>3.3425275010890987E-2</v>
      </c>
      <c r="F81" s="28">
        <v>164.8569</v>
      </c>
      <c r="G81" s="29">
        <f t="shared" ref="G81:I81" si="312">F81/F80-1</f>
        <v>2.8420908166511882E-2</v>
      </c>
      <c r="H81" s="28">
        <v>158.0437</v>
      </c>
      <c r="I81" s="29">
        <f t="shared" si="312"/>
        <v>2.3381690936122412E-2</v>
      </c>
      <c r="J81" s="29"/>
      <c r="K81" s="27">
        <v>42582</v>
      </c>
      <c r="L81" s="28">
        <v>167.78819999999999</v>
      </c>
      <c r="M81" s="29">
        <f t="shared" ref="M81" si="313">L81/L80-1</f>
        <v>3.0897773583445032E-2</v>
      </c>
      <c r="N81" s="28">
        <v>164.0335</v>
      </c>
      <c r="O81" s="29">
        <f t="shared" ref="O81:Q81" si="314">N81/N80-1</f>
        <v>2.4837871271664147E-2</v>
      </c>
      <c r="P81" s="28">
        <v>156.77189999999999</v>
      </c>
      <c r="Q81" s="29">
        <f t="shared" si="314"/>
        <v>1.9040227453106295E-2</v>
      </c>
      <c r="R81" s="28">
        <v>148.78049999999999</v>
      </c>
      <c r="S81" s="29">
        <f t="shared" ref="S81" si="315">R81/R80-1</f>
        <v>1.0956178682744344E-2</v>
      </c>
    </row>
    <row r="82" spans="1:19">
      <c r="A82" s="27">
        <v>42613</v>
      </c>
      <c r="B82" s="28">
        <v>167.1944</v>
      </c>
      <c r="C82" s="29">
        <f t="shared" si="263"/>
        <v>-5.9076747449282596E-3</v>
      </c>
      <c r="D82" s="28">
        <v>167.1944</v>
      </c>
      <c r="E82" s="29">
        <f t="shared" si="263"/>
        <v>-5.9076747449282596E-3</v>
      </c>
      <c r="F82" s="28">
        <v>164.05260000000001</v>
      </c>
      <c r="G82" s="29">
        <f t="shared" ref="G82:I82" si="316">F82/F81-1</f>
        <v>-4.8787766845063141E-3</v>
      </c>
      <c r="H82" s="28">
        <v>157.44880000000001</v>
      </c>
      <c r="I82" s="29">
        <f t="shared" si="316"/>
        <v>-3.7641487765724957E-3</v>
      </c>
      <c r="J82" s="29"/>
      <c r="K82" s="27">
        <v>42613</v>
      </c>
      <c r="L82" s="28">
        <v>166.95949999999999</v>
      </c>
      <c r="M82" s="29">
        <f t="shared" ref="M82" si="317">L82/L81-1</f>
        <v>-4.9389647186154351E-3</v>
      </c>
      <c r="N82" s="28">
        <v>163.43379999999999</v>
      </c>
      <c r="O82" s="29">
        <f t="shared" ref="O82:Q82" si="318">N82/N81-1</f>
        <v>-3.6559605202596268E-3</v>
      </c>
      <c r="P82" s="28">
        <v>156.40969999999999</v>
      </c>
      <c r="Q82" s="29">
        <f t="shared" si="318"/>
        <v>-2.3103630178622492E-3</v>
      </c>
      <c r="R82" s="28">
        <v>148.6542</v>
      </c>
      <c r="S82" s="29">
        <f t="shared" ref="S82" si="319">R82/R81-1</f>
        <v>-8.4890156976202835E-4</v>
      </c>
    </row>
    <row r="83" spans="1:19">
      <c r="A83" s="27">
        <v>42643</v>
      </c>
      <c r="B83" s="28">
        <v>167.1317</v>
      </c>
      <c r="C83" s="29">
        <f t="shared" si="263"/>
        <v>-3.7501256022931528E-4</v>
      </c>
      <c r="D83" s="28">
        <v>167.1317</v>
      </c>
      <c r="E83" s="29">
        <f t="shared" si="263"/>
        <v>-3.7501256022931528E-4</v>
      </c>
      <c r="F83" s="28">
        <v>164.02619999999999</v>
      </c>
      <c r="G83" s="29">
        <f t="shared" ref="G83:I83" si="320">F83/F82-1</f>
        <v>-1.6092399632816612E-4</v>
      </c>
      <c r="H83" s="28">
        <v>157.446</v>
      </c>
      <c r="I83" s="29">
        <f t="shared" si="320"/>
        <v>-1.7783558845851921E-5</v>
      </c>
      <c r="J83" s="29"/>
      <c r="K83" s="27">
        <v>42643</v>
      </c>
      <c r="L83" s="28">
        <v>166.89689999999999</v>
      </c>
      <c r="M83" s="29">
        <f t="shared" ref="M83" si="321">L83/L82-1</f>
        <v>-3.749412282619824E-4</v>
      </c>
      <c r="N83" s="28">
        <v>163.28880000000001</v>
      </c>
      <c r="O83" s="29">
        <f t="shared" ref="O83:Q83" si="322">N83/N82-1</f>
        <v>-8.8720937774178221E-4</v>
      </c>
      <c r="P83" s="28">
        <v>156.17920000000001</v>
      </c>
      <c r="Q83" s="29">
        <f t="shared" si="322"/>
        <v>-1.4736937670744021E-3</v>
      </c>
      <c r="R83" s="28">
        <v>148.33680000000001</v>
      </c>
      <c r="S83" s="29">
        <f t="shared" ref="S83" si="323">R83/R82-1</f>
        <v>-2.1351566252416632E-3</v>
      </c>
    </row>
    <row r="84" spans="1:19">
      <c r="A84" s="27">
        <v>42674</v>
      </c>
      <c r="B84" s="28">
        <v>163.72</v>
      </c>
      <c r="C84" s="29">
        <f t="shared" si="263"/>
        <v>-2.0413242969466561E-2</v>
      </c>
      <c r="D84" s="28">
        <v>163.72</v>
      </c>
      <c r="E84" s="29">
        <f t="shared" si="263"/>
        <v>-2.0413242969466561E-2</v>
      </c>
      <c r="F84" s="28">
        <v>161.119</v>
      </c>
      <c r="G84" s="29">
        <f t="shared" ref="G84:I84" si="324">F84/F83-1</f>
        <v>-1.7723997751578624E-2</v>
      </c>
      <c r="H84" s="28">
        <v>155.07679999999999</v>
      </c>
      <c r="I84" s="29">
        <f t="shared" si="324"/>
        <v>-1.5047698893588923E-2</v>
      </c>
      <c r="J84" s="29"/>
      <c r="K84" s="27">
        <v>42674</v>
      </c>
      <c r="L84" s="28">
        <v>163.49</v>
      </c>
      <c r="M84" s="29">
        <f t="shared" ref="M84" si="325">L84/L83-1</f>
        <v>-2.0413201203856812E-2</v>
      </c>
      <c r="N84" s="28">
        <v>160.37739999999999</v>
      </c>
      <c r="O84" s="29">
        <f t="shared" ref="O84:Q84" si="326">N84/N83-1</f>
        <v>-1.7829759297637193E-2</v>
      </c>
      <c r="P84" s="28">
        <v>153.7961</v>
      </c>
      <c r="Q84" s="29">
        <f t="shared" si="326"/>
        <v>-1.5258754046633682E-2</v>
      </c>
      <c r="R84" s="28">
        <v>146.4528</v>
      </c>
      <c r="S84" s="29">
        <f t="shared" ref="S84" si="327">R84/R83-1</f>
        <v>-1.2700826767194751E-2</v>
      </c>
    </row>
    <row r="85" spans="1:19">
      <c r="A85" s="27">
        <v>42704</v>
      </c>
      <c r="B85" s="28">
        <v>167.297</v>
      </c>
      <c r="C85" s="29">
        <f t="shared" si="263"/>
        <v>2.1848277547031447E-2</v>
      </c>
      <c r="D85" s="28">
        <v>167.297</v>
      </c>
      <c r="E85" s="29">
        <f t="shared" si="263"/>
        <v>2.1848277547031447E-2</v>
      </c>
      <c r="F85" s="28">
        <v>164.0455</v>
      </c>
      <c r="G85" s="29">
        <f t="shared" ref="G85:I85" si="328">F85/F84-1</f>
        <v>1.8163593368876407E-2</v>
      </c>
      <c r="H85" s="28">
        <v>156.46299999999999</v>
      </c>
      <c r="I85" s="29">
        <f t="shared" si="328"/>
        <v>8.9387967768228549E-3</v>
      </c>
      <c r="J85" s="29"/>
      <c r="K85" s="27">
        <v>42704</v>
      </c>
      <c r="L85" s="28">
        <v>167.06190000000001</v>
      </c>
      <c r="M85" s="29">
        <f t="shared" ref="M85" si="329">L85/L84-1</f>
        <v>2.1847819438497673E-2</v>
      </c>
      <c r="N85" s="28">
        <v>163.2886</v>
      </c>
      <c r="O85" s="29">
        <f t="shared" ref="O85:Q85" si="330">N85/N84-1</f>
        <v>1.8152183537081923E-2</v>
      </c>
      <c r="P85" s="28">
        <v>154.83969999999999</v>
      </c>
      <c r="Q85" s="29">
        <f t="shared" si="330"/>
        <v>6.7856076974643909E-3</v>
      </c>
      <c r="R85" s="28">
        <v>145.7937</v>
      </c>
      <c r="S85" s="29">
        <f t="shared" ref="S85" si="331">R85/R84-1</f>
        <v>-4.500426075841446E-3</v>
      </c>
    </row>
    <row r="86" spans="1:19">
      <c r="A86" s="27">
        <v>42735</v>
      </c>
      <c r="B86" s="28">
        <v>170.51349999999999</v>
      </c>
      <c r="C86" s="29">
        <f t="shared" si="263"/>
        <v>1.9226286185645813E-2</v>
      </c>
      <c r="D86" s="28">
        <v>170.51349999999999</v>
      </c>
      <c r="E86" s="29">
        <f t="shared" si="263"/>
        <v>1.9226286185645813E-2</v>
      </c>
      <c r="F86" s="28">
        <v>167.0532</v>
      </c>
      <c r="G86" s="29">
        <f t="shared" ref="G86:I86" si="332">F86/F85-1</f>
        <v>1.8334547427390602E-2</v>
      </c>
      <c r="H86" s="28">
        <v>158.70169999999999</v>
      </c>
      <c r="I86" s="29">
        <f t="shared" si="332"/>
        <v>1.4308175095709474E-2</v>
      </c>
      <c r="J86" s="29"/>
      <c r="K86" s="27">
        <v>42735</v>
      </c>
      <c r="L86" s="28">
        <v>170.274</v>
      </c>
      <c r="M86" s="29">
        <f t="shared" ref="M86" si="333">L86/L85-1</f>
        <v>1.9227005080152848E-2</v>
      </c>
      <c r="N86" s="28">
        <v>166.34700000000001</v>
      </c>
      <c r="O86" s="29">
        <f t="shared" ref="O86:Q86" si="334">N86/N85-1</f>
        <v>1.8730027693298901E-2</v>
      </c>
      <c r="P86" s="28">
        <v>157.3912</v>
      </c>
      <c r="Q86" s="29">
        <f t="shared" si="334"/>
        <v>1.6478332107334293E-2</v>
      </c>
      <c r="R86" s="28">
        <v>147.8639</v>
      </c>
      <c r="S86" s="29">
        <f t="shared" ref="S86" si="335">R86/R85-1</f>
        <v>1.4199516165650516E-2</v>
      </c>
    </row>
    <row r="87" spans="1:19">
      <c r="A87" s="27">
        <v>42766</v>
      </c>
      <c r="B87" s="28">
        <v>173.92910000000001</v>
      </c>
      <c r="C87" s="29">
        <f t="shared" si="263"/>
        <v>2.0031258522052564E-2</v>
      </c>
      <c r="D87" s="28">
        <v>173.92910000000001</v>
      </c>
      <c r="E87" s="29">
        <f t="shared" si="263"/>
        <v>2.0031258522052564E-2</v>
      </c>
      <c r="F87" s="28">
        <v>170.2491</v>
      </c>
      <c r="G87" s="29">
        <f t="shared" ref="G87:I87" si="336">F87/F86-1</f>
        <v>1.9131031312180857E-2</v>
      </c>
      <c r="H87" s="28">
        <v>161.0932</v>
      </c>
      <c r="I87" s="29">
        <f t="shared" si="336"/>
        <v>1.506915174821688E-2</v>
      </c>
      <c r="J87" s="29"/>
      <c r="K87" s="27">
        <v>42766</v>
      </c>
      <c r="L87" s="28">
        <v>173.68469999999999</v>
      </c>
      <c r="M87" s="29">
        <f t="shared" ref="M87" si="337">L87/L86-1</f>
        <v>2.0030656471334396E-2</v>
      </c>
      <c r="N87" s="28">
        <v>169.5437</v>
      </c>
      <c r="O87" s="29">
        <f t="shared" ref="O87:Q87" si="338">N87/N86-1</f>
        <v>1.9217058317853697E-2</v>
      </c>
      <c r="P87" s="28">
        <v>159.83840000000001</v>
      </c>
      <c r="Q87" s="29">
        <f t="shared" si="338"/>
        <v>1.5548518595702943E-2</v>
      </c>
      <c r="R87" s="28">
        <v>149.61859999999999</v>
      </c>
      <c r="S87" s="29">
        <f t="shared" ref="S87" si="339">R87/R86-1</f>
        <v>1.1866993904529721E-2</v>
      </c>
    </row>
    <row r="88" spans="1:19">
      <c r="A88" s="27">
        <v>42794</v>
      </c>
      <c r="B88" s="28">
        <v>179.19540000000001</v>
      </c>
      <c r="C88" s="29">
        <f t="shared" si="263"/>
        <v>3.0278429543992402E-2</v>
      </c>
      <c r="D88" s="28">
        <v>179.19540000000001</v>
      </c>
      <c r="E88" s="29">
        <f t="shared" si="263"/>
        <v>3.0278429543992402E-2</v>
      </c>
      <c r="F88" s="28">
        <v>175.20339999999999</v>
      </c>
      <c r="G88" s="29">
        <f t="shared" ref="G88:I88" si="340">F88/F87-1</f>
        <v>2.9100300677066704E-2</v>
      </c>
      <c r="H88" s="28">
        <v>164.92699999999999</v>
      </c>
      <c r="I88" s="29">
        <f t="shared" si="340"/>
        <v>2.3798645752893366E-2</v>
      </c>
      <c r="J88" s="29"/>
      <c r="K88" s="27">
        <v>42794</v>
      </c>
      <c r="L88" s="28">
        <v>178.9436</v>
      </c>
      <c r="M88" s="29">
        <f t="shared" ref="M88" si="341">L88/L87-1</f>
        <v>3.0278429821394726E-2</v>
      </c>
      <c r="N88" s="28">
        <v>174.4736</v>
      </c>
      <c r="O88" s="29">
        <f t="shared" ref="O88:Q88" si="342">N88/N87-1</f>
        <v>2.9077459085769641E-2</v>
      </c>
      <c r="P88" s="28">
        <v>163.62289999999999</v>
      </c>
      <c r="Q88" s="29">
        <f t="shared" si="342"/>
        <v>2.3677038809197137E-2</v>
      </c>
      <c r="R88" s="28">
        <v>152.35409999999999</v>
      </c>
      <c r="S88" s="29">
        <f t="shared" ref="S88" si="343">R88/R87-1</f>
        <v>1.8283154634517462E-2</v>
      </c>
    </row>
    <row r="89" spans="1:19">
      <c r="A89" s="27">
        <v>42825</v>
      </c>
      <c r="B89" s="28">
        <v>179.48099999999999</v>
      </c>
      <c r="C89" s="29">
        <f t="shared" si="263"/>
        <v>1.5937909120433691E-3</v>
      </c>
      <c r="D89" s="28">
        <v>179.48099999999999</v>
      </c>
      <c r="E89" s="29">
        <f t="shared" si="263"/>
        <v>1.5937909120433691E-3</v>
      </c>
      <c r="F89" s="28">
        <v>175.482</v>
      </c>
      <c r="G89" s="29">
        <f t="shared" ref="G89:I89" si="344">F89/F88-1</f>
        <v>1.5901517892917827E-3</v>
      </c>
      <c r="H89" s="28">
        <v>165.1814</v>
      </c>
      <c r="I89" s="29">
        <f t="shared" si="344"/>
        <v>1.5425006214870862E-3</v>
      </c>
      <c r="J89" s="29"/>
      <c r="K89" s="27">
        <v>42825</v>
      </c>
      <c r="L89" s="28">
        <v>179.22880000000001</v>
      </c>
      <c r="M89" s="29">
        <f t="shared" ref="M89" si="345">L89/L88-1</f>
        <v>1.5937982693987607E-3</v>
      </c>
      <c r="N89" s="28">
        <v>174.76560000000001</v>
      </c>
      <c r="O89" s="29">
        <f t="shared" ref="O89:Q89" si="346">N89/N88-1</f>
        <v>1.6736056343193972E-3</v>
      </c>
      <c r="P89" s="28">
        <v>163.95060000000001</v>
      </c>
      <c r="Q89" s="29">
        <f t="shared" si="346"/>
        <v>2.0027758950613705E-3</v>
      </c>
      <c r="R89" s="28">
        <v>152.7021</v>
      </c>
      <c r="S89" s="29">
        <f t="shared" ref="S89" si="347">R89/R88-1</f>
        <v>2.2841525105004035E-3</v>
      </c>
    </row>
    <row r="90" spans="1:19">
      <c r="A90" s="27">
        <v>42855</v>
      </c>
      <c r="B90" s="28">
        <v>180.1326</v>
      </c>
      <c r="C90" s="29">
        <f t="shared" si="263"/>
        <v>3.6304678489644804E-3</v>
      </c>
      <c r="D90" s="28">
        <v>180.1326</v>
      </c>
      <c r="E90" s="29">
        <f t="shared" si="263"/>
        <v>3.6304678489644804E-3</v>
      </c>
      <c r="F90" s="28">
        <v>176.1507</v>
      </c>
      <c r="G90" s="29">
        <f t="shared" ref="G90:I90" si="348">F90/F89-1</f>
        <v>3.8106472458714347E-3</v>
      </c>
      <c r="H90" s="28">
        <v>165.941</v>
      </c>
      <c r="I90" s="29">
        <f t="shared" si="348"/>
        <v>4.5985807118720246E-3</v>
      </c>
      <c r="J90" s="29"/>
      <c r="K90" s="27">
        <v>42855</v>
      </c>
      <c r="L90" s="28">
        <v>179.87950000000001</v>
      </c>
      <c r="M90" s="29">
        <f t="shared" ref="M90" si="349">L90/L89-1</f>
        <v>3.6305549108179846E-3</v>
      </c>
      <c r="N90" s="28">
        <v>175.43369999999999</v>
      </c>
      <c r="O90" s="29">
        <f t="shared" ref="O90:Q90" si="350">N90/N89-1</f>
        <v>3.8228346997348783E-3</v>
      </c>
      <c r="P90" s="28">
        <v>164.7157</v>
      </c>
      <c r="Q90" s="29">
        <f t="shared" si="350"/>
        <v>4.6666495883516124E-3</v>
      </c>
      <c r="R90" s="28">
        <v>153.53870000000001</v>
      </c>
      <c r="S90" s="29">
        <f t="shared" ref="S90" si="351">R90/R89-1</f>
        <v>5.4786410926896956E-3</v>
      </c>
    </row>
    <row r="91" spans="1:19">
      <c r="A91" s="27">
        <v>42886</v>
      </c>
      <c r="B91" s="28">
        <v>181.9811</v>
      </c>
      <c r="C91" s="29">
        <f t="shared" si="263"/>
        <v>1.0261884855933934E-2</v>
      </c>
      <c r="D91" s="28">
        <v>181.9811</v>
      </c>
      <c r="E91" s="29">
        <f t="shared" si="263"/>
        <v>1.0261884855933934E-2</v>
      </c>
      <c r="F91" s="28">
        <v>177.9298</v>
      </c>
      <c r="G91" s="29">
        <f t="shared" ref="G91:I91" si="352">F91/F90-1</f>
        <v>1.0099874709552648E-2</v>
      </c>
      <c r="H91" s="28">
        <v>167.49209999999999</v>
      </c>
      <c r="I91" s="29">
        <f t="shared" si="352"/>
        <v>9.3472981360844809E-3</v>
      </c>
      <c r="J91" s="29"/>
      <c r="K91" s="27">
        <v>42886</v>
      </c>
      <c r="L91" s="28">
        <v>181.72540000000001</v>
      </c>
      <c r="M91" s="29">
        <f t="shared" ref="M91" si="353">L91/L90-1</f>
        <v>1.0261869751694963E-2</v>
      </c>
      <c r="N91" s="28">
        <v>177.25139999999999</v>
      </c>
      <c r="O91" s="29">
        <f t="shared" ref="O91:Q91" si="354">N91/N90-1</f>
        <v>1.0361179180510938E-2</v>
      </c>
      <c r="P91" s="28">
        <v>166.4932</v>
      </c>
      <c r="Q91" s="29">
        <f t="shared" si="354"/>
        <v>1.0791321045899194E-2</v>
      </c>
      <c r="R91" s="28">
        <v>155.2568</v>
      </c>
      <c r="S91" s="29">
        <f t="shared" ref="S91" si="355">R91/R90-1</f>
        <v>1.1190012680841965E-2</v>
      </c>
    </row>
    <row r="92" spans="1:19">
      <c r="A92" s="27">
        <v>42916</v>
      </c>
      <c r="B92" s="28">
        <v>182.79220000000001</v>
      </c>
      <c r="C92" s="29">
        <f t="shared" si="263"/>
        <v>4.4570562547430193E-3</v>
      </c>
      <c r="D92" s="28">
        <v>182.79220000000001</v>
      </c>
      <c r="E92" s="29">
        <f t="shared" si="263"/>
        <v>4.4570562547430193E-3</v>
      </c>
      <c r="F92" s="28">
        <v>178.6754</v>
      </c>
      <c r="G92" s="29">
        <f t="shared" ref="G92:I92" si="356">F92/F91-1</f>
        <v>4.1904166699451295E-3</v>
      </c>
      <c r="H92" s="28">
        <v>167.98939999999999</v>
      </c>
      <c r="I92" s="29">
        <f t="shared" si="356"/>
        <v>2.9690952588210529E-3</v>
      </c>
      <c r="J92" s="29"/>
      <c r="K92" s="27">
        <v>42916</v>
      </c>
      <c r="L92" s="28">
        <v>183.79089999999999</v>
      </c>
      <c r="M92" s="29">
        <f t="shared" ref="M92" si="357">L92/L91-1</f>
        <v>1.1366050095363622E-2</v>
      </c>
      <c r="N92" s="28">
        <v>179.14599999999999</v>
      </c>
      <c r="O92" s="29">
        <f t="shared" ref="O92:Q92" si="358">N92/N91-1</f>
        <v>1.0688773121114936E-2</v>
      </c>
      <c r="P92" s="28">
        <v>167.7636</v>
      </c>
      <c r="Q92" s="29">
        <f t="shared" si="358"/>
        <v>7.6303416595993045E-3</v>
      </c>
      <c r="R92" s="28">
        <v>155.9641</v>
      </c>
      <c r="S92" s="29">
        <f t="shared" ref="S92" si="359">R92/R91-1</f>
        <v>4.5556780765803051E-3</v>
      </c>
    </row>
    <row r="93" spans="1:19">
      <c r="A93" s="27">
        <v>42947</v>
      </c>
      <c r="B93" s="28">
        <v>188.97139999999999</v>
      </c>
      <c r="C93" s="29">
        <f t="shared" si="263"/>
        <v>3.3804505881541935E-2</v>
      </c>
      <c r="D93" s="28">
        <v>188.97139999999999</v>
      </c>
      <c r="E93" s="29">
        <f t="shared" si="263"/>
        <v>3.3804505881541935E-2</v>
      </c>
      <c r="F93" s="28">
        <v>184.4442</v>
      </c>
      <c r="G93" s="29">
        <f t="shared" ref="G93:I93" si="360">F93/F92-1</f>
        <v>3.2286481519000265E-2</v>
      </c>
      <c r="H93" s="28">
        <v>172.26920000000001</v>
      </c>
      <c r="I93" s="29">
        <f t="shared" si="360"/>
        <v>2.5476607452613154E-2</v>
      </c>
      <c r="J93" s="29"/>
      <c r="K93" s="27">
        <v>42947</v>
      </c>
      <c r="L93" s="28">
        <v>189.2629</v>
      </c>
      <c r="M93" s="29">
        <f t="shared" ref="M93" si="361">L93/L92-1</f>
        <v>2.9772964820347525E-2</v>
      </c>
      <c r="N93" s="28">
        <v>184.26429999999999</v>
      </c>
      <c r="O93" s="29">
        <f t="shared" ref="O93:Q93" si="362">N93/N92-1</f>
        <v>2.8570551393835242E-2</v>
      </c>
      <c r="P93" s="28">
        <v>171.65090000000001</v>
      </c>
      <c r="Q93" s="29">
        <f t="shared" si="362"/>
        <v>2.3171295799565561E-2</v>
      </c>
      <c r="R93" s="28">
        <v>158.7381</v>
      </c>
      <c r="S93" s="29">
        <f t="shared" ref="S93" si="363">R93/R92-1</f>
        <v>1.7786144375532498E-2</v>
      </c>
    </row>
    <row r="94" spans="1:19">
      <c r="A94" s="27">
        <v>42978</v>
      </c>
      <c r="B94" s="28">
        <v>191.0643</v>
      </c>
      <c r="C94" s="29">
        <f t="shared" si="263"/>
        <v>1.1075220906444194E-2</v>
      </c>
      <c r="D94" s="28">
        <v>191.0643</v>
      </c>
      <c r="E94" s="29">
        <f t="shared" si="263"/>
        <v>1.1075220906444194E-2</v>
      </c>
      <c r="F94" s="28">
        <v>186.46420000000001</v>
      </c>
      <c r="G94" s="29">
        <f t="shared" ref="G94:I94" si="364">F94/F93-1</f>
        <v>1.0951821743378165E-2</v>
      </c>
      <c r="H94" s="28">
        <v>174.05549999999999</v>
      </c>
      <c r="I94" s="29">
        <f t="shared" si="364"/>
        <v>1.0369236056126052E-2</v>
      </c>
      <c r="J94" s="29"/>
      <c r="K94" s="27">
        <v>42978</v>
      </c>
      <c r="L94" s="28">
        <v>190.95570000000001</v>
      </c>
      <c r="M94" s="29">
        <f t="shared" ref="M94" si="365">L94/L93-1</f>
        <v>8.9441723655296901E-3</v>
      </c>
      <c r="N94" s="28">
        <v>185.90649999999999</v>
      </c>
      <c r="O94" s="29">
        <f t="shared" ref="O94:Q94" si="366">N94/N93-1</f>
        <v>8.912198401969329E-3</v>
      </c>
      <c r="P94" s="28">
        <v>173.1515</v>
      </c>
      <c r="Q94" s="29">
        <f t="shared" si="366"/>
        <v>8.7421621442125286E-3</v>
      </c>
      <c r="R94" s="28">
        <v>160.09209999999999</v>
      </c>
      <c r="S94" s="29">
        <f t="shared" ref="S94" si="367">R94/R93-1</f>
        <v>8.5297732554439065E-3</v>
      </c>
    </row>
    <row r="95" spans="1:19">
      <c r="A95" s="27">
        <v>43008</v>
      </c>
      <c r="B95" s="28">
        <v>193.7518</v>
      </c>
      <c r="C95" s="29">
        <f t="shared" si="263"/>
        <v>1.4065945338820551E-2</v>
      </c>
      <c r="D95" s="28">
        <v>193.7518</v>
      </c>
      <c r="E95" s="29">
        <f t="shared" si="263"/>
        <v>1.4065945338820551E-2</v>
      </c>
      <c r="F95" s="28">
        <v>188.90520000000001</v>
      </c>
      <c r="G95" s="29">
        <f t="shared" ref="G95:I95" si="368">F95/F94-1</f>
        <v>1.3090984757395896E-2</v>
      </c>
      <c r="H95" s="28">
        <v>175.56899999999999</v>
      </c>
      <c r="I95" s="29">
        <f t="shared" si="368"/>
        <v>8.6955022966812567E-3</v>
      </c>
      <c r="J95" s="29"/>
      <c r="K95" s="27">
        <v>43008</v>
      </c>
      <c r="L95" s="28">
        <v>193.64169999999999</v>
      </c>
      <c r="M95" s="29">
        <f t="shared" ref="M95" si="369">L95/L94-1</f>
        <v>1.4066089674201754E-2</v>
      </c>
      <c r="N95" s="28">
        <v>188.3579</v>
      </c>
      <c r="O95" s="29">
        <f t="shared" ref="O95:Q95" si="370">N95/N94-1</f>
        <v>1.3186198438462471E-2</v>
      </c>
      <c r="P95" s="28">
        <v>174.74809999999999</v>
      </c>
      <c r="Q95" s="29">
        <f t="shared" si="370"/>
        <v>9.2208268481648314E-3</v>
      </c>
      <c r="R95" s="28">
        <v>160.93219999999999</v>
      </c>
      <c r="S95" s="29">
        <f t="shared" ref="S95" si="371">R95/R94-1</f>
        <v>5.2476043477474033E-3</v>
      </c>
    </row>
    <row r="96" spans="1:19">
      <c r="A96" s="27">
        <v>43039</v>
      </c>
      <c r="B96" s="28">
        <v>199.29849999999999</v>
      </c>
      <c r="C96" s="29">
        <f t="shared" si="263"/>
        <v>2.8627863070175286E-2</v>
      </c>
      <c r="D96" s="28">
        <v>199.29849999999999</v>
      </c>
      <c r="E96" s="29">
        <f t="shared" si="263"/>
        <v>2.8627863070175286E-2</v>
      </c>
      <c r="F96" s="28">
        <v>194.05</v>
      </c>
      <c r="G96" s="29">
        <f t="shared" ref="G96:I96" si="372">F96/F95-1</f>
        <v>2.7234824663376234E-2</v>
      </c>
      <c r="H96" s="28">
        <v>179.2527</v>
      </c>
      <c r="I96" s="29">
        <f t="shared" si="372"/>
        <v>2.0981494455171612E-2</v>
      </c>
      <c r="J96" s="29"/>
      <c r="K96" s="27">
        <v>43039</v>
      </c>
      <c r="L96" s="28">
        <v>199.18520000000001</v>
      </c>
      <c r="M96" s="29">
        <f t="shared" ref="M96" si="373">L96/L95-1</f>
        <v>2.862761481643683E-2</v>
      </c>
      <c r="N96" s="28">
        <v>193.49369999999999</v>
      </c>
      <c r="O96" s="29">
        <f t="shared" ref="O96:Q96" si="374">N96/N95-1</f>
        <v>2.7266177845473916E-2</v>
      </c>
      <c r="P96" s="28">
        <v>178.4444</v>
      </c>
      <c r="Q96" s="29">
        <f t="shared" si="374"/>
        <v>2.1152161311053019E-2</v>
      </c>
      <c r="R96" s="28">
        <v>163.35599999999999</v>
      </c>
      <c r="S96" s="29">
        <f t="shared" ref="S96" si="375">R96/R95-1</f>
        <v>1.5061000843833661E-2</v>
      </c>
    </row>
    <row r="97" spans="1:19">
      <c r="A97" s="27">
        <v>43069</v>
      </c>
      <c r="B97" s="28">
        <v>201.65029999999999</v>
      </c>
      <c r="C97" s="29">
        <f t="shared" si="263"/>
        <v>1.1800389867460126E-2</v>
      </c>
      <c r="D97" s="28">
        <v>201.65029999999999</v>
      </c>
      <c r="E97" s="29">
        <f t="shared" si="263"/>
        <v>1.1800389867460126E-2</v>
      </c>
      <c r="F97" s="28">
        <v>196.21260000000001</v>
      </c>
      <c r="G97" s="29">
        <f t="shared" ref="G97:I97" si="376">F97/F96-1</f>
        <v>1.1144550373614948E-2</v>
      </c>
      <c r="H97" s="28">
        <v>180.7191</v>
      </c>
      <c r="I97" s="29">
        <f t="shared" si="376"/>
        <v>8.1806299151978568E-3</v>
      </c>
      <c r="J97" s="29"/>
      <c r="K97" s="27">
        <v>43069</v>
      </c>
      <c r="L97" s="28">
        <v>201.53569999999999</v>
      </c>
      <c r="M97" s="29">
        <f t="shared" ref="M97" si="377">L97/L96-1</f>
        <v>1.180057554476921E-2</v>
      </c>
      <c r="N97" s="28">
        <v>195.6208</v>
      </c>
      <c r="O97" s="29">
        <f t="shared" ref="O97:Q97" si="378">N97/N96-1</f>
        <v>1.0993122773506281E-2</v>
      </c>
      <c r="P97" s="28">
        <v>179.75630000000001</v>
      </c>
      <c r="Q97" s="29">
        <f t="shared" si="378"/>
        <v>7.3518698261194615E-3</v>
      </c>
      <c r="R97" s="28">
        <v>163.9599</v>
      </c>
      <c r="S97" s="29">
        <f t="shared" ref="S97" si="379">R97/R96-1</f>
        <v>3.6968339087637414E-3</v>
      </c>
    </row>
    <row r="98" spans="1:19">
      <c r="A98" s="27">
        <v>43100</v>
      </c>
      <c r="B98" s="28">
        <v>206.69739999999999</v>
      </c>
      <c r="C98" s="29">
        <f t="shared" si="263"/>
        <v>2.5028973425777146E-2</v>
      </c>
      <c r="D98" s="28">
        <v>206.69739999999999</v>
      </c>
      <c r="E98" s="29">
        <f t="shared" si="263"/>
        <v>2.5028973425777146E-2</v>
      </c>
      <c r="F98" s="28">
        <v>200.9246</v>
      </c>
      <c r="G98" s="29">
        <f t="shared" ref="G98:I98" si="380">F98/F97-1</f>
        <v>2.4014767655084368E-2</v>
      </c>
      <c r="H98" s="28">
        <v>184.23439999999999</v>
      </c>
      <c r="I98" s="29">
        <f t="shared" si="380"/>
        <v>1.9451734764061923E-2</v>
      </c>
      <c r="J98" s="29"/>
      <c r="K98" s="27">
        <v>43100</v>
      </c>
      <c r="L98" s="28">
        <v>206.57990000000001</v>
      </c>
      <c r="M98" s="29">
        <f t="shared" ref="M98" si="381">L98/L97-1</f>
        <v>2.5028816234543116E-2</v>
      </c>
      <c r="N98" s="28">
        <v>200.3603</v>
      </c>
      <c r="O98" s="29">
        <f t="shared" ref="O98:Q98" si="382">N98/N97-1</f>
        <v>2.4227996204902569E-2</v>
      </c>
      <c r="P98" s="28">
        <v>183.46199999999999</v>
      </c>
      <c r="Q98" s="29">
        <f t="shared" si="382"/>
        <v>2.0615132821492077E-2</v>
      </c>
      <c r="R98" s="28">
        <v>166.74520000000001</v>
      </c>
      <c r="S98" s="29">
        <f t="shared" ref="S98" si="383">R98/R97-1</f>
        <v>1.6987690282807E-2</v>
      </c>
    </row>
    <row r="99" spans="1:19">
      <c r="A99" s="27">
        <v>43131</v>
      </c>
      <c r="B99" s="28">
        <v>219.2835</v>
      </c>
      <c r="C99" s="29">
        <f t="shared" si="263"/>
        <v>6.0891428726244312E-2</v>
      </c>
      <c r="D99" s="28">
        <v>219.2835</v>
      </c>
      <c r="E99" s="29">
        <f t="shared" si="263"/>
        <v>6.0891428726244312E-2</v>
      </c>
      <c r="F99" s="28">
        <v>212.41569999999999</v>
      </c>
      <c r="G99" s="29">
        <f t="shared" ref="G99:I99" si="384">F99/F98-1</f>
        <v>5.7191105519184715E-2</v>
      </c>
      <c r="H99" s="28">
        <v>191.72559999999999</v>
      </c>
      <c r="I99" s="29">
        <f t="shared" si="384"/>
        <v>4.0661244588415579E-2</v>
      </c>
      <c r="J99" s="29"/>
      <c r="K99" s="27">
        <v>43131</v>
      </c>
      <c r="L99" s="28">
        <v>219.15889999999999</v>
      </c>
      <c r="M99" s="29">
        <f t="shared" ref="M99" si="385">L99/L98-1</f>
        <v>6.0891693722380458E-2</v>
      </c>
      <c r="N99" s="28">
        <v>211.84780000000001</v>
      </c>
      <c r="O99" s="29">
        <f t="shared" ref="O99:Q99" si="386">N99/N98-1</f>
        <v>5.7334212416332075E-2</v>
      </c>
      <c r="P99" s="28">
        <v>191.06489999999999</v>
      </c>
      <c r="Q99" s="29">
        <f t="shared" si="386"/>
        <v>4.1441279393007902E-2</v>
      </c>
      <c r="R99" s="28">
        <v>171.03659999999999</v>
      </c>
      <c r="S99" s="29">
        <f t="shared" ref="S99" si="387">R99/R98-1</f>
        <v>2.5736273068130089E-2</v>
      </c>
    </row>
    <row r="100" spans="1:19">
      <c r="A100" s="27">
        <v>43159</v>
      </c>
      <c r="B100" s="28">
        <v>207.8408</v>
      </c>
      <c r="C100" s="29">
        <f t="shared" si="263"/>
        <v>-5.21822207325221E-2</v>
      </c>
      <c r="D100" s="28">
        <v>207.8408</v>
      </c>
      <c r="E100" s="29">
        <f t="shared" si="263"/>
        <v>-5.21822207325221E-2</v>
      </c>
      <c r="F100" s="28">
        <v>201.79669999999999</v>
      </c>
      <c r="G100" s="29">
        <f t="shared" ref="G100:I100" si="388">F100/F99-1</f>
        <v>-4.9991596666348115E-2</v>
      </c>
      <c r="H100" s="28">
        <v>184.0103</v>
      </c>
      <c r="I100" s="29">
        <f t="shared" si="388"/>
        <v>-4.0241365785268046E-2</v>
      </c>
      <c r="J100" s="29"/>
      <c r="K100" s="27">
        <v>43159</v>
      </c>
      <c r="L100" s="28">
        <v>207.7227</v>
      </c>
      <c r="M100" s="29">
        <f t="shared" ref="M100" si="389">L100/L99-1</f>
        <v>-5.2182229423491266E-2</v>
      </c>
      <c r="N100" s="28">
        <v>201.32380000000001</v>
      </c>
      <c r="O100" s="29">
        <f t="shared" ref="O100:Q100" si="390">N100/N99-1</f>
        <v>-4.967717389559867E-2</v>
      </c>
      <c r="P100" s="28">
        <v>183.71299999999999</v>
      </c>
      <c r="Q100" s="29">
        <f t="shared" si="390"/>
        <v>-3.8478548388531819E-2</v>
      </c>
      <c r="R100" s="28">
        <v>166.3494</v>
      </c>
      <c r="S100" s="29">
        <f t="shared" ref="S100" si="391">R100/R99-1</f>
        <v>-2.7404660756820465E-2</v>
      </c>
    </row>
    <row r="101" spans="1:19">
      <c r="A101" s="27">
        <v>43190</v>
      </c>
      <c r="B101" s="28">
        <v>207.20490000000001</v>
      </c>
      <c r="C101" s="29">
        <f t="shared" si="263"/>
        <v>-3.0595532734669639E-3</v>
      </c>
      <c r="D101" s="28">
        <v>207.20490000000001</v>
      </c>
      <c r="E101" s="29">
        <f t="shared" si="263"/>
        <v>-3.0595532734669639E-3</v>
      </c>
      <c r="F101" s="28">
        <v>201.29</v>
      </c>
      <c r="G101" s="29">
        <f t="shared" ref="G101:I101" si="392">F101/F100-1</f>
        <v>-2.5109429440619557E-3</v>
      </c>
      <c r="H101" s="28">
        <v>183.988</v>
      </c>
      <c r="I101" s="29">
        <f t="shared" si="392"/>
        <v>-1.2118886823186958E-4</v>
      </c>
      <c r="J101" s="29"/>
      <c r="K101" s="27">
        <v>43190</v>
      </c>
      <c r="L101" s="28">
        <v>207.08709999999999</v>
      </c>
      <c r="M101" s="29">
        <f t="shared" ref="M101" si="393">L101/L100-1</f>
        <v>-3.059848538460197E-3</v>
      </c>
      <c r="N101" s="28">
        <v>200.77789999999999</v>
      </c>
      <c r="O101" s="29">
        <f t="shared" ref="O101:Q101" si="394">N101/N100-1</f>
        <v>-2.7115522357517019E-3</v>
      </c>
      <c r="P101" s="28">
        <v>183.48840000000001</v>
      </c>
      <c r="Q101" s="29">
        <f t="shared" si="394"/>
        <v>-1.2225591003357517E-3</v>
      </c>
      <c r="R101" s="28">
        <v>166.37299999999999</v>
      </c>
      <c r="S101" s="29">
        <f t="shared" ref="S101" si="395">R101/R100-1</f>
        <v>1.4187006385357748E-4</v>
      </c>
    </row>
    <row r="102" spans="1:19">
      <c r="A102" s="27">
        <v>43220</v>
      </c>
      <c r="B102" s="28">
        <v>209.18870000000001</v>
      </c>
      <c r="C102" s="29">
        <f t="shared" si="263"/>
        <v>9.5740979098466461E-3</v>
      </c>
      <c r="D102" s="28">
        <v>209.18870000000001</v>
      </c>
      <c r="E102" s="29">
        <f t="shared" si="263"/>
        <v>9.5740979098466461E-3</v>
      </c>
      <c r="F102" s="28">
        <v>203.0318</v>
      </c>
      <c r="G102" s="29">
        <f t="shared" ref="G102:I102" si="396">F102/F101-1</f>
        <v>8.6531869442099119E-3</v>
      </c>
      <c r="H102" s="28">
        <v>184.81110000000001</v>
      </c>
      <c r="I102" s="29">
        <f t="shared" si="396"/>
        <v>4.4736613257387869E-3</v>
      </c>
      <c r="J102" s="29"/>
      <c r="K102" s="27">
        <v>43220</v>
      </c>
      <c r="L102" s="28">
        <v>209.06979999999999</v>
      </c>
      <c r="M102" s="29">
        <f t="shared" ref="M102" si="397">L102/L101-1</f>
        <v>9.5742322916299027E-3</v>
      </c>
      <c r="N102" s="28">
        <v>202.58070000000001</v>
      </c>
      <c r="O102" s="29">
        <f t="shared" ref="O102:Q102" si="398">N102/N101-1</f>
        <v>8.9790758843479868E-3</v>
      </c>
      <c r="P102" s="28">
        <v>184.63740000000001</v>
      </c>
      <c r="Q102" s="29">
        <f t="shared" si="398"/>
        <v>6.2619762339199969E-3</v>
      </c>
      <c r="R102" s="28">
        <v>166.9513</v>
      </c>
      <c r="S102" s="29">
        <f t="shared" ref="S102" si="399">R102/R101-1</f>
        <v>3.4759245791085025E-3</v>
      </c>
    </row>
    <row r="103" spans="1:19">
      <c r="A103" s="27">
        <v>43251</v>
      </c>
      <c r="B103" s="28">
        <v>209.732</v>
      </c>
      <c r="C103" s="29">
        <f t="shared" si="263"/>
        <v>2.597176616136565E-3</v>
      </c>
      <c r="D103" s="28">
        <v>209.732</v>
      </c>
      <c r="E103" s="29">
        <f t="shared" si="263"/>
        <v>2.597176616136565E-3</v>
      </c>
      <c r="F103" s="28">
        <v>203.6061</v>
      </c>
      <c r="G103" s="29">
        <f t="shared" ref="G103:I103" si="400">F103/F102-1</f>
        <v>2.8286209352426095E-3</v>
      </c>
      <c r="H103" s="28">
        <v>185.51900000000001</v>
      </c>
      <c r="I103" s="29">
        <f t="shared" si="400"/>
        <v>3.8303976330424927E-3</v>
      </c>
      <c r="J103" s="29"/>
      <c r="K103" s="27">
        <v>43251</v>
      </c>
      <c r="L103" s="28">
        <v>209.61279999999999</v>
      </c>
      <c r="M103" s="29">
        <f t="shared" ref="M103" si="401">L103/L102-1</f>
        <v>2.5972187279081904E-3</v>
      </c>
      <c r="N103" s="28">
        <v>203.18389999999999</v>
      </c>
      <c r="O103" s="29">
        <f t="shared" ref="O103:Q103" si="402">N103/N102-1</f>
        <v>2.9775788118018287E-3</v>
      </c>
      <c r="P103" s="28">
        <v>185.49760000000001</v>
      </c>
      <c r="Q103" s="29">
        <f t="shared" si="402"/>
        <v>4.6588610974807043E-3</v>
      </c>
      <c r="R103" s="28">
        <v>168.0016</v>
      </c>
      <c r="S103" s="29">
        <f t="shared" ref="S103" si="403">R103/R102-1</f>
        <v>6.2910561343336724E-3</v>
      </c>
    </row>
    <row r="104" spans="1:19">
      <c r="A104" s="27">
        <v>43281</v>
      </c>
      <c r="B104" s="28">
        <v>206.23310000000001</v>
      </c>
      <c r="C104" s="29">
        <f t="shared" si="263"/>
        <v>-1.668271889840367E-2</v>
      </c>
      <c r="D104" s="28">
        <v>206.23310000000001</v>
      </c>
      <c r="E104" s="29">
        <f t="shared" si="263"/>
        <v>-1.668271889840367E-2</v>
      </c>
      <c r="F104" s="28">
        <v>200.3939</v>
      </c>
      <c r="G104" s="29">
        <f t="shared" ref="G104:I104" si="404">F104/F103-1</f>
        <v>-1.5776541076126915E-2</v>
      </c>
      <c r="H104" s="28">
        <v>183.34379999999999</v>
      </c>
      <c r="I104" s="29">
        <f t="shared" si="404"/>
        <v>-1.1724944614837418E-2</v>
      </c>
      <c r="J104" s="29"/>
      <c r="K104" s="27">
        <v>43281</v>
      </c>
      <c r="L104" s="28">
        <v>206.11590000000001</v>
      </c>
      <c r="M104" s="29">
        <f t="shared" ref="M104" si="405">L104/L103-1</f>
        <v>-1.6682664417440041E-2</v>
      </c>
      <c r="N104" s="28">
        <v>199.98779999999999</v>
      </c>
      <c r="O104" s="29">
        <f t="shared" ref="O104:Q104" si="406">N104/N103-1</f>
        <v>-1.5730084913223918E-2</v>
      </c>
      <c r="P104" s="28">
        <v>183.3708</v>
      </c>
      <c r="Q104" s="29">
        <f t="shared" si="406"/>
        <v>-1.146537744962739E-2</v>
      </c>
      <c r="R104" s="28">
        <v>166.786</v>
      </c>
      <c r="S104" s="29">
        <f t="shared" ref="S104" si="407">R104/R103-1</f>
        <v>-7.2356453748059213E-3</v>
      </c>
    </row>
    <row r="105" spans="1:19">
      <c r="A105" s="27">
        <v>43312</v>
      </c>
      <c r="B105" s="28">
        <v>211.0712</v>
      </c>
      <c r="C105" s="29">
        <f t="shared" si="263"/>
        <v>2.3459376792571041E-2</v>
      </c>
      <c r="D105" s="28">
        <v>211.0712</v>
      </c>
      <c r="E105" s="29">
        <f t="shared" si="263"/>
        <v>2.3459376792571041E-2</v>
      </c>
      <c r="F105" s="28">
        <v>204.85890000000001</v>
      </c>
      <c r="G105" s="29">
        <f t="shared" ref="G105:I105" si="408">F105/F104-1</f>
        <v>2.228111733939997E-2</v>
      </c>
      <c r="H105" s="28">
        <v>186.45439999999999</v>
      </c>
      <c r="I105" s="29">
        <f t="shared" si="408"/>
        <v>1.6965940489942932E-2</v>
      </c>
      <c r="J105" s="29"/>
      <c r="K105" s="27">
        <v>43312</v>
      </c>
      <c r="L105" s="28">
        <v>210.9512</v>
      </c>
      <c r="M105" s="29">
        <f t="shared" ref="M105" si="409">L105/L104-1</f>
        <v>2.3459131488642981E-2</v>
      </c>
      <c r="N105" s="28">
        <v>204.46440000000001</v>
      </c>
      <c r="O105" s="29">
        <f t="shared" ref="O105:Q105" si="410">N105/N104-1</f>
        <v>2.2384365446292298E-2</v>
      </c>
      <c r="P105" s="28">
        <v>186.5856</v>
      </c>
      <c r="Q105" s="29">
        <f t="shared" si="410"/>
        <v>1.7531689887375634E-2</v>
      </c>
      <c r="R105" s="28">
        <v>168.8965</v>
      </c>
      <c r="S105" s="29">
        <f t="shared" ref="S105" si="411">R105/R104-1</f>
        <v>1.2653939779118106E-2</v>
      </c>
    </row>
    <row r="106" spans="1:19">
      <c r="A106" s="27">
        <v>43343</v>
      </c>
      <c r="B106" s="28">
        <v>209.6396</v>
      </c>
      <c r="C106" s="29">
        <f t="shared" si="263"/>
        <v>-6.7825454159544663E-3</v>
      </c>
      <c r="D106" s="28">
        <v>209.6396</v>
      </c>
      <c r="E106" s="29">
        <f t="shared" si="263"/>
        <v>-6.7825454159544663E-3</v>
      </c>
      <c r="F106" s="28">
        <v>203.60329999999999</v>
      </c>
      <c r="G106" s="29">
        <f t="shared" ref="G106:I106" si="412">F106/F105-1</f>
        <v>-6.1290966611653452E-3</v>
      </c>
      <c r="H106" s="28">
        <v>185.85290000000001</v>
      </c>
      <c r="I106" s="29">
        <f t="shared" si="412"/>
        <v>-3.2259898398749876E-3</v>
      </c>
      <c r="J106" s="29"/>
      <c r="K106" s="27">
        <v>43343</v>
      </c>
      <c r="L106" s="28">
        <v>209.5204</v>
      </c>
      <c r="M106" s="29">
        <f t="shared" ref="M106" si="413">L106/L105-1</f>
        <v>-6.7826113338060878E-3</v>
      </c>
      <c r="N106" s="28">
        <v>203.1686</v>
      </c>
      <c r="O106" s="29">
        <f t="shared" ref="O106:Q106" si="414">N106/N105-1</f>
        <v>-6.3375335755271323E-3</v>
      </c>
      <c r="P106" s="28">
        <v>185.7696</v>
      </c>
      <c r="Q106" s="29">
        <f t="shared" si="414"/>
        <v>-4.3733278452356972E-3</v>
      </c>
      <c r="R106" s="28">
        <v>168.47900000000001</v>
      </c>
      <c r="S106" s="29">
        <f t="shared" ref="S106" si="415">R106/R105-1</f>
        <v>-2.471928074293972E-3</v>
      </c>
    </row>
    <row r="107" spans="1:19">
      <c r="A107" s="27">
        <v>43373</v>
      </c>
      <c r="B107" s="28">
        <v>207.74350000000001</v>
      </c>
      <c r="C107" s="29">
        <f t="shared" si="263"/>
        <v>-9.0445698236401029E-3</v>
      </c>
      <c r="D107" s="28">
        <v>207.74350000000001</v>
      </c>
      <c r="E107" s="29">
        <f t="shared" si="263"/>
        <v>-9.0445698236401029E-3</v>
      </c>
      <c r="F107" s="28">
        <v>201.7929</v>
      </c>
      <c r="G107" s="29">
        <f t="shared" ref="G107:I107" si="416">F107/F106-1</f>
        <v>-8.8918008696322604E-3</v>
      </c>
      <c r="H107" s="28">
        <v>184.32550000000001</v>
      </c>
      <c r="I107" s="29">
        <f t="shared" si="416"/>
        <v>-8.2183275052474247E-3</v>
      </c>
      <c r="J107" s="29"/>
      <c r="K107" s="27">
        <v>43373</v>
      </c>
      <c r="L107" s="28">
        <v>208.35759999999999</v>
      </c>
      <c r="M107" s="29">
        <f t="shared" ref="M107" si="417">L107/L106-1</f>
        <v>-5.5498175833952335E-3</v>
      </c>
      <c r="N107" s="28">
        <v>201.9393</v>
      </c>
      <c r="O107" s="29">
        <f t="shared" ref="O107:Q107" si="418">N107/N106-1</f>
        <v>-6.0506397149953095E-3</v>
      </c>
      <c r="P107" s="28">
        <v>184.67910000000001</v>
      </c>
      <c r="Q107" s="29">
        <f t="shared" si="418"/>
        <v>-5.8701746679757916E-3</v>
      </c>
      <c r="R107" s="28">
        <v>167.51660000000001</v>
      </c>
      <c r="S107" s="29">
        <f t="shared" ref="S107" si="419">R107/R106-1</f>
        <v>-5.7122846170739594E-3</v>
      </c>
    </row>
    <row r="108" spans="1:19">
      <c r="A108" s="27">
        <v>43404</v>
      </c>
      <c r="B108" s="28">
        <v>190.54990000000001</v>
      </c>
      <c r="C108" s="29">
        <f t="shared" si="263"/>
        <v>-8.2763600305184037E-2</v>
      </c>
      <c r="D108" s="28">
        <v>190.54990000000001</v>
      </c>
      <c r="E108" s="29">
        <f t="shared" si="263"/>
        <v>-8.2763600305184037E-2</v>
      </c>
      <c r="F108" s="28">
        <v>185.85820000000001</v>
      </c>
      <c r="G108" s="29">
        <f t="shared" ref="G108:I108" si="420">F108/F107-1</f>
        <v>-7.8965612764373749E-2</v>
      </c>
      <c r="H108" s="28">
        <v>172.92580000000001</v>
      </c>
      <c r="I108" s="29">
        <f t="shared" si="420"/>
        <v>-6.1845485296391445E-2</v>
      </c>
      <c r="J108" s="29"/>
      <c r="K108" s="27">
        <v>43404</v>
      </c>
      <c r="L108" s="28">
        <v>191.1601</v>
      </c>
      <c r="M108" s="29">
        <f t="shared" ref="M108" si="421">L108/L107-1</f>
        <v>-8.2538385928807023E-2</v>
      </c>
      <c r="N108" s="28">
        <v>186.03960000000001</v>
      </c>
      <c r="O108" s="29">
        <f t="shared" ref="O108:Q108" si="422">N108/N107-1</f>
        <v>-7.8735045630048184E-2</v>
      </c>
      <c r="P108" s="28">
        <v>173.33760000000001</v>
      </c>
      <c r="Q108" s="29">
        <f t="shared" si="422"/>
        <v>-6.1411930207587062E-2</v>
      </c>
      <c r="R108" s="28">
        <v>160.14580000000001</v>
      </c>
      <c r="S108" s="29">
        <f t="shared" ref="S108" si="423">R108/R107-1</f>
        <v>-4.400041548121203E-2</v>
      </c>
    </row>
    <row r="109" spans="1:19">
      <c r="A109" s="27">
        <v>43434</v>
      </c>
      <c r="B109" s="28">
        <v>192.60810000000001</v>
      </c>
      <c r="C109" s="29">
        <f t="shared" si="263"/>
        <v>1.0801370139790212E-2</v>
      </c>
      <c r="D109" s="28">
        <v>192.60810000000001</v>
      </c>
      <c r="E109" s="29">
        <f t="shared" si="263"/>
        <v>1.0801370139790212E-2</v>
      </c>
      <c r="F109" s="28">
        <v>187.82820000000001</v>
      </c>
      <c r="G109" s="29">
        <f t="shared" ref="G109:I109" si="424">F109/F108-1</f>
        <v>1.059947852717813E-2</v>
      </c>
      <c r="H109" s="28">
        <v>174.58410000000001</v>
      </c>
      <c r="I109" s="29">
        <f t="shared" si="424"/>
        <v>9.5896621556759154E-3</v>
      </c>
      <c r="J109" s="29"/>
      <c r="K109" s="27">
        <v>43434</v>
      </c>
      <c r="L109" s="28">
        <v>193.34870000000001</v>
      </c>
      <c r="M109" s="29">
        <f t="shared" ref="M109" si="425">L109/L108-1</f>
        <v>1.1449041928728976E-2</v>
      </c>
      <c r="N109" s="28">
        <v>188.14930000000001</v>
      </c>
      <c r="O109" s="29">
        <f t="shared" ref="O109:Q109" si="426">N109/N108-1</f>
        <v>1.1340058783183782E-2</v>
      </c>
      <c r="P109" s="28">
        <v>175.27860000000001</v>
      </c>
      <c r="Q109" s="29">
        <f t="shared" si="426"/>
        <v>1.1197801284891451E-2</v>
      </c>
      <c r="R109" s="28">
        <v>161.8905</v>
      </c>
      <c r="S109" s="29">
        <f t="shared" ref="S109" si="427">R109/R108-1</f>
        <v>1.0894447434774968E-2</v>
      </c>
    </row>
    <row r="110" spans="1:19">
      <c r="A110" s="27">
        <v>43465</v>
      </c>
      <c r="B110" s="28">
        <v>176.0608</v>
      </c>
      <c r="C110" s="29">
        <f t="shared" si="263"/>
        <v>-8.591175552845387E-2</v>
      </c>
      <c r="D110" s="28">
        <v>176.0608</v>
      </c>
      <c r="E110" s="29">
        <f t="shared" si="263"/>
        <v>-8.591175552845387E-2</v>
      </c>
      <c r="F110" s="28">
        <v>174.1105</v>
      </c>
      <c r="G110" s="29">
        <f t="shared" ref="G110:I110" si="428">F110/F109-1</f>
        <v>-7.3033229302096325E-2</v>
      </c>
      <c r="H110" s="28">
        <v>165.90039999999999</v>
      </c>
      <c r="I110" s="29">
        <f t="shared" si="428"/>
        <v>-4.9739351979934066E-2</v>
      </c>
      <c r="J110" s="29"/>
      <c r="K110" s="27">
        <v>43465</v>
      </c>
      <c r="L110" s="28">
        <v>178.38030000000001</v>
      </c>
      <c r="M110" s="29">
        <f t="shared" ref="M110" si="429">L110/L109-1</f>
        <v>-7.7416605335334565E-2</v>
      </c>
      <c r="N110" s="28">
        <v>175.4391</v>
      </c>
      <c r="O110" s="29">
        <f t="shared" ref="O110:Q110" si="430">N110/N109-1</f>
        <v>-6.7553799030876105E-2</v>
      </c>
      <c r="P110" s="28">
        <v>166.87299999999999</v>
      </c>
      <c r="Q110" s="29">
        <f t="shared" si="430"/>
        <v>-4.7955654597880315E-2</v>
      </c>
      <c r="R110" s="28">
        <v>157.10740000000001</v>
      </c>
      <c r="S110" s="29">
        <f t="shared" ref="S110" si="431">R110/R109-1</f>
        <v>-2.9545279062082042E-2</v>
      </c>
    </row>
    <row r="111" spans="1:19">
      <c r="A111" s="27">
        <v>43496</v>
      </c>
      <c r="B111" s="28">
        <v>190.87360000000001</v>
      </c>
      <c r="C111" s="29">
        <f t="shared" si="263"/>
        <v>8.4134571693414983E-2</v>
      </c>
      <c r="D111" s="28">
        <v>190.87360000000001</v>
      </c>
      <c r="E111" s="29">
        <f t="shared" si="263"/>
        <v>8.4134571693414983E-2</v>
      </c>
      <c r="F111" s="28">
        <v>186.18709999999999</v>
      </c>
      <c r="G111" s="29">
        <f t="shared" ref="G111:I111" si="432">F111/F110-1</f>
        <v>6.9361698461609E-2</v>
      </c>
      <c r="H111" s="28">
        <v>174.62430000000001</v>
      </c>
      <c r="I111" s="29">
        <f t="shared" si="432"/>
        <v>5.2585165557165636E-2</v>
      </c>
      <c r="J111" s="29"/>
      <c r="K111" s="27">
        <v>43496</v>
      </c>
      <c r="L111" s="28">
        <v>192.2627</v>
      </c>
      <c r="M111" s="29">
        <f t="shared" ref="M111" si="433">L111/L110-1</f>
        <v>7.7824737372904851E-2</v>
      </c>
      <c r="N111" s="28">
        <v>186.64869999999999</v>
      </c>
      <c r="O111" s="29">
        <f t="shared" ref="O111:Q111" si="434">N111/N110-1</f>
        <v>6.3894536622679965E-2</v>
      </c>
      <c r="P111" s="28">
        <v>174.8681</v>
      </c>
      <c r="Q111" s="29">
        <f t="shared" si="434"/>
        <v>4.7911285828144745E-2</v>
      </c>
      <c r="R111" s="28">
        <v>162.47569999999999</v>
      </c>
      <c r="S111" s="29">
        <f t="shared" ref="S111" si="435">R111/R110-1</f>
        <v>3.4169618999486895E-2</v>
      </c>
    </row>
    <row r="112" spans="1:19">
      <c r="A112" s="27">
        <v>43524</v>
      </c>
      <c r="B112" s="28">
        <v>195.82769999999999</v>
      </c>
      <c r="C112" s="29">
        <f t="shared" si="263"/>
        <v>2.5954872753487068E-2</v>
      </c>
      <c r="D112" s="28">
        <v>195.82769999999999</v>
      </c>
      <c r="E112" s="29">
        <f t="shared" si="263"/>
        <v>2.5954872753487068E-2</v>
      </c>
      <c r="F112" s="28">
        <v>190.0334</v>
      </c>
      <c r="G112" s="29">
        <f t="shared" ref="G112:I112" si="436">F112/F111-1</f>
        <v>2.0658251833773678E-2</v>
      </c>
      <c r="H112" s="28">
        <v>177.17789999999999</v>
      </c>
      <c r="I112" s="29">
        <f t="shared" si="436"/>
        <v>1.4623394338588502E-2</v>
      </c>
      <c r="J112" s="29"/>
      <c r="K112" s="27">
        <v>43524</v>
      </c>
      <c r="L112" s="28">
        <v>197.102</v>
      </c>
      <c r="M112" s="29">
        <f t="shared" ref="M112" si="437">L112/L111-1</f>
        <v>2.5170248831416719E-2</v>
      </c>
      <c r="N112" s="28">
        <v>190.59909999999999</v>
      </c>
      <c r="O112" s="29">
        <f t="shared" ref="O112:Q112" si="438">N112/N111-1</f>
        <v>2.1164894263929979E-2</v>
      </c>
      <c r="P112" s="28">
        <v>177.7619</v>
      </c>
      <c r="Q112" s="29">
        <f t="shared" si="438"/>
        <v>1.6548472820371529E-2</v>
      </c>
      <c r="R112" s="28">
        <v>164.5138</v>
      </c>
      <c r="S112" s="29">
        <f t="shared" ref="S112" si="439">R112/R111-1</f>
        <v>1.2544029661050837E-2</v>
      </c>
    </row>
    <row r="113" spans="1:19">
      <c r="A113" s="27">
        <v>43555</v>
      </c>
      <c r="B113" s="28">
        <v>200.36269999999999</v>
      </c>
      <c r="C113" s="29">
        <f t="shared" si="263"/>
        <v>2.3158112973802991E-2</v>
      </c>
      <c r="D113" s="28">
        <v>200.36269999999999</v>
      </c>
      <c r="E113" s="29">
        <f t="shared" si="263"/>
        <v>2.3158112973802991E-2</v>
      </c>
      <c r="F113" s="28">
        <v>194.38159999999999</v>
      </c>
      <c r="G113" s="29">
        <f t="shared" ref="G113:I113" si="440">F113/F112-1</f>
        <v>2.2881240876603703E-2</v>
      </c>
      <c r="H113" s="28">
        <v>181.16540000000001</v>
      </c>
      <c r="I113" s="29">
        <f t="shared" si="440"/>
        <v>2.2505628523647792E-2</v>
      </c>
      <c r="J113" s="29"/>
      <c r="K113" s="27">
        <v>43555</v>
      </c>
      <c r="L113" s="28">
        <v>200.83340000000001</v>
      </c>
      <c r="M113" s="29">
        <f t="shared" ref="M113" si="441">L113/L112-1</f>
        <v>1.8931314750738171E-2</v>
      </c>
      <c r="N113" s="28">
        <v>194.01769999999999</v>
      </c>
      <c r="O113" s="29">
        <f t="shared" ref="O113:Q113" si="442">N113/N112-1</f>
        <v>1.7936076298366466E-2</v>
      </c>
      <c r="P113" s="28">
        <v>180.7226</v>
      </c>
      <c r="Q113" s="29">
        <f t="shared" si="442"/>
        <v>1.6655425037648719E-2</v>
      </c>
      <c r="R113" s="28">
        <v>167.077</v>
      </c>
      <c r="S113" s="29">
        <f t="shared" ref="S113" si="443">R113/R112-1</f>
        <v>1.5580455864492748E-2</v>
      </c>
    </row>
    <row r="114" spans="1:19">
      <c r="A114" s="27">
        <v>43585</v>
      </c>
      <c r="B114" s="28">
        <v>206.89410000000001</v>
      </c>
      <c r="C114" s="29">
        <f t="shared" si="263"/>
        <v>3.259788373784156E-2</v>
      </c>
      <c r="D114" s="28">
        <v>206.89410000000001</v>
      </c>
      <c r="E114" s="29">
        <f t="shared" si="263"/>
        <v>3.259788373784156E-2</v>
      </c>
      <c r="F114" s="28">
        <v>199.3989</v>
      </c>
      <c r="G114" s="29">
        <f t="shared" ref="G114:I114" si="444">F114/F113-1</f>
        <v>2.5811599451800005E-2</v>
      </c>
      <c r="H114" s="28">
        <v>184.44300000000001</v>
      </c>
      <c r="I114" s="29">
        <f t="shared" si="444"/>
        <v>1.8091754827356699E-2</v>
      </c>
      <c r="J114" s="29"/>
      <c r="K114" s="27">
        <v>43585</v>
      </c>
      <c r="L114" s="28">
        <v>207.3415</v>
      </c>
      <c r="M114" s="29">
        <f t="shared" ref="M114" si="445">L114/L113-1</f>
        <v>3.2405466421421947E-2</v>
      </c>
      <c r="N114" s="28">
        <v>199.2227</v>
      </c>
      <c r="O114" s="29">
        <f t="shared" ref="O114:Q114" si="446">N114/N113-1</f>
        <v>2.6827449248187252E-2</v>
      </c>
      <c r="P114" s="28">
        <v>184.41900000000001</v>
      </c>
      <c r="Q114" s="29">
        <f t="shared" si="446"/>
        <v>2.045344633156021E-2</v>
      </c>
      <c r="R114" s="28">
        <v>169.5692</v>
      </c>
      <c r="S114" s="29">
        <f t="shared" ref="S114" si="447">R114/R113-1</f>
        <v>1.491647563698173E-2</v>
      </c>
    </row>
    <row r="115" spans="1:19">
      <c r="A115" s="27">
        <v>43616</v>
      </c>
      <c r="B115" s="28">
        <v>195.12370000000001</v>
      </c>
      <c r="C115" s="29">
        <f t="shared" si="263"/>
        <v>-5.689094082431545E-2</v>
      </c>
      <c r="D115" s="28">
        <v>195.12370000000001</v>
      </c>
      <c r="E115" s="29">
        <f t="shared" si="263"/>
        <v>-5.689094082431545E-2</v>
      </c>
      <c r="F115" s="28">
        <v>188.91739999999999</v>
      </c>
      <c r="G115" s="29">
        <f t="shared" ref="G115:I115" si="448">F115/F114-1</f>
        <v>-5.256548556687124E-2</v>
      </c>
      <c r="H115" s="28">
        <v>176.87029999999999</v>
      </c>
      <c r="I115" s="29">
        <f t="shared" si="448"/>
        <v>-4.1057128760647044E-2</v>
      </c>
      <c r="J115" s="29"/>
      <c r="K115" s="27">
        <v>43616</v>
      </c>
      <c r="L115" s="28">
        <v>195.3486</v>
      </c>
      <c r="M115" s="29">
        <f t="shared" ref="M115" si="449">L115/L114-1</f>
        <v>-5.7841290817323032E-2</v>
      </c>
      <c r="N115" s="28">
        <v>188.54839999999999</v>
      </c>
      <c r="O115" s="29">
        <f t="shared" ref="O115:Q115" si="450">N115/N114-1</f>
        <v>-5.3579737650378267E-2</v>
      </c>
      <c r="P115" s="28">
        <v>176.52340000000001</v>
      </c>
      <c r="Q115" s="29">
        <f t="shared" si="450"/>
        <v>-4.2813376062119435E-2</v>
      </c>
      <c r="R115" s="28">
        <v>164.67</v>
      </c>
      <c r="S115" s="29">
        <f t="shared" ref="S115" si="451">R115/R114-1</f>
        <v>-2.889203935620388E-2</v>
      </c>
    </row>
    <row r="116" spans="1:19">
      <c r="A116" s="27">
        <v>43646</v>
      </c>
      <c r="B116" s="28">
        <v>207.0686</v>
      </c>
      <c r="C116" s="29">
        <f t="shared" si="263"/>
        <v>6.1217063842065267E-2</v>
      </c>
      <c r="D116" s="28">
        <v>207.0686</v>
      </c>
      <c r="E116" s="29">
        <f t="shared" si="263"/>
        <v>6.1217063842065267E-2</v>
      </c>
      <c r="F116" s="28">
        <v>200.00219999999999</v>
      </c>
      <c r="G116" s="29">
        <f t="shared" ref="G116:I116" si="452">F116/F115-1</f>
        <v>5.867537876341733E-2</v>
      </c>
      <c r="H116" s="28">
        <v>185.90280000000001</v>
      </c>
      <c r="I116" s="29">
        <f t="shared" si="452"/>
        <v>5.1068494823608201E-2</v>
      </c>
      <c r="J116" s="29"/>
      <c r="K116" s="27">
        <v>43646</v>
      </c>
      <c r="L116" s="28">
        <v>207.47919999999999</v>
      </c>
      <c r="M116" s="29">
        <f t="shared" ref="M116" si="453">L116/L115-1</f>
        <v>6.2097194451355087E-2</v>
      </c>
      <c r="N116" s="28">
        <v>199.67320000000001</v>
      </c>
      <c r="O116" s="29">
        <f t="shared" ref="O116:Q116" si="454">N116/N115-1</f>
        <v>5.9002356954500845E-2</v>
      </c>
      <c r="P116" s="28">
        <v>185.36709999999999</v>
      </c>
      <c r="Q116" s="29">
        <f t="shared" si="454"/>
        <v>5.0099306947407385E-2</v>
      </c>
      <c r="R116" s="28">
        <v>170.98769999999999</v>
      </c>
      <c r="S116" s="29">
        <f t="shared" ref="S116" si="455">R116/R115-1</f>
        <v>3.8365822554199402E-2</v>
      </c>
    </row>
    <row r="117" spans="1:19">
      <c r="A117" s="27">
        <v>43677</v>
      </c>
      <c r="B117" s="28">
        <v>211.54499999999999</v>
      </c>
      <c r="C117" s="29">
        <f t="shared" si="263"/>
        <v>2.1617956561255536E-2</v>
      </c>
      <c r="D117" s="28">
        <v>211.54499999999999</v>
      </c>
      <c r="E117" s="29">
        <f t="shared" si="263"/>
        <v>2.1617956561255536E-2</v>
      </c>
      <c r="F117" s="28">
        <v>204.12889999999999</v>
      </c>
      <c r="G117" s="29">
        <f t="shared" ref="G117:I117" si="456">F117/F116-1</f>
        <v>2.0633273033996646E-2</v>
      </c>
      <c r="H117" s="28">
        <v>189.18870000000001</v>
      </c>
      <c r="I117" s="29">
        <f t="shared" si="456"/>
        <v>1.7675365836340218E-2</v>
      </c>
      <c r="J117" s="29"/>
      <c r="K117" s="27">
        <v>43677</v>
      </c>
      <c r="L117" s="28">
        <v>210.17099999999999</v>
      </c>
      <c r="M117" s="29">
        <f t="shared" ref="M117" si="457">L117/L116-1</f>
        <v>1.297383062976909E-2</v>
      </c>
      <c r="N117" s="28">
        <v>202.46770000000001</v>
      </c>
      <c r="O117" s="29">
        <f t="shared" ref="O117:Q117" si="458">N117/N116-1</f>
        <v>1.3995368432017985E-2</v>
      </c>
      <c r="P117" s="28">
        <v>187.8888</v>
      </c>
      <c r="Q117" s="29">
        <f t="shared" si="458"/>
        <v>1.3603816426971171E-2</v>
      </c>
      <c r="R117" s="28">
        <v>173.12299999999999</v>
      </c>
      <c r="S117" s="29">
        <f t="shared" ref="S117" si="459">R117/R116-1</f>
        <v>1.2488032764929935E-2</v>
      </c>
    </row>
    <row r="118" spans="1:19">
      <c r="A118" s="27">
        <v>43708</v>
      </c>
      <c r="B118" s="28">
        <v>209.7586</v>
      </c>
      <c r="C118" s="29">
        <f t="shared" si="263"/>
        <v>-8.444538986976724E-3</v>
      </c>
      <c r="D118" s="28">
        <v>209.7586</v>
      </c>
      <c r="E118" s="29">
        <f t="shared" si="263"/>
        <v>-8.444538986976724E-3</v>
      </c>
      <c r="F118" s="28">
        <v>202.7945</v>
      </c>
      <c r="G118" s="29">
        <f t="shared" ref="G118:I118" si="460">F118/F117-1</f>
        <v>-6.5370459547863247E-3</v>
      </c>
      <c r="H118" s="28">
        <v>189.02379999999999</v>
      </c>
      <c r="I118" s="29">
        <f t="shared" si="460"/>
        <v>-8.7161653946576934E-4</v>
      </c>
      <c r="J118" s="29"/>
      <c r="K118" s="27">
        <v>43708</v>
      </c>
      <c r="L118" s="28">
        <v>207.48390000000001</v>
      </c>
      <c r="M118" s="29">
        <f t="shared" ref="M118" si="461">L118/L117-1</f>
        <v>-1.2785303395806191E-2</v>
      </c>
      <c r="N118" s="28">
        <v>200.2936</v>
      </c>
      <c r="O118" s="29">
        <f t="shared" ref="O118:Q118" si="462">N118/N117-1</f>
        <v>-1.0738009075027866E-2</v>
      </c>
      <c r="P118" s="28">
        <v>186.68950000000001</v>
      </c>
      <c r="Q118" s="29">
        <f t="shared" si="462"/>
        <v>-6.3830308139707359E-3</v>
      </c>
      <c r="R118" s="28">
        <v>172.95140000000001</v>
      </c>
      <c r="S118" s="29">
        <f t="shared" ref="S118" si="463">R118/R117-1</f>
        <v>-9.9120278645803417E-4</v>
      </c>
    </row>
    <row r="119" spans="1:19">
      <c r="A119" s="27">
        <v>43738</v>
      </c>
      <c r="B119" s="28">
        <v>212.7302</v>
      </c>
      <c r="C119" s="29">
        <f t="shared" si="263"/>
        <v>1.4166761219802204E-2</v>
      </c>
      <c r="D119" s="28">
        <v>212.7302</v>
      </c>
      <c r="E119" s="29">
        <f t="shared" si="263"/>
        <v>1.4166761219802204E-2</v>
      </c>
      <c r="F119" s="28">
        <v>205.46420000000001</v>
      </c>
      <c r="G119" s="29">
        <f t="shared" ref="G119:I119" si="464">F119/F118-1</f>
        <v>1.3164558210405186E-2</v>
      </c>
      <c r="H119" s="28">
        <v>190.94210000000001</v>
      </c>
      <c r="I119" s="29">
        <f t="shared" si="464"/>
        <v>1.01484574958286E-2</v>
      </c>
      <c r="J119" s="29"/>
      <c r="K119" s="27">
        <v>43738</v>
      </c>
      <c r="L119" s="28">
        <v>211.09110000000001</v>
      </c>
      <c r="M119" s="29">
        <f t="shared" ref="M119" si="465">L119/L118-1</f>
        <v>1.7385445328529148E-2</v>
      </c>
      <c r="N119" s="28">
        <v>203.4461</v>
      </c>
      <c r="O119" s="29">
        <f t="shared" ref="O119:Q119" si="466">N119/N118-1</f>
        <v>1.5739394568773157E-2</v>
      </c>
      <c r="P119" s="28">
        <v>188.9461</v>
      </c>
      <c r="Q119" s="29">
        <f t="shared" si="466"/>
        <v>1.2087450017274737E-2</v>
      </c>
      <c r="R119" s="28">
        <v>174.23589999999999</v>
      </c>
      <c r="S119" s="29">
        <f t="shared" ref="S119" si="467">R119/R118-1</f>
        <v>7.4269419039103557E-3</v>
      </c>
    </row>
    <row r="120" spans="1:19">
      <c r="A120" s="27">
        <v>43769</v>
      </c>
      <c r="B120" s="28">
        <v>218.03</v>
      </c>
      <c r="C120" s="29">
        <f t="shared" si="263"/>
        <v>2.4913246920277521E-2</v>
      </c>
      <c r="D120" s="28">
        <v>218.03</v>
      </c>
      <c r="E120" s="29">
        <f t="shared" si="263"/>
        <v>2.4913246920277521E-2</v>
      </c>
      <c r="F120" s="28">
        <v>210.35380000000001</v>
      </c>
      <c r="G120" s="29">
        <f t="shared" ref="G120:I120" si="468">F120/F119-1</f>
        <v>2.3797819766168571E-2</v>
      </c>
      <c r="H120" s="28">
        <v>194.8443</v>
      </c>
      <c r="I120" s="29">
        <f t="shared" si="468"/>
        <v>2.0436561659267438E-2</v>
      </c>
      <c r="J120" s="29"/>
      <c r="K120" s="27">
        <v>43769</v>
      </c>
      <c r="L120" s="28">
        <v>216.67060000000001</v>
      </c>
      <c r="M120" s="29">
        <f t="shared" ref="M120" si="469">L120/L119-1</f>
        <v>2.6431715974761572E-2</v>
      </c>
      <c r="N120" s="28">
        <v>208.52369999999999</v>
      </c>
      <c r="O120" s="29">
        <f t="shared" ref="O120:Q120" si="470">N120/N119-1</f>
        <v>2.4957961838540932E-2</v>
      </c>
      <c r="P120" s="28">
        <v>192.9383</v>
      </c>
      <c r="Q120" s="29">
        <f t="shared" si="470"/>
        <v>2.1128776936914839E-2</v>
      </c>
      <c r="R120" s="28">
        <v>177.04</v>
      </c>
      <c r="S120" s="29">
        <f t="shared" ref="S120" si="471">R120/R119-1</f>
        <v>1.6093698256214761E-2</v>
      </c>
    </row>
    <row r="121" spans="1:19">
      <c r="A121" s="27">
        <v>43799</v>
      </c>
      <c r="B121" s="28">
        <v>225.45869999999999</v>
      </c>
      <c r="C121" s="29">
        <f t="shared" si="263"/>
        <v>3.4071916708709793E-2</v>
      </c>
      <c r="D121" s="28">
        <v>225.45869999999999</v>
      </c>
      <c r="E121" s="29">
        <f t="shared" si="263"/>
        <v>3.4071916708709793E-2</v>
      </c>
      <c r="F121" s="28">
        <v>217.1551</v>
      </c>
      <c r="G121" s="29">
        <f t="shared" ref="G121:I121" si="472">F121/F120-1</f>
        <v>3.2332670006436803E-2</v>
      </c>
      <c r="H121" s="28">
        <v>200.12970000000001</v>
      </c>
      <c r="I121" s="29">
        <f t="shared" si="472"/>
        <v>2.7126274671622541E-2</v>
      </c>
      <c r="J121" s="29"/>
      <c r="K121" s="27">
        <v>43799</v>
      </c>
      <c r="L121" s="28">
        <v>223.1172</v>
      </c>
      <c r="M121" s="29">
        <f t="shared" ref="M121" si="473">L121/L120-1</f>
        <v>2.9752998330184077E-2</v>
      </c>
      <c r="N121" s="28">
        <v>214.56739999999999</v>
      </c>
      <c r="O121" s="29">
        <f t="shared" ref="O121:Q121" si="474">N121/N120-1</f>
        <v>2.8983276241501654E-2</v>
      </c>
      <c r="P121" s="28">
        <v>197.75239999999999</v>
      </c>
      <c r="Q121" s="29">
        <f t="shared" si="474"/>
        <v>2.4951500039131602E-2</v>
      </c>
      <c r="R121" s="28">
        <v>180.4573</v>
      </c>
      <c r="S121" s="29">
        <f t="shared" ref="S121" si="475">R121/R120-1</f>
        <v>1.9302417532760963E-2</v>
      </c>
    </row>
    <row r="122" spans="1:19">
      <c r="A122" s="27">
        <v>43830</v>
      </c>
      <c r="B122" s="28">
        <v>230.74430000000001</v>
      </c>
      <c r="C122" s="29">
        <f t="shared" si="263"/>
        <v>2.3443761540361985E-2</v>
      </c>
      <c r="D122" s="28">
        <v>230.74430000000001</v>
      </c>
      <c r="E122" s="29">
        <f t="shared" si="263"/>
        <v>2.3443761540361985E-2</v>
      </c>
      <c r="F122" s="28">
        <v>221.98679999999999</v>
      </c>
      <c r="G122" s="29">
        <f t="shared" ref="G122:I122" si="476">F122/F121-1</f>
        <v>2.2249995510121412E-2</v>
      </c>
      <c r="H122" s="28">
        <v>203.8657</v>
      </c>
      <c r="I122" s="29">
        <f t="shared" si="476"/>
        <v>1.8667893870824681E-2</v>
      </c>
      <c r="J122" s="29"/>
      <c r="K122" s="27">
        <v>43830</v>
      </c>
      <c r="L122" s="28">
        <v>229.53960000000001</v>
      </c>
      <c r="M122" s="29">
        <f t="shared" ref="M122" si="477">L122/L121-1</f>
        <v>2.8784871807283396E-2</v>
      </c>
      <c r="N122" s="28">
        <v>220.29589999999999</v>
      </c>
      <c r="O122" s="29">
        <f t="shared" ref="O122:Q122" si="478">N122/N121-1</f>
        <v>2.6697904714322762E-2</v>
      </c>
      <c r="P122" s="28">
        <v>202.2175</v>
      </c>
      <c r="Q122" s="29">
        <f t="shared" si="478"/>
        <v>2.2579245561621608E-2</v>
      </c>
      <c r="R122" s="28">
        <v>183.60640000000001</v>
      </c>
      <c r="S122" s="29">
        <f t="shared" ref="S122" si="479">R122/R121-1</f>
        <v>1.7450665614524796E-2</v>
      </c>
    </row>
    <row r="123" spans="1:19">
      <c r="A123" s="27">
        <v>43861</v>
      </c>
      <c r="B123" s="28">
        <v>232.39670000000001</v>
      </c>
      <c r="C123" s="29">
        <f t="shared" si="263"/>
        <v>7.1611736454595398E-3</v>
      </c>
      <c r="D123" s="28">
        <v>232.39670000000001</v>
      </c>
      <c r="E123" s="29">
        <f t="shared" si="263"/>
        <v>7.1611736454595398E-3</v>
      </c>
      <c r="F123" s="28">
        <v>223.7286</v>
      </c>
      <c r="G123" s="29">
        <f t="shared" ref="G123:I123" si="480">F123/F122-1</f>
        <v>7.8464124893913301E-3</v>
      </c>
      <c r="H123" s="28">
        <v>205.88050000000001</v>
      </c>
      <c r="I123" s="29">
        <f t="shared" si="480"/>
        <v>9.8829768813488705E-3</v>
      </c>
      <c r="J123" s="29"/>
      <c r="K123" s="27">
        <v>43861</v>
      </c>
      <c r="L123" s="28">
        <v>229.05070000000001</v>
      </c>
      <c r="M123" s="29">
        <f t="shared" ref="M123" si="481">L123/L122-1</f>
        <v>-2.1299157095333587E-3</v>
      </c>
      <c r="N123" s="28">
        <v>220.32910000000001</v>
      </c>
      <c r="O123" s="29">
        <f t="shared" ref="O123:Q123" si="482">N123/N122-1</f>
        <v>1.5070639081349313E-4</v>
      </c>
      <c r="P123" s="28">
        <v>202.87970000000001</v>
      </c>
      <c r="Q123" s="29">
        <f t="shared" si="482"/>
        <v>3.2746918540680348E-3</v>
      </c>
      <c r="R123" s="28">
        <v>184.85329999999999</v>
      </c>
      <c r="S123" s="29">
        <f t="shared" ref="S123" si="483">R123/R122-1</f>
        <v>6.7911576067063439E-3</v>
      </c>
    </row>
    <row r="124" spans="1:19">
      <c r="A124" s="27">
        <v>43890</v>
      </c>
      <c r="B124" s="28">
        <v>215.39580000000001</v>
      </c>
      <c r="C124" s="29">
        <f t="shared" si="263"/>
        <v>-7.3154653228724831E-2</v>
      </c>
      <c r="D124" s="28">
        <v>215.39580000000001</v>
      </c>
      <c r="E124" s="29">
        <f t="shared" si="263"/>
        <v>-7.3154653228724831E-2</v>
      </c>
      <c r="F124" s="28">
        <v>208.34440000000001</v>
      </c>
      <c r="G124" s="29">
        <f t="shared" ref="G124:I124" si="484">F124/F123-1</f>
        <v>-6.8762777758408999E-2</v>
      </c>
      <c r="H124" s="28">
        <v>194.44399999999999</v>
      </c>
      <c r="I124" s="29">
        <f t="shared" si="484"/>
        <v>-5.5549214228642452E-2</v>
      </c>
      <c r="J124" s="29"/>
      <c r="K124" s="27">
        <v>43890</v>
      </c>
      <c r="L124" s="28">
        <v>211.9426</v>
      </c>
      <c r="M124" s="29">
        <f t="shared" ref="M124" si="485">L124/L123-1</f>
        <v>-7.4691323798617537E-2</v>
      </c>
      <c r="N124" s="28">
        <v>204.85990000000001</v>
      </c>
      <c r="O124" s="29">
        <f t="shared" ref="O124:Q124" si="486">N124/N123-1</f>
        <v>-7.020951839770595E-2</v>
      </c>
      <c r="P124" s="28">
        <v>191.2465</v>
      </c>
      <c r="Q124" s="29">
        <f t="shared" si="486"/>
        <v>-5.734038447414902E-2</v>
      </c>
      <c r="R124" s="28">
        <v>177.42320000000001</v>
      </c>
      <c r="S124" s="29">
        <f t="shared" ref="S124" si="487">R124/R123-1</f>
        <v>-4.0194575915063369E-2</v>
      </c>
    </row>
    <row r="125" spans="1:19">
      <c r="A125" s="27">
        <v>43921</v>
      </c>
      <c r="B125" s="28">
        <v>190.4701</v>
      </c>
      <c r="C125" s="29">
        <f t="shared" si="263"/>
        <v>-0.11572045508779649</v>
      </c>
      <c r="D125" s="28">
        <v>190.4701</v>
      </c>
      <c r="E125" s="29">
        <f t="shared" si="263"/>
        <v>-0.11572045508779649</v>
      </c>
      <c r="F125" s="28">
        <v>185.6318</v>
      </c>
      <c r="G125" s="29">
        <f t="shared" ref="G125:I125" si="488">F125/F124-1</f>
        <v>-0.10901468913971291</v>
      </c>
      <c r="H125" s="28">
        <v>177.02850000000001</v>
      </c>
      <c r="I125" s="29">
        <f t="shared" si="488"/>
        <v>-8.9565633292876035E-2</v>
      </c>
      <c r="J125" s="29"/>
      <c r="K125" s="27">
        <v>43921</v>
      </c>
      <c r="L125" s="28">
        <v>185.85249999999999</v>
      </c>
      <c r="M125" s="29">
        <f t="shared" ref="M125" si="489">L125/L124-1</f>
        <v>-0.12309983929611135</v>
      </c>
      <c r="N125" s="28">
        <v>181.03270000000001</v>
      </c>
      <c r="O125" s="29">
        <f t="shared" ref="O125:Q125" si="490">N125/N124-1</f>
        <v>-0.11630973167515946</v>
      </c>
      <c r="P125" s="28">
        <v>172.21539999999999</v>
      </c>
      <c r="Q125" s="29">
        <f t="shared" si="490"/>
        <v>-9.9510840721268146E-2</v>
      </c>
      <c r="R125" s="28">
        <v>163.38550000000001</v>
      </c>
      <c r="S125" s="29">
        <f t="shared" ref="S125" si="491">R125/R124-1</f>
        <v>-7.9119867074880834E-2</v>
      </c>
    </row>
    <row r="126" spans="1:19">
      <c r="A126" s="27">
        <v>43951</v>
      </c>
      <c r="B126" s="28">
        <v>216.77330000000001</v>
      </c>
      <c r="C126" s="29">
        <f t="shared" si="263"/>
        <v>0.13809621562649466</v>
      </c>
      <c r="D126" s="28">
        <v>216.77330000000001</v>
      </c>
      <c r="E126" s="29">
        <f t="shared" si="263"/>
        <v>0.13809621562649466</v>
      </c>
      <c r="F126" s="28">
        <v>210.1482</v>
      </c>
      <c r="G126" s="29">
        <f t="shared" ref="G126:I126" si="492">F126/F125-1</f>
        <v>0.13207004403340372</v>
      </c>
      <c r="H126" s="28">
        <v>197.20419999999999</v>
      </c>
      <c r="I126" s="29">
        <f t="shared" si="492"/>
        <v>0.11396865476462814</v>
      </c>
      <c r="J126" s="29"/>
      <c r="K126" s="27">
        <v>43951</v>
      </c>
      <c r="L126" s="28">
        <v>208.70529999999999</v>
      </c>
      <c r="M126" s="29">
        <f t="shared" ref="M126" si="493">L126/L125-1</f>
        <v>0.12296202633809061</v>
      </c>
      <c r="N126" s="28">
        <v>202.45240000000001</v>
      </c>
      <c r="O126" s="29">
        <f t="shared" ref="O126:Q126" si="494">N126/N125-1</f>
        <v>0.11831950802258384</v>
      </c>
      <c r="P126" s="28">
        <v>189.16300000000001</v>
      </c>
      <c r="Q126" s="29">
        <f t="shared" si="494"/>
        <v>9.8409317633614712E-2</v>
      </c>
      <c r="R126" s="28">
        <v>174.99039999999999</v>
      </c>
      <c r="S126" s="29">
        <f t="shared" ref="S126" si="495">R126/R125-1</f>
        <v>7.1027722778337132E-2</v>
      </c>
    </row>
    <row r="127" spans="1:19">
      <c r="A127" s="27">
        <v>43982</v>
      </c>
      <c r="B127" s="28">
        <v>228.37020000000001</v>
      </c>
      <c r="C127" s="29">
        <f t="shared" si="263"/>
        <v>5.349782468597386E-2</v>
      </c>
      <c r="D127" s="28">
        <v>228.37020000000001</v>
      </c>
      <c r="E127" s="29">
        <f t="shared" si="263"/>
        <v>5.349782468597386E-2</v>
      </c>
      <c r="F127" s="28">
        <v>220.27279999999999</v>
      </c>
      <c r="G127" s="29">
        <f t="shared" ref="G127:I127" si="496">F127/F126-1</f>
        <v>4.8178380780801389E-2</v>
      </c>
      <c r="H127" s="28">
        <v>205.11539999999999</v>
      </c>
      <c r="I127" s="29">
        <f t="shared" si="496"/>
        <v>4.0116792644375732E-2</v>
      </c>
      <c r="J127" s="29"/>
      <c r="K127" s="27">
        <v>43982</v>
      </c>
      <c r="L127" s="28">
        <v>219.05269999999999</v>
      </c>
      <c r="M127" s="29">
        <f t="shared" ref="M127" si="497">L127/L126-1</f>
        <v>4.9578999670827795E-2</v>
      </c>
      <c r="N127" s="28">
        <v>211.6919</v>
      </c>
      <c r="O127" s="29">
        <f t="shared" ref="O127:Q127" si="498">N127/N126-1</f>
        <v>4.5637888214711264E-2</v>
      </c>
      <c r="P127" s="28">
        <v>197.07589999999999</v>
      </c>
      <c r="Q127" s="29">
        <f t="shared" si="498"/>
        <v>4.1831119193499688E-2</v>
      </c>
      <c r="R127" s="28">
        <v>181.35159999999999</v>
      </c>
      <c r="S127" s="29">
        <f t="shared" ref="S127" si="499">R127/R126-1</f>
        <v>3.6351708436576979E-2</v>
      </c>
    </row>
    <row r="128" spans="1:19">
      <c r="A128" s="27">
        <v>44012</v>
      </c>
      <c r="B128" s="28">
        <v>236.2216</v>
      </c>
      <c r="C128" s="29">
        <f t="shared" si="263"/>
        <v>3.4380142417881121E-2</v>
      </c>
      <c r="D128" s="28">
        <v>236.2216</v>
      </c>
      <c r="E128" s="29">
        <f t="shared" si="263"/>
        <v>3.4380142417881121E-2</v>
      </c>
      <c r="F128" s="28">
        <v>227.893</v>
      </c>
      <c r="G128" s="29">
        <f t="shared" ref="G128:I128" si="500">F128/F127-1</f>
        <v>3.4594375701403113E-2</v>
      </c>
      <c r="H128" s="28">
        <v>211.3141</v>
      </c>
      <c r="I128" s="29">
        <f t="shared" si="500"/>
        <v>3.0220549017772491E-2</v>
      </c>
      <c r="J128" s="29"/>
      <c r="K128" s="27">
        <v>44012</v>
      </c>
      <c r="L128" s="28">
        <v>226.34829999999999</v>
      </c>
      <c r="M128" s="29">
        <f t="shared" ref="M128" si="501">L128/L127-1</f>
        <v>3.3305227463528153E-2</v>
      </c>
      <c r="N128" s="28">
        <v>218.54679999999999</v>
      </c>
      <c r="O128" s="29">
        <f t="shared" ref="O128:Q128" si="502">N128/N127-1</f>
        <v>3.2381494048662196E-2</v>
      </c>
      <c r="P128" s="28">
        <v>202.83369999999999</v>
      </c>
      <c r="Q128" s="29">
        <f t="shared" si="502"/>
        <v>2.9216154791123605E-2</v>
      </c>
      <c r="R128" s="28">
        <v>185.8064</v>
      </c>
      <c r="S128" s="29">
        <f t="shared" ref="S128" si="503">R128/R127-1</f>
        <v>2.456443725889379E-2</v>
      </c>
    </row>
    <row r="129" spans="1:19">
      <c r="A129" s="27">
        <v>44043</v>
      </c>
      <c r="B129" s="28">
        <v>253.93969999999999</v>
      </c>
      <c r="C129" s="29">
        <f t="shared" si="263"/>
        <v>7.5006265303426911E-2</v>
      </c>
      <c r="D129" s="28">
        <v>253.93969999999999</v>
      </c>
      <c r="E129" s="29">
        <f t="shared" si="263"/>
        <v>7.5006265303426911E-2</v>
      </c>
      <c r="F129" s="28">
        <v>245.04859999999999</v>
      </c>
      <c r="G129" s="29">
        <f t="shared" ref="G129:I129" si="504">F129/F128-1</f>
        <v>7.5279188040001221E-2</v>
      </c>
      <c r="H129" s="28">
        <v>225.30719999999999</v>
      </c>
      <c r="I129" s="29">
        <f t="shared" si="504"/>
        <v>6.6219433535197103E-2</v>
      </c>
      <c r="J129" s="29"/>
      <c r="K129" s="27">
        <v>44043</v>
      </c>
      <c r="L129" s="28">
        <v>241.58109999999999</v>
      </c>
      <c r="M129" s="29">
        <f t="shared" ref="M129" si="505">L129/L128-1</f>
        <v>6.7298053486595677E-2</v>
      </c>
      <c r="N129" s="28">
        <v>233.39340000000001</v>
      </c>
      <c r="O129" s="29">
        <f t="shared" ref="O129:Q129" si="506">N129/N128-1</f>
        <v>6.7933275618769162E-2</v>
      </c>
      <c r="P129" s="28">
        <v>215.17439999999999</v>
      </c>
      <c r="Q129" s="29">
        <f t="shared" si="506"/>
        <v>6.0841467665383009E-2</v>
      </c>
      <c r="R129" s="28">
        <v>195.2405</v>
      </c>
      <c r="S129" s="29">
        <f t="shared" ref="S129" si="507">R129/R128-1</f>
        <v>5.0773816187171139E-2</v>
      </c>
    </row>
    <row r="130" spans="1:19">
      <c r="A130" s="27">
        <v>44074</v>
      </c>
      <c r="B130" s="28">
        <v>274.46679999999998</v>
      </c>
      <c r="C130" s="29">
        <f t="shared" si="263"/>
        <v>8.0834544578890055E-2</v>
      </c>
      <c r="D130" s="28">
        <v>274.46679999999998</v>
      </c>
      <c r="E130" s="29">
        <f t="shared" si="263"/>
        <v>8.0834544578890055E-2</v>
      </c>
      <c r="F130" s="28">
        <v>263.13099999999997</v>
      </c>
      <c r="G130" s="29">
        <f t="shared" ref="G130:I130" si="508">F130/F129-1</f>
        <v>7.3791076545631995E-2</v>
      </c>
      <c r="H130" s="28">
        <v>238.476</v>
      </c>
      <c r="I130" s="29">
        <f t="shared" si="508"/>
        <v>5.8448198726006151E-2</v>
      </c>
      <c r="J130" s="29"/>
      <c r="K130" s="27">
        <v>44074</v>
      </c>
      <c r="L130" s="28">
        <v>258.6053</v>
      </c>
      <c r="M130" s="29">
        <f t="shared" ref="M130" si="509">L130/L129-1</f>
        <v>7.0469916727757376E-2</v>
      </c>
      <c r="N130" s="28">
        <v>248.30719999999999</v>
      </c>
      <c r="O130" s="29">
        <f t="shared" ref="O130:Q130" si="510">N130/N129-1</f>
        <v>6.3899836070771432E-2</v>
      </c>
      <c r="P130" s="28">
        <v>226.40940000000001</v>
      </c>
      <c r="Q130" s="29">
        <f t="shared" si="510"/>
        <v>5.2213460337289241E-2</v>
      </c>
      <c r="R130" s="28">
        <v>202.2603</v>
      </c>
      <c r="S130" s="29">
        <f t="shared" ref="S130" si="511">R130/R129-1</f>
        <v>3.5954630314919411E-2</v>
      </c>
    </row>
    <row r="131" spans="1:19">
      <c r="A131" s="27">
        <v>44104</v>
      </c>
      <c r="B131" s="28">
        <v>262.66640000000001</v>
      </c>
      <c r="C131" s="29">
        <f t="shared" si="263"/>
        <v>-4.2993906731160103E-2</v>
      </c>
      <c r="D131" s="28">
        <v>262.66640000000001</v>
      </c>
      <c r="E131" s="29">
        <f t="shared" si="263"/>
        <v>-4.2993906731160103E-2</v>
      </c>
      <c r="F131" s="28">
        <v>252.33199999999999</v>
      </c>
      <c r="G131" s="29">
        <f t="shared" ref="G131:I131" si="512">F131/F130-1</f>
        <v>-4.1040394328300311E-2</v>
      </c>
      <c r="H131" s="28">
        <v>230.17660000000001</v>
      </c>
      <c r="I131" s="29">
        <f t="shared" si="512"/>
        <v>-3.4801824921585345E-2</v>
      </c>
      <c r="J131" s="29"/>
      <c r="K131" s="27">
        <v>44104</v>
      </c>
      <c r="L131" s="28">
        <v>249.00720000000001</v>
      </c>
      <c r="M131" s="29">
        <f t="shared" ref="M131" si="513">L131/L130-1</f>
        <v>-3.7114861915049646E-2</v>
      </c>
      <c r="N131" s="28">
        <v>239.1969</v>
      </c>
      <c r="O131" s="29">
        <f t="shared" ref="O131:Q131" si="514">N131/N130-1</f>
        <v>-3.6689632841899078E-2</v>
      </c>
      <c r="P131" s="28">
        <v>219.316</v>
      </c>
      <c r="Q131" s="29">
        <f t="shared" si="514"/>
        <v>-3.1329971282111124E-2</v>
      </c>
      <c r="R131" s="28">
        <v>197.41669999999999</v>
      </c>
      <c r="S131" s="29">
        <f t="shared" ref="S131" si="515">R131/R130-1</f>
        <v>-2.3947358923130269E-2</v>
      </c>
    </row>
    <row r="132" spans="1:19">
      <c r="A132" s="27">
        <v>44135</v>
      </c>
      <c r="B132" s="28">
        <v>255.2122</v>
      </c>
      <c r="C132" s="29">
        <f t="shared" si="263"/>
        <v>-2.8378962821282161E-2</v>
      </c>
      <c r="D132" s="28">
        <v>255.2122</v>
      </c>
      <c r="E132" s="29">
        <f t="shared" si="263"/>
        <v>-2.8378962821282161E-2</v>
      </c>
      <c r="F132" s="28">
        <v>245.4769</v>
      </c>
      <c r="G132" s="29">
        <f t="shared" ref="G132:I132" si="516">F132/F131-1</f>
        <v>-2.716698635131487E-2</v>
      </c>
      <c r="H132" s="28">
        <v>224.7499</v>
      </c>
      <c r="I132" s="29">
        <f t="shared" si="516"/>
        <v>-2.3576245369859583E-2</v>
      </c>
      <c r="J132" s="29"/>
      <c r="K132" s="27">
        <v>44135</v>
      </c>
      <c r="L132" s="28">
        <v>242.40960000000001</v>
      </c>
      <c r="M132" s="29">
        <f t="shared" ref="M132" si="517">L132/L131-1</f>
        <v>-2.6495619403776316E-2</v>
      </c>
      <c r="N132" s="28">
        <v>233.1052</v>
      </c>
      <c r="O132" s="29">
        <f t="shared" ref="O132:Q132" si="518">N132/N131-1</f>
        <v>-2.5467303296990873E-2</v>
      </c>
      <c r="P132" s="28">
        <v>214.56200000000001</v>
      </c>
      <c r="Q132" s="29">
        <f t="shared" si="518"/>
        <v>-2.1676485071768559E-2</v>
      </c>
      <c r="R132" s="28">
        <v>194.1414</v>
      </c>
      <c r="S132" s="29">
        <f t="shared" ref="S132" si="519">R132/R131-1</f>
        <v>-1.6590795003664782E-2</v>
      </c>
    </row>
    <row r="133" spans="1:19">
      <c r="A133" s="27">
        <v>44165</v>
      </c>
      <c r="B133" s="28">
        <v>276.48680000000002</v>
      </c>
      <c r="C133" s="29">
        <f t="shared" ref="C133:E196" si="520">B133/B132-1</f>
        <v>8.3360434963532404E-2</v>
      </c>
      <c r="D133" s="28">
        <v>276.48680000000002</v>
      </c>
      <c r="E133" s="29">
        <f t="shared" si="520"/>
        <v>8.3360434963532404E-2</v>
      </c>
      <c r="F133" s="28">
        <v>265.05110000000002</v>
      </c>
      <c r="G133" s="29">
        <f t="shared" ref="G133:I133" si="521">F133/F132-1</f>
        <v>7.9739478541565489E-2</v>
      </c>
      <c r="H133" s="28">
        <v>240.23820000000001</v>
      </c>
      <c r="I133" s="29">
        <f t="shared" si="521"/>
        <v>6.8913490061619731E-2</v>
      </c>
      <c r="J133" s="29"/>
      <c r="K133" s="27">
        <v>44165</v>
      </c>
      <c r="L133" s="28">
        <v>265.92149999999998</v>
      </c>
      <c r="M133" s="29">
        <f t="shared" ref="M133" si="522">L133/L132-1</f>
        <v>9.6992445843728792E-2</v>
      </c>
      <c r="N133" s="28">
        <v>254.11670000000001</v>
      </c>
      <c r="O133" s="29">
        <f t="shared" ref="O133:Q133" si="523">N133/N132-1</f>
        <v>9.0137414351975087E-2</v>
      </c>
      <c r="P133" s="28">
        <v>231.08930000000001</v>
      </c>
      <c r="Q133" s="29">
        <f t="shared" si="523"/>
        <v>7.7028085122249124E-2</v>
      </c>
      <c r="R133" s="28">
        <v>205.78210000000001</v>
      </c>
      <c r="S133" s="29">
        <f t="shared" ref="S133" si="524">R133/R132-1</f>
        <v>5.995990551216801E-2</v>
      </c>
    </row>
    <row r="134" spans="1:19">
      <c r="A134" s="27">
        <v>44196</v>
      </c>
      <c r="B134" s="28">
        <v>290.43920000000003</v>
      </c>
      <c r="C134" s="29">
        <f t="shared" si="520"/>
        <v>5.0463168585263452E-2</v>
      </c>
      <c r="D134" s="28">
        <v>290.43920000000003</v>
      </c>
      <c r="E134" s="29">
        <f t="shared" si="520"/>
        <v>5.0463168585263452E-2</v>
      </c>
      <c r="F134" s="28">
        <v>277.75959999999998</v>
      </c>
      <c r="G134" s="29">
        <f t="shared" ref="G134:I134" si="525">F134/F133-1</f>
        <v>4.794735807548034E-2</v>
      </c>
      <c r="H134" s="28">
        <v>249.94919999999999</v>
      </c>
      <c r="I134" s="29">
        <f t="shared" si="525"/>
        <v>4.0422380787068724E-2</v>
      </c>
      <c r="J134" s="29"/>
      <c r="K134" s="27">
        <v>44196</v>
      </c>
      <c r="L134" s="28">
        <v>278.93770000000001</v>
      </c>
      <c r="M134" s="29">
        <f t="shared" ref="M134" si="526">L134/L133-1</f>
        <v>4.8947527747850605E-2</v>
      </c>
      <c r="N134" s="28">
        <v>266.07249999999999</v>
      </c>
      <c r="O134" s="29">
        <f t="shared" ref="O134:Q134" si="527">N134/N133-1</f>
        <v>4.7048462379686073E-2</v>
      </c>
      <c r="P134" s="28">
        <v>240.483</v>
      </c>
      <c r="Q134" s="29">
        <f t="shared" si="527"/>
        <v>4.0649653618752613E-2</v>
      </c>
      <c r="R134" s="28">
        <v>212.38480000000001</v>
      </c>
      <c r="S134" s="29">
        <f t="shared" ref="S134" si="528">R134/R133-1</f>
        <v>3.2085881133490313E-2</v>
      </c>
    </row>
    <row r="135" spans="1:19">
      <c r="A135" s="27">
        <v>44227</v>
      </c>
      <c r="B135" s="28">
        <v>288.26960000000003</v>
      </c>
      <c r="C135" s="29">
        <f t="shared" si="520"/>
        <v>-7.4700660241454608E-3</v>
      </c>
      <c r="D135" s="28">
        <v>288.26960000000003</v>
      </c>
      <c r="E135" s="29">
        <f t="shared" si="520"/>
        <v>-7.4700660241454608E-3</v>
      </c>
      <c r="F135" s="28">
        <v>275.6995</v>
      </c>
      <c r="G135" s="29">
        <f t="shared" ref="G135:I135" si="529">F135/F134-1</f>
        <v>-7.4168453583601801E-3</v>
      </c>
      <c r="H135" s="28">
        <v>248.12690000000001</v>
      </c>
      <c r="I135" s="29">
        <f t="shared" si="529"/>
        <v>-7.2906814664739361E-3</v>
      </c>
      <c r="J135" s="29"/>
      <c r="K135" s="27">
        <v>44227</v>
      </c>
      <c r="L135" s="28">
        <v>277.19580000000002</v>
      </c>
      <c r="M135" s="29">
        <f t="shared" ref="M135" si="530">L135/L134-1</f>
        <v>-6.2447636156747199E-3</v>
      </c>
      <c r="N135" s="28">
        <v>264.59109999999998</v>
      </c>
      <c r="O135" s="29">
        <f t="shared" ref="O135:Q135" si="531">N135/N134-1</f>
        <v>-5.5676554322600103E-3</v>
      </c>
      <c r="P135" s="28">
        <v>239.52549999999999</v>
      </c>
      <c r="Q135" s="29">
        <f t="shared" si="531"/>
        <v>-3.9815704228574056E-3</v>
      </c>
      <c r="R135" s="28">
        <v>212.05369999999999</v>
      </c>
      <c r="S135" s="29">
        <f t="shared" ref="S135" si="532">R135/R134-1</f>
        <v>-1.5589627882975909E-3</v>
      </c>
    </row>
    <row r="136" spans="1:19">
      <c r="A136" s="27">
        <v>44255</v>
      </c>
      <c r="B136" s="28">
        <v>293.2749</v>
      </c>
      <c r="C136" s="29">
        <f t="shared" si="520"/>
        <v>1.7363259948325993E-2</v>
      </c>
      <c r="D136" s="28">
        <v>293.2749</v>
      </c>
      <c r="E136" s="29">
        <f t="shared" si="520"/>
        <v>1.7363259948325993E-2</v>
      </c>
      <c r="F136" s="28">
        <v>280.04219999999998</v>
      </c>
      <c r="G136" s="29">
        <f t="shared" ref="G136:I136" si="533">F136/F135-1</f>
        <v>1.5751570097152889E-2</v>
      </c>
      <c r="H136" s="28">
        <v>250.833</v>
      </c>
      <c r="I136" s="29">
        <f t="shared" si="533"/>
        <v>1.0906112960747061E-2</v>
      </c>
      <c r="J136" s="29"/>
      <c r="K136" s="27">
        <v>44255</v>
      </c>
      <c r="L136" s="28">
        <v>281.83019999999999</v>
      </c>
      <c r="M136" s="29">
        <f t="shared" ref="M136" si="534">L136/L135-1</f>
        <v>1.6718868034796941E-2</v>
      </c>
      <c r="N136" s="28">
        <v>268.27519999999998</v>
      </c>
      <c r="O136" s="29">
        <f t="shared" ref="O136:Q136" si="535">N136/N135-1</f>
        <v>1.3923748757989296E-2</v>
      </c>
      <c r="P136" s="28">
        <v>241.87559999999999</v>
      </c>
      <c r="Q136" s="29">
        <f t="shared" si="535"/>
        <v>9.8114814497829439E-3</v>
      </c>
      <c r="R136" s="28">
        <v>212.90989999999999</v>
      </c>
      <c r="S136" s="29">
        <f t="shared" ref="S136" si="536">R136/R135-1</f>
        <v>4.0376564992734565E-3</v>
      </c>
    </row>
    <row r="137" spans="1:19">
      <c r="A137" s="27">
        <v>44286</v>
      </c>
      <c r="B137" s="28">
        <v>299.47919999999999</v>
      </c>
      <c r="C137" s="29">
        <f t="shared" si="520"/>
        <v>2.1155236946632572E-2</v>
      </c>
      <c r="D137" s="28">
        <v>299.47919999999999</v>
      </c>
      <c r="E137" s="29">
        <f t="shared" si="520"/>
        <v>2.1155236946632572E-2</v>
      </c>
      <c r="F137" s="28">
        <v>285.52859999999998</v>
      </c>
      <c r="G137" s="29">
        <f t="shared" ref="G137:I137" si="537">F137/F136-1</f>
        <v>1.9591333020523294E-2</v>
      </c>
      <c r="H137" s="28">
        <v>254.55930000000001</v>
      </c>
      <c r="I137" s="29">
        <f t="shared" si="537"/>
        <v>1.4855700804918159E-2</v>
      </c>
      <c r="J137" s="29"/>
      <c r="K137" s="27">
        <v>44286</v>
      </c>
      <c r="L137" s="28">
        <v>288.4264</v>
      </c>
      <c r="M137" s="29">
        <f t="shared" ref="M137" si="538">L137/L136-1</f>
        <v>2.3404872863163728E-2</v>
      </c>
      <c r="N137" s="28">
        <v>274.03379999999999</v>
      </c>
      <c r="O137" s="29">
        <f t="shared" ref="O137:Q137" si="539">N137/N136-1</f>
        <v>2.1465271482418169E-2</v>
      </c>
      <c r="P137" s="28">
        <v>246.41390000000001</v>
      </c>
      <c r="Q137" s="29">
        <f t="shared" si="539"/>
        <v>1.8762950872266648E-2</v>
      </c>
      <c r="R137" s="28">
        <v>216.15870000000001</v>
      </c>
      <c r="S137" s="29">
        <f t="shared" ref="S137" si="540">R137/R136-1</f>
        <v>1.5259036803831227E-2</v>
      </c>
    </row>
    <row r="138" spans="1:19">
      <c r="A138" s="27">
        <v>44316</v>
      </c>
      <c r="B138" s="28">
        <v>315.48649999999998</v>
      </c>
      <c r="C138" s="29">
        <f t="shared" si="520"/>
        <v>5.3450456659427381E-2</v>
      </c>
      <c r="D138" s="28">
        <v>315.48649999999998</v>
      </c>
      <c r="E138" s="29">
        <f t="shared" si="520"/>
        <v>5.3450456659427381E-2</v>
      </c>
      <c r="F138" s="28">
        <v>300.125</v>
      </c>
      <c r="G138" s="29">
        <f t="shared" ref="G138:I138" si="541">F138/F137-1</f>
        <v>5.1120623293078316E-2</v>
      </c>
      <c r="H138" s="28">
        <v>265.79719999999998</v>
      </c>
      <c r="I138" s="29">
        <f t="shared" si="541"/>
        <v>4.4146491603331617E-2</v>
      </c>
      <c r="J138" s="29"/>
      <c r="K138" s="27">
        <v>44316</v>
      </c>
      <c r="L138" s="28">
        <v>302.95929999999998</v>
      </c>
      <c r="M138" s="29">
        <f t="shared" ref="M138" si="542">L138/L137-1</f>
        <v>5.0386857791103745E-2</v>
      </c>
      <c r="N138" s="28">
        <v>287.2681</v>
      </c>
      <c r="O138" s="29">
        <f t="shared" ref="O138:Q138" si="543">N138/N137-1</f>
        <v>4.8294407478201684E-2</v>
      </c>
      <c r="P138" s="28">
        <v>256.98169999999999</v>
      </c>
      <c r="Q138" s="29">
        <f t="shared" si="543"/>
        <v>4.2886379380383977E-2</v>
      </c>
      <c r="R138" s="28">
        <v>223.56559999999999</v>
      </c>
      <c r="S138" s="29">
        <f t="shared" ref="S138" si="544">R138/R137-1</f>
        <v>3.4266027691691292E-2</v>
      </c>
    </row>
    <row r="139" spans="1:19">
      <c r="A139" s="27">
        <v>44347</v>
      </c>
      <c r="B139" s="28">
        <v>314.68239999999997</v>
      </c>
      <c r="C139" s="29">
        <f t="shared" si="520"/>
        <v>-2.5487619914006387E-3</v>
      </c>
      <c r="D139" s="28">
        <v>314.68239999999997</v>
      </c>
      <c r="E139" s="29">
        <f t="shared" si="520"/>
        <v>-2.5487619914006387E-3</v>
      </c>
      <c r="F139" s="28">
        <v>299.44009999999997</v>
      </c>
      <c r="G139" s="29">
        <f t="shared" ref="G139:I139" si="545">F139/F138-1</f>
        <v>-2.2820491461891246E-3</v>
      </c>
      <c r="H139" s="28">
        <v>265.39699999999999</v>
      </c>
      <c r="I139" s="29">
        <f t="shared" si="545"/>
        <v>-1.5056592018275472E-3</v>
      </c>
      <c r="J139" s="29"/>
      <c r="K139" s="27">
        <v>44347</v>
      </c>
      <c r="L139" s="28">
        <v>303.90100000000001</v>
      </c>
      <c r="M139" s="29">
        <f t="shared" ref="M139" si="546">L139/L138-1</f>
        <v>3.1083383147505472E-3</v>
      </c>
      <c r="N139" s="28">
        <v>287.73259999999999</v>
      </c>
      <c r="O139" s="29">
        <f t="shared" ref="O139:Q139" si="547">N139/N138-1</f>
        <v>1.6169564250259061E-3</v>
      </c>
      <c r="P139" s="28">
        <v>257.41000000000003</v>
      </c>
      <c r="Q139" s="29">
        <f t="shared" si="547"/>
        <v>1.6666556412383571E-3</v>
      </c>
      <c r="R139" s="28">
        <v>224.00239999999999</v>
      </c>
      <c r="S139" s="29">
        <f t="shared" ref="S139" si="548">R139/R138-1</f>
        <v>1.9537889550091947E-3</v>
      </c>
    </row>
    <row r="140" spans="1:19">
      <c r="A140" s="27">
        <v>44377</v>
      </c>
      <c r="B140" s="28">
        <v>313.63170000000002</v>
      </c>
      <c r="C140" s="29">
        <f t="shared" si="520"/>
        <v>-3.3389220369488548E-3</v>
      </c>
      <c r="D140" s="28">
        <v>313.63170000000002</v>
      </c>
      <c r="E140" s="29">
        <f t="shared" si="520"/>
        <v>-3.3389220369488548E-3</v>
      </c>
      <c r="F140" s="28">
        <v>298.62110000000001</v>
      </c>
      <c r="G140" s="29">
        <f t="shared" ref="G140:I140" si="549">F140/F139-1</f>
        <v>-2.7351046169166171E-3</v>
      </c>
      <c r="H140" s="28">
        <v>265.14870000000002</v>
      </c>
      <c r="I140" s="29">
        <f t="shared" si="549"/>
        <v>-9.3557952802769684E-4</v>
      </c>
      <c r="J140" s="29"/>
      <c r="K140" s="27">
        <v>44377</v>
      </c>
      <c r="L140" s="28">
        <v>303.1336</v>
      </c>
      <c r="M140" s="29">
        <f t="shared" ref="M140" si="550">L140/L139-1</f>
        <v>-2.525164445000172E-3</v>
      </c>
      <c r="N140" s="28">
        <v>286.59219999999999</v>
      </c>
      <c r="O140" s="29">
        <f t="shared" ref="O140:Q140" si="551">N140/N139-1</f>
        <v>-3.9634021310063217E-3</v>
      </c>
      <c r="P140" s="28">
        <v>256.58629999999999</v>
      </c>
      <c r="Q140" s="29">
        <f t="shared" si="551"/>
        <v>-3.1999533817645975E-3</v>
      </c>
      <c r="R140" s="28">
        <v>223.5127</v>
      </c>
      <c r="S140" s="29">
        <f t="shared" ref="S140" si="552">R140/R139-1</f>
        <v>-2.1861372913861699E-3</v>
      </c>
    </row>
    <row r="141" spans="1:19">
      <c r="A141" s="27">
        <v>44408</v>
      </c>
      <c r="B141" s="28">
        <v>310.16910000000001</v>
      </c>
      <c r="C141" s="29">
        <f t="shared" si="520"/>
        <v>-1.1040338078070588E-2</v>
      </c>
      <c r="D141" s="28">
        <v>310.16910000000001</v>
      </c>
      <c r="E141" s="29">
        <f t="shared" si="520"/>
        <v>-1.1040338078070588E-2</v>
      </c>
      <c r="F141" s="28">
        <v>295.66719999999998</v>
      </c>
      <c r="G141" s="29">
        <f t="shared" ref="G141:I141" si="553">F141/F140-1</f>
        <v>-9.8917993403682125E-3</v>
      </c>
      <c r="H141" s="28">
        <v>263.43389999999999</v>
      </c>
      <c r="I141" s="29">
        <f t="shared" si="553"/>
        <v>-6.4673143786864173E-3</v>
      </c>
      <c r="J141" s="29"/>
      <c r="K141" s="27">
        <v>44408</v>
      </c>
      <c r="L141" s="28">
        <v>301.71420000000001</v>
      </c>
      <c r="M141" s="29">
        <f t="shared" ref="M141" si="554">L141/L140-1</f>
        <v>-4.6824238553562214E-3</v>
      </c>
      <c r="N141" s="28">
        <v>284.64109999999999</v>
      </c>
      <c r="O141" s="29">
        <f t="shared" ref="O141:Q141" si="555">N141/N140-1</f>
        <v>-6.8079312695878968E-3</v>
      </c>
      <c r="P141" s="28">
        <v>255.50819999999999</v>
      </c>
      <c r="Q141" s="29">
        <f t="shared" si="555"/>
        <v>-4.2017052352366635E-3</v>
      </c>
      <c r="R141" s="28">
        <v>223.0942</v>
      </c>
      <c r="S141" s="29">
        <f t="shared" ref="S141" si="556">R141/R140-1</f>
        <v>-1.8723768269095498E-3</v>
      </c>
    </row>
    <row r="142" spans="1:19">
      <c r="A142" s="27">
        <v>44439</v>
      </c>
      <c r="B142" s="28">
        <v>318.28359999999998</v>
      </c>
      <c r="C142" s="29">
        <f t="shared" si="520"/>
        <v>2.6161535755818255E-2</v>
      </c>
      <c r="D142" s="28">
        <v>318.28359999999998</v>
      </c>
      <c r="E142" s="29">
        <f t="shared" si="520"/>
        <v>2.6161535755818255E-2</v>
      </c>
      <c r="F142" s="28">
        <v>302.98840000000001</v>
      </c>
      <c r="G142" s="29">
        <f t="shared" ref="G142:I142" si="557">F142/F141-1</f>
        <v>2.4761623879821837E-2</v>
      </c>
      <c r="H142" s="28">
        <v>268.84899999999999</v>
      </c>
      <c r="I142" s="29">
        <f t="shared" si="557"/>
        <v>2.0555820644192035E-2</v>
      </c>
      <c r="J142" s="29"/>
      <c r="K142" s="27">
        <v>44439</v>
      </c>
      <c r="L142" s="28">
        <v>309.07049999999998</v>
      </c>
      <c r="M142" s="29">
        <f t="shared" ref="M142" si="558">L142/L141-1</f>
        <v>2.4381683062978166E-2</v>
      </c>
      <c r="N142" s="28">
        <v>291.23180000000002</v>
      </c>
      <c r="O142" s="29">
        <f t="shared" ref="O142:Q142" si="559">N142/N141-1</f>
        <v>2.3154421480243048E-2</v>
      </c>
      <c r="P142" s="28">
        <v>260.3621</v>
      </c>
      <c r="Q142" s="29">
        <f t="shared" si="559"/>
        <v>1.8997041973604079E-2</v>
      </c>
      <c r="R142" s="28">
        <v>226.11490000000001</v>
      </c>
      <c r="S142" s="29">
        <f t="shared" ref="S142" si="560">R142/R141-1</f>
        <v>1.3540020314288803E-2</v>
      </c>
    </row>
    <row r="143" spans="1:19">
      <c r="A143" s="27">
        <v>44469</v>
      </c>
      <c r="B143" s="28">
        <v>307.80799999999999</v>
      </c>
      <c r="C143" s="29">
        <f t="shared" si="520"/>
        <v>-3.291278595566971E-2</v>
      </c>
      <c r="D143" s="28">
        <v>307.80799999999999</v>
      </c>
      <c r="E143" s="29">
        <f t="shared" si="520"/>
        <v>-3.291278595566971E-2</v>
      </c>
      <c r="F143" s="28">
        <v>293.38409999999999</v>
      </c>
      <c r="G143" s="29">
        <f t="shared" ref="G143:I143" si="561">F143/F142-1</f>
        <v>-3.169857327871306E-2</v>
      </c>
      <c r="H143" s="28">
        <v>261.30180000000001</v>
      </c>
      <c r="I143" s="29">
        <f t="shared" si="561"/>
        <v>-2.8072263612659798E-2</v>
      </c>
      <c r="J143" s="29"/>
      <c r="K143" s="27">
        <v>44469</v>
      </c>
      <c r="L143" s="28">
        <v>298.34140000000002</v>
      </c>
      <c r="M143" s="29">
        <f t="shared" ref="M143" si="562">L143/L142-1</f>
        <v>-3.4714086268343158E-2</v>
      </c>
      <c r="N143" s="28">
        <v>281.71510000000001</v>
      </c>
      <c r="O143" s="29">
        <f t="shared" ref="O143:Q143" si="563">N143/N142-1</f>
        <v>-3.2677406794175634E-2</v>
      </c>
      <c r="P143" s="28">
        <v>253.0205</v>
      </c>
      <c r="Q143" s="29">
        <f t="shared" si="563"/>
        <v>-2.8197652423298192E-2</v>
      </c>
      <c r="R143" s="28">
        <v>221.02430000000001</v>
      </c>
      <c r="S143" s="29">
        <f t="shared" ref="S143" si="564">R143/R142-1</f>
        <v>-2.2513332823268173E-2</v>
      </c>
    </row>
    <row r="144" spans="1:19">
      <c r="A144" s="27">
        <v>44500</v>
      </c>
      <c r="B144" s="28">
        <v>324.05650000000003</v>
      </c>
      <c r="C144" s="29">
        <f t="shared" si="520"/>
        <v>5.2787776795924835E-2</v>
      </c>
      <c r="D144" s="28">
        <v>324.05650000000003</v>
      </c>
      <c r="E144" s="29">
        <f t="shared" si="520"/>
        <v>5.2787776795924835E-2</v>
      </c>
      <c r="F144" s="28">
        <v>308.08629999999999</v>
      </c>
      <c r="G144" s="29">
        <f t="shared" ref="G144:I144" si="565">F144/F143-1</f>
        <v>5.0112463490693537E-2</v>
      </c>
      <c r="H144" s="28">
        <v>272.3039</v>
      </c>
      <c r="I144" s="29">
        <f t="shared" si="565"/>
        <v>4.2104952970090537E-2</v>
      </c>
      <c r="J144" s="29"/>
      <c r="K144" s="27">
        <v>44500</v>
      </c>
      <c r="L144" s="28">
        <v>313.18959999999998</v>
      </c>
      <c r="M144" s="29">
        <f t="shared" ref="M144" si="566">L144/L143-1</f>
        <v>4.9769157079774917E-2</v>
      </c>
      <c r="N144" s="28">
        <v>294.99860000000001</v>
      </c>
      <c r="O144" s="29">
        <f t="shared" ref="O144:Q144" si="567">N144/N143-1</f>
        <v>4.7152247075147979E-2</v>
      </c>
      <c r="P144" s="28">
        <v>262.99959999999999</v>
      </c>
      <c r="Q144" s="29">
        <f t="shared" si="567"/>
        <v>3.9439887281860431E-2</v>
      </c>
      <c r="R144" s="28">
        <v>227.48419999999999</v>
      </c>
      <c r="S144" s="29">
        <f t="shared" ref="S144" si="568">R144/R143-1</f>
        <v>2.9227103083235617E-2</v>
      </c>
    </row>
    <row r="145" spans="1:19">
      <c r="A145" s="27">
        <v>44530</v>
      </c>
      <c r="B145" s="28">
        <v>313.7679</v>
      </c>
      <c r="C145" s="29">
        <f t="shared" si="520"/>
        <v>-3.1749401724699311E-2</v>
      </c>
      <c r="D145" s="28">
        <v>313.7679</v>
      </c>
      <c r="E145" s="29">
        <f t="shared" si="520"/>
        <v>-3.1749401724699311E-2</v>
      </c>
      <c r="F145" s="28">
        <v>298.8442</v>
      </c>
      <c r="G145" s="29">
        <f t="shared" ref="G145:I145" si="569">F145/F144-1</f>
        <v>-2.9998412782392458E-2</v>
      </c>
      <c r="H145" s="28">
        <v>265.56079999999997</v>
      </c>
      <c r="I145" s="29">
        <f t="shared" si="569"/>
        <v>-2.4763141475388495E-2</v>
      </c>
      <c r="J145" s="29"/>
      <c r="K145" s="27">
        <v>44530</v>
      </c>
      <c r="L145" s="28">
        <v>303.50220000000002</v>
      </c>
      <c r="M145" s="29">
        <f t="shared" ref="M145" si="570">L145/L144-1</f>
        <v>-3.0931423010214787E-2</v>
      </c>
      <c r="N145" s="28">
        <v>286.20710000000003</v>
      </c>
      <c r="O145" s="29">
        <f t="shared" ref="O145:Q145" si="571">N145/N144-1</f>
        <v>-2.9801836347697841E-2</v>
      </c>
      <c r="P145" s="28">
        <v>256.59129999999999</v>
      </c>
      <c r="Q145" s="29">
        <f t="shared" si="571"/>
        <v>-2.4366196754671887E-2</v>
      </c>
      <c r="R145" s="28">
        <v>223.66759999999999</v>
      </c>
      <c r="S145" s="29">
        <f t="shared" ref="S145" si="572">R145/R144-1</f>
        <v>-1.6777428937921779E-2</v>
      </c>
    </row>
    <row r="146" spans="1:19">
      <c r="A146" s="27">
        <v>44561</v>
      </c>
      <c r="B146" s="28">
        <v>331.87580000000003</v>
      </c>
      <c r="C146" s="29">
        <f t="shared" si="520"/>
        <v>5.7711129787336501E-2</v>
      </c>
      <c r="D146" s="28">
        <v>331.87580000000003</v>
      </c>
      <c r="E146" s="29">
        <f t="shared" si="520"/>
        <v>5.7711129787336501E-2</v>
      </c>
      <c r="F146" s="28">
        <v>315.16750000000002</v>
      </c>
      <c r="G146" s="29">
        <f t="shared" ref="G146:I146" si="573">F146/F145-1</f>
        <v>5.4621438194216276E-2</v>
      </c>
      <c r="H146" s="28">
        <v>277.60860000000002</v>
      </c>
      <c r="I146" s="29">
        <f t="shared" si="573"/>
        <v>4.5367388560360045E-2</v>
      </c>
      <c r="J146" s="29"/>
      <c r="K146" s="27">
        <v>44561</v>
      </c>
      <c r="L146" s="28">
        <v>319.92660000000001</v>
      </c>
      <c r="M146" s="29">
        <f t="shared" ref="M146" si="574">L146/L145-1</f>
        <v>5.4116246933300527E-2</v>
      </c>
      <c r="N146" s="28">
        <v>301.2946</v>
      </c>
      <c r="O146" s="29">
        <f t="shared" ref="O146:Q146" si="575">N146/N145-1</f>
        <v>5.2715323973444361E-2</v>
      </c>
      <c r="P146" s="28">
        <v>268.16820000000001</v>
      </c>
      <c r="Q146" s="29">
        <f t="shared" si="575"/>
        <v>4.5118053495968091E-2</v>
      </c>
      <c r="R146" s="28">
        <v>231.3724</v>
      </c>
      <c r="S146" s="29">
        <f t="shared" ref="S146" si="576">R146/R145-1</f>
        <v>3.4447546269553486E-2</v>
      </c>
    </row>
    <row r="147" spans="1:19">
      <c r="A147" s="27">
        <v>44592</v>
      </c>
      <c r="B147" s="28">
        <v>327.71949999999998</v>
      </c>
      <c r="C147" s="29">
        <f t="shared" si="520"/>
        <v>-1.2523660959913419E-2</v>
      </c>
      <c r="D147" s="28">
        <v>327.71949999999998</v>
      </c>
      <c r="E147" s="29">
        <f t="shared" si="520"/>
        <v>-1.2523660959913419E-2</v>
      </c>
      <c r="F147" s="28">
        <v>311.11559999999997</v>
      </c>
      <c r="G147" s="29">
        <f t="shared" ref="G147:I147" si="577">F147/F146-1</f>
        <v>-1.2856338296302949E-2</v>
      </c>
      <c r="H147" s="28">
        <v>273.75549999999998</v>
      </c>
      <c r="I147" s="29">
        <f t="shared" si="577"/>
        <v>-1.3879613239647592E-2</v>
      </c>
      <c r="J147" s="29"/>
      <c r="K147" s="27">
        <v>44592</v>
      </c>
      <c r="L147" s="28">
        <v>313.5489</v>
      </c>
      <c r="M147" s="29">
        <f t="shared" ref="M147" si="578">L147/L146-1</f>
        <v>-1.9934885064261665E-2</v>
      </c>
      <c r="N147" s="28">
        <v>295.97089999999997</v>
      </c>
      <c r="O147" s="29">
        <f t="shared" ref="O147:Q147" si="579">N147/N146-1</f>
        <v>-1.7669417241464092E-2</v>
      </c>
      <c r="P147" s="28">
        <v>263.57909999999998</v>
      </c>
      <c r="Q147" s="29">
        <f t="shared" si="579"/>
        <v>-1.7112767285606734E-2</v>
      </c>
      <c r="R147" s="28">
        <v>227.33279999999999</v>
      </c>
      <c r="S147" s="29">
        <f t="shared" ref="S147" si="580">R147/R146-1</f>
        <v>-1.7459299380565785E-2</v>
      </c>
    </row>
    <row r="148" spans="1:19">
      <c r="A148" s="27">
        <v>44620</v>
      </c>
      <c r="B148" s="28">
        <v>326.15129999999999</v>
      </c>
      <c r="C148" s="29">
        <f t="shared" si="520"/>
        <v>-4.7851897735715632E-3</v>
      </c>
      <c r="D148" s="28">
        <v>326.15129999999999</v>
      </c>
      <c r="E148" s="29">
        <f t="shared" si="520"/>
        <v>-4.7851897735715632E-3</v>
      </c>
      <c r="F148" s="28">
        <v>309.54000000000002</v>
      </c>
      <c r="G148" s="29">
        <f t="shared" ref="G148:I148" si="581">F148/F147-1</f>
        <v>-5.0643555000133844E-3</v>
      </c>
      <c r="H148" s="28">
        <v>272.13049999999998</v>
      </c>
      <c r="I148" s="29">
        <f t="shared" si="581"/>
        <v>-5.9359537981885646E-3</v>
      </c>
      <c r="J148" s="29"/>
      <c r="K148" s="27">
        <v>44620</v>
      </c>
      <c r="L148" s="28">
        <v>309.19529999999997</v>
      </c>
      <c r="M148" s="29">
        <f t="shared" ref="M148" si="582">L148/L147-1</f>
        <v>-1.3884915558625921E-2</v>
      </c>
      <c r="N148" s="28">
        <v>292.524</v>
      </c>
      <c r="O148" s="29">
        <f t="shared" ref="O148:Q148" si="583">N148/N147-1</f>
        <v>-1.1646077367741148E-2</v>
      </c>
      <c r="P148" s="28">
        <v>261.05650000000003</v>
      </c>
      <c r="Q148" s="29">
        <f t="shared" si="583"/>
        <v>-9.5705615505932151E-3</v>
      </c>
      <c r="R148" s="28">
        <v>225.59350000000001</v>
      </c>
      <c r="S148" s="29">
        <f t="shared" ref="S148" si="584">R148/R147-1</f>
        <v>-7.6508977147159429E-3</v>
      </c>
    </row>
    <row r="149" spans="1:19">
      <c r="A149" s="27">
        <v>44651</v>
      </c>
      <c r="B149" s="28">
        <v>337.72649999999999</v>
      </c>
      <c r="C149" s="29">
        <f t="shared" si="520"/>
        <v>3.5490277058530806E-2</v>
      </c>
      <c r="D149" s="28">
        <v>337.72649999999999</v>
      </c>
      <c r="E149" s="29">
        <f t="shared" si="520"/>
        <v>3.5490277058530806E-2</v>
      </c>
      <c r="F149" s="28">
        <v>319.54340000000002</v>
      </c>
      <c r="G149" s="29">
        <f t="shared" ref="G149:I149" si="585">F149/F148-1</f>
        <v>3.2316986496091049E-2</v>
      </c>
      <c r="H149" s="28">
        <v>278.33240000000001</v>
      </c>
      <c r="I149" s="29">
        <f t="shared" si="585"/>
        <v>2.2790168687449652E-2</v>
      </c>
      <c r="J149" s="29"/>
      <c r="K149" s="27">
        <v>44651</v>
      </c>
      <c r="L149" s="28">
        <v>317.78789999999998</v>
      </c>
      <c r="M149" s="29">
        <f t="shared" ref="M149" si="586">L149/L148-1</f>
        <v>2.7790202503078065E-2</v>
      </c>
      <c r="N149" s="28">
        <v>300.12810000000002</v>
      </c>
      <c r="O149" s="29">
        <f t="shared" ref="O149:Q149" si="587">N149/N148-1</f>
        <v>2.5994790171062876E-2</v>
      </c>
      <c r="P149" s="28">
        <v>265.81529999999998</v>
      </c>
      <c r="Q149" s="29">
        <f t="shared" si="587"/>
        <v>1.8229004066169452E-2</v>
      </c>
      <c r="R149" s="28">
        <v>227.2747</v>
      </c>
      <c r="S149" s="29">
        <f t="shared" ref="S149" si="588">R149/R148-1</f>
        <v>7.4523423768857455E-3</v>
      </c>
    </row>
    <row r="150" spans="1:19">
      <c r="A150" s="27">
        <v>44681</v>
      </c>
      <c r="B150" s="28">
        <v>317.58510000000001</v>
      </c>
      <c r="C150" s="29">
        <f t="shared" si="520"/>
        <v>-5.9638198364653006E-2</v>
      </c>
      <c r="D150" s="28">
        <v>317.58510000000001</v>
      </c>
      <c r="E150" s="29">
        <f t="shared" si="520"/>
        <v>-5.9638198364653006E-2</v>
      </c>
      <c r="F150" s="28">
        <v>300.84930000000003</v>
      </c>
      <c r="G150" s="29">
        <f t="shared" ref="G150:I150" si="589">F150/F149-1</f>
        <v>-5.8502538309350149E-2</v>
      </c>
      <c r="H150" s="28">
        <v>262.98739999999998</v>
      </c>
      <c r="I150" s="29">
        <f t="shared" si="589"/>
        <v>-5.5131921400455086E-2</v>
      </c>
      <c r="J150" s="29"/>
      <c r="K150" s="27">
        <v>44681</v>
      </c>
      <c r="L150" s="28">
        <v>297.90249999999997</v>
      </c>
      <c r="M150" s="29">
        <f t="shared" ref="M150" si="590">L150/L149-1</f>
        <v>-6.2574440373595164E-2</v>
      </c>
      <c r="N150" s="28">
        <v>282.41770000000002</v>
      </c>
      <c r="O150" s="29">
        <f t="shared" ref="O150:Q150" si="591">N150/N149-1</f>
        <v>-5.9009469623137578E-2</v>
      </c>
      <c r="P150" s="28">
        <v>251.8663</v>
      </c>
      <c r="Q150" s="29">
        <f t="shared" si="591"/>
        <v>-5.2476287106122177E-2</v>
      </c>
      <c r="R150" s="28">
        <v>217.1611</v>
      </c>
      <c r="S150" s="29">
        <f t="shared" ref="S150" si="592">R150/R149-1</f>
        <v>-4.4499453744741402E-2</v>
      </c>
    </row>
    <row r="151" spans="1:19">
      <c r="A151" s="27">
        <v>44712</v>
      </c>
      <c r="B151" s="28">
        <v>327.00490000000002</v>
      </c>
      <c r="C151" s="29">
        <f t="shared" si="520"/>
        <v>2.9660711412468732E-2</v>
      </c>
      <c r="D151" s="28">
        <v>327.00490000000002</v>
      </c>
      <c r="E151" s="29">
        <f t="shared" si="520"/>
        <v>2.9660711412468732E-2</v>
      </c>
      <c r="F151" s="28">
        <v>309.48419999999999</v>
      </c>
      <c r="G151" s="29">
        <f t="shared" ref="G151:I151" si="593">F151/F150-1</f>
        <v>2.8701745358888919E-2</v>
      </c>
      <c r="H151" s="28">
        <v>269.755</v>
      </c>
      <c r="I151" s="29">
        <f t="shared" si="593"/>
        <v>2.5733552253834224E-2</v>
      </c>
      <c r="J151" s="29"/>
      <c r="K151" s="27">
        <v>44712</v>
      </c>
      <c r="L151" s="28">
        <v>304.72660000000002</v>
      </c>
      <c r="M151" s="29">
        <f t="shared" ref="M151" si="594">L151/L150-1</f>
        <v>2.2907159221557505E-2</v>
      </c>
      <c r="N151" s="28">
        <v>289.19940000000003</v>
      </c>
      <c r="O151" s="29">
        <f t="shared" ref="O151:Q151" si="595">N151/N150-1</f>
        <v>2.4013013348667567E-2</v>
      </c>
      <c r="P151" s="28">
        <v>257.73399999999998</v>
      </c>
      <c r="Q151" s="29">
        <f t="shared" si="595"/>
        <v>2.3296884100810544E-2</v>
      </c>
      <c r="R151" s="28">
        <v>221.83080000000001</v>
      </c>
      <c r="S151" s="29">
        <f t="shared" ref="S151" si="596">R151/R150-1</f>
        <v>2.1503390800654554E-2</v>
      </c>
    </row>
    <row r="152" spans="1:19">
      <c r="A152" s="27">
        <v>44742</v>
      </c>
      <c r="B152" s="28">
        <v>295.93619999999999</v>
      </c>
      <c r="C152" s="29">
        <f t="shared" si="520"/>
        <v>-9.5009891289090875E-2</v>
      </c>
      <c r="D152" s="28">
        <v>295.93619999999999</v>
      </c>
      <c r="E152" s="29">
        <f t="shared" si="520"/>
        <v>-9.5009891289090875E-2</v>
      </c>
      <c r="F152" s="28">
        <v>281.29489999999998</v>
      </c>
      <c r="G152" s="29">
        <f t="shared" ref="G152:I152" si="597">F152/F151-1</f>
        <v>-9.1084779126042625E-2</v>
      </c>
      <c r="H152" s="28">
        <v>248.3699</v>
      </c>
      <c r="I152" s="29">
        <f t="shared" si="597"/>
        <v>-7.9276009712516915E-2</v>
      </c>
      <c r="J152" s="29"/>
      <c r="K152" s="27">
        <v>44742</v>
      </c>
      <c r="L152" s="28">
        <v>276.90679999999998</v>
      </c>
      <c r="M152" s="29">
        <f t="shared" ref="M152" si="598">L152/L151-1</f>
        <v>-9.1294294623442962E-2</v>
      </c>
      <c r="N152" s="28">
        <v>263.60890000000001</v>
      </c>
      <c r="O152" s="29">
        <f t="shared" ref="O152:Q152" si="599">N152/N151-1</f>
        <v>-8.8487389669549832E-2</v>
      </c>
      <c r="P152" s="28">
        <v>239.10489999999999</v>
      </c>
      <c r="Q152" s="29">
        <f t="shared" si="599"/>
        <v>-7.2280335539742557E-2</v>
      </c>
      <c r="R152" s="28">
        <v>208.06950000000001</v>
      </c>
      <c r="S152" s="29">
        <f t="shared" ref="S152" si="600">R152/R151-1</f>
        <v>-6.2035118658004262E-2</v>
      </c>
    </row>
    <row r="153" spans="1:19">
      <c r="A153" s="27">
        <v>44773</v>
      </c>
      <c r="B153" s="28">
        <v>313.6336</v>
      </c>
      <c r="C153" s="29">
        <f t="shared" si="520"/>
        <v>5.9801403140271603E-2</v>
      </c>
      <c r="D153" s="28">
        <v>313.6336</v>
      </c>
      <c r="E153" s="29">
        <f t="shared" si="520"/>
        <v>5.9801403140271603E-2</v>
      </c>
      <c r="F153" s="28">
        <v>296.27199999999999</v>
      </c>
      <c r="G153" s="29">
        <f t="shared" ref="G153:I153" si="601">F153/F152-1</f>
        <v>5.3243411096326243E-2</v>
      </c>
      <c r="H153" s="28">
        <v>259.82650000000001</v>
      </c>
      <c r="I153" s="29">
        <f t="shared" si="601"/>
        <v>4.6127167583511541E-2</v>
      </c>
      <c r="J153" s="29"/>
      <c r="K153" s="27">
        <v>44773</v>
      </c>
      <c r="L153" s="28">
        <v>294.49329999999998</v>
      </c>
      <c r="M153" s="29">
        <f t="shared" ref="M153" si="602">L153/L152-1</f>
        <v>6.3510538563877894E-2</v>
      </c>
      <c r="N153" s="28">
        <v>278.42849999999999</v>
      </c>
      <c r="O153" s="29">
        <f t="shared" ref="O153:Q153" si="603">N153/N152-1</f>
        <v>5.6218132240603236E-2</v>
      </c>
      <c r="P153" s="28">
        <v>249.5564</v>
      </c>
      <c r="Q153" s="29">
        <f t="shared" si="603"/>
        <v>4.371094026094835E-2</v>
      </c>
      <c r="R153" s="28">
        <v>217.87479999999999</v>
      </c>
      <c r="S153" s="29">
        <f t="shared" ref="S153" si="604">R153/R152-1</f>
        <v>4.7125119251019365E-2</v>
      </c>
    </row>
    <row r="154" spans="1:19">
      <c r="A154" s="27">
        <v>44804</v>
      </c>
      <c r="B154" s="28">
        <v>307.61739999999998</v>
      </c>
      <c r="C154" s="29">
        <f t="shared" si="520"/>
        <v>-1.9182255982777452E-2</v>
      </c>
      <c r="D154" s="28">
        <v>307.61739999999998</v>
      </c>
      <c r="E154" s="29">
        <f t="shared" si="520"/>
        <v>-1.9182255982777452E-2</v>
      </c>
      <c r="F154" s="28">
        <v>291.01909999999998</v>
      </c>
      <c r="G154" s="29">
        <f t="shared" ref="G154:I154" si="605">F154/F153-1</f>
        <v>-1.7729991359291541E-2</v>
      </c>
      <c r="H154" s="28">
        <v>254.99950000000001</v>
      </c>
      <c r="I154" s="29">
        <f t="shared" si="605"/>
        <v>-1.8577781712027064E-2</v>
      </c>
      <c r="J154" s="29"/>
      <c r="K154" s="27">
        <v>44804</v>
      </c>
      <c r="L154" s="28">
        <v>286.12909999999999</v>
      </c>
      <c r="M154" s="29">
        <f t="shared" ref="M154" si="606">L154/L153-1</f>
        <v>-2.8402004391950508E-2</v>
      </c>
      <c r="N154" s="28">
        <v>271.59629999999999</v>
      </c>
      <c r="O154" s="29">
        <f t="shared" ref="O154:Q154" si="607">N154/N153-1</f>
        <v>-2.4538436259219143E-2</v>
      </c>
      <c r="P154" s="28">
        <v>244.10900000000001</v>
      </c>
      <c r="Q154" s="29">
        <f t="shared" si="607"/>
        <v>-2.1828332192642574E-2</v>
      </c>
      <c r="R154" s="28">
        <v>212.48740000000001</v>
      </c>
      <c r="S154" s="29">
        <f t="shared" ref="S154" si="608">R154/R153-1</f>
        <v>-2.4727045073592691E-2</v>
      </c>
    </row>
    <row r="155" spans="1:19">
      <c r="A155" s="27">
        <v>44834</v>
      </c>
      <c r="B155" s="28">
        <v>283.48129999999998</v>
      </c>
      <c r="C155" s="29">
        <f t="shared" si="520"/>
        <v>-7.8461426434265458E-2</v>
      </c>
      <c r="D155" s="28">
        <v>283.48129999999998</v>
      </c>
      <c r="E155" s="29">
        <f t="shared" si="520"/>
        <v>-7.8461426434265458E-2</v>
      </c>
      <c r="F155" s="28">
        <v>272.0172</v>
      </c>
      <c r="G155" s="29">
        <f t="shared" ref="G155:I155" si="609">F155/F154-1</f>
        <v>-6.5294339787319688E-2</v>
      </c>
      <c r="H155" s="28">
        <v>240.9922</v>
      </c>
      <c r="I155" s="29">
        <f t="shared" si="609"/>
        <v>-5.4930695942541075E-2</v>
      </c>
      <c r="J155" s="29"/>
      <c r="K155" s="27">
        <v>44834</v>
      </c>
      <c r="L155" s="28">
        <v>262.54649999999998</v>
      </c>
      <c r="M155" s="29">
        <f t="shared" ref="M155" si="610">L155/L154-1</f>
        <v>-8.2419439336998579E-2</v>
      </c>
      <c r="N155" s="28">
        <v>253.15530000000001</v>
      </c>
      <c r="O155" s="29">
        <f t="shared" ref="O155:Q155" si="611">N155/N154-1</f>
        <v>-6.7898568574019547E-2</v>
      </c>
      <c r="P155" s="28">
        <v>230.69040000000001</v>
      </c>
      <c r="Q155" s="29">
        <f t="shared" si="611"/>
        <v>-5.4969706155856612E-2</v>
      </c>
      <c r="R155" s="28">
        <v>198.5744</v>
      </c>
      <c r="S155" s="29">
        <f t="shared" ref="S155" si="612">R155/R154-1</f>
        <v>-6.5476823566950393E-2</v>
      </c>
    </row>
    <row r="156" spans="1:19">
      <c r="A156" s="27">
        <v>44865</v>
      </c>
      <c r="B156" s="28">
        <v>306.97809999999998</v>
      </c>
      <c r="C156" s="29">
        <f t="shared" si="520"/>
        <v>8.2886596047076155E-2</v>
      </c>
      <c r="D156" s="28">
        <v>306.97809999999998</v>
      </c>
      <c r="E156" s="29">
        <f t="shared" si="520"/>
        <v>8.2886596047076155E-2</v>
      </c>
      <c r="F156" s="28">
        <v>289.24369999999999</v>
      </c>
      <c r="G156" s="29">
        <f t="shared" ref="G156:I156" si="613">F156/F155-1</f>
        <v>6.3328715978254291E-2</v>
      </c>
      <c r="H156" s="28">
        <v>251.2816</v>
      </c>
      <c r="I156" s="29">
        <f t="shared" si="613"/>
        <v>4.269598767097027E-2</v>
      </c>
      <c r="J156" s="29"/>
      <c r="K156" s="27">
        <v>44865</v>
      </c>
      <c r="L156" s="28">
        <v>281.35890000000001</v>
      </c>
      <c r="M156" s="29">
        <f t="shared" ref="M156" si="614">L156/L155-1</f>
        <v>7.1653592792134013E-2</v>
      </c>
      <c r="N156" s="28">
        <v>267.0446</v>
      </c>
      <c r="O156" s="29">
        <f t="shared" ref="O156:Q156" si="615">N156/N155-1</f>
        <v>5.486474112925932E-2</v>
      </c>
      <c r="P156" s="28">
        <v>239.37370000000001</v>
      </c>
      <c r="Q156" s="29">
        <f t="shared" si="615"/>
        <v>3.764049132517E-2</v>
      </c>
      <c r="R156" s="28">
        <v>203.9605</v>
      </c>
      <c r="S156" s="29">
        <f t="shared" ref="S156" si="616">R156/R155-1</f>
        <v>2.7123838722413307E-2</v>
      </c>
    </row>
    <row r="157" spans="1:19">
      <c r="A157" s="27">
        <v>44895</v>
      </c>
      <c r="B157" s="28">
        <v>323.05720000000002</v>
      </c>
      <c r="C157" s="29">
        <f t="shared" si="520"/>
        <v>5.2378655024576837E-2</v>
      </c>
      <c r="D157" s="28">
        <v>323.05720000000002</v>
      </c>
      <c r="E157" s="29">
        <f t="shared" si="520"/>
        <v>5.2378655024576837E-2</v>
      </c>
      <c r="F157" s="28">
        <v>301.9271</v>
      </c>
      <c r="G157" s="29">
        <f t="shared" ref="G157:I157" si="617">F157/F156-1</f>
        <v>4.3850220419666908E-2</v>
      </c>
      <c r="H157" s="28">
        <v>260.94290000000001</v>
      </c>
      <c r="I157" s="29">
        <f t="shared" si="617"/>
        <v>3.844809966189322E-2</v>
      </c>
      <c r="J157" s="29"/>
      <c r="K157" s="27">
        <v>44895</v>
      </c>
      <c r="L157" s="28">
        <v>299.36559999999997</v>
      </c>
      <c r="M157" s="29">
        <f t="shared" ref="M157" si="618">L157/L156-1</f>
        <v>6.3999041793239675E-2</v>
      </c>
      <c r="N157" s="28">
        <v>281.24930000000001</v>
      </c>
      <c r="O157" s="29">
        <f t="shared" ref="O157:Q157" si="619">N157/N156-1</f>
        <v>5.3192238300268979E-2</v>
      </c>
      <c r="P157" s="28">
        <v>250.2996</v>
      </c>
      <c r="Q157" s="29">
        <f t="shared" si="619"/>
        <v>4.5643694357400122E-2</v>
      </c>
      <c r="R157" s="28">
        <v>212.04769999999999</v>
      </c>
      <c r="S157" s="29">
        <f t="shared" ref="S157" si="620">R157/R156-1</f>
        <v>3.9650814741089446E-2</v>
      </c>
    </row>
    <row r="158" spans="1:19">
      <c r="A158" s="27">
        <v>44926</v>
      </c>
      <c r="B158" s="28">
        <v>313.67340000000002</v>
      </c>
      <c r="C158" s="29">
        <f t="shared" si="520"/>
        <v>-2.9046868480256727E-2</v>
      </c>
      <c r="D158" s="28">
        <v>313.67340000000002</v>
      </c>
      <c r="E158" s="29">
        <f t="shared" si="520"/>
        <v>-2.9046868480256727E-2</v>
      </c>
      <c r="F158" s="28">
        <v>295.04700000000003</v>
      </c>
      <c r="G158" s="29">
        <f t="shared" ref="G158:I158" si="621">F158/F157-1</f>
        <v>-2.2787288719694154E-2</v>
      </c>
      <c r="H158" s="28">
        <v>256.37180000000001</v>
      </c>
      <c r="I158" s="29">
        <f t="shared" si="621"/>
        <v>-1.7517625503510548E-2</v>
      </c>
      <c r="J158" s="29"/>
      <c r="K158" s="27">
        <v>44926</v>
      </c>
      <c r="L158" s="28">
        <v>289.16669999999999</v>
      </c>
      <c r="M158" s="29">
        <f t="shared" ref="M158" si="622">L158/L157-1</f>
        <v>-3.4068376593703431E-2</v>
      </c>
      <c r="N158" s="28">
        <v>273.8365</v>
      </c>
      <c r="O158" s="29">
        <f t="shared" ref="O158:Q158" si="623">N158/N157-1</f>
        <v>-2.6356687821089686E-2</v>
      </c>
      <c r="P158" s="28">
        <v>245.6217</v>
      </c>
      <c r="Q158" s="29">
        <f t="shared" si="623"/>
        <v>-1.868920285929343E-2</v>
      </c>
      <c r="R158" s="28">
        <v>209.70439999999999</v>
      </c>
      <c r="S158" s="29">
        <f t="shared" ref="S158" si="624">R158/R157-1</f>
        <v>-1.1050815453315432E-2</v>
      </c>
    </row>
    <row r="159" spans="1:19">
      <c r="A159" s="27">
        <v>44957</v>
      </c>
      <c r="B159" s="28">
        <v>325.38760000000002</v>
      </c>
      <c r="C159" s="29">
        <f t="shared" si="520"/>
        <v>3.7345213205837613E-2</v>
      </c>
      <c r="D159" s="28">
        <v>325.38760000000002</v>
      </c>
      <c r="E159" s="29">
        <f t="shared" si="520"/>
        <v>3.7345213205837613E-2</v>
      </c>
      <c r="F159" s="28">
        <v>304.52019999999999</v>
      </c>
      <c r="G159" s="29">
        <f t="shared" ref="G159:I159" si="625">F159/F158-1</f>
        <v>3.2107426952316054E-2</v>
      </c>
      <c r="H159" s="28">
        <v>263.91239999999999</v>
      </c>
      <c r="I159" s="29">
        <f t="shared" si="625"/>
        <v>2.9412751324443542E-2</v>
      </c>
      <c r="J159" s="29"/>
      <c r="K159" s="27">
        <v>44957</v>
      </c>
      <c r="L159" s="28">
        <v>302.93189999999998</v>
      </c>
      <c r="M159" s="29">
        <f t="shared" ref="M159" si="626">L159/L158-1</f>
        <v>4.7602991630778968E-2</v>
      </c>
      <c r="N159" s="28">
        <v>284.74299999999999</v>
      </c>
      <c r="O159" s="29">
        <f t="shared" ref="O159:Q159" si="627">N159/N158-1</f>
        <v>3.9828510808456841E-2</v>
      </c>
      <c r="P159" s="28">
        <v>253.91820000000001</v>
      </c>
      <c r="Q159" s="29">
        <f t="shared" si="627"/>
        <v>3.3777553041933972E-2</v>
      </c>
      <c r="R159" s="28">
        <v>215.69309999999999</v>
      </c>
      <c r="S159" s="29">
        <f t="shared" ref="S159" si="628">R159/R158-1</f>
        <v>2.8557817575596944E-2</v>
      </c>
    </row>
    <row r="160" spans="1:19">
      <c r="A160" s="27">
        <v>44985</v>
      </c>
      <c r="B160" s="28">
        <v>313.98939999999999</v>
      </c>
      <c r="C160" s="29">
        <f t="shared" si="520"/>
        <v>-3.5029607766245641E-2</v>
      </c>
      <c r="D160" s="28">
        <v>313.98939999999999</v>
      </c>
      <c r="E160" s="29">
        <f t="shared" si="520"/>
        <v>-3.5029607766245641E-2</v>
      </c>
      <c r="F160" s="28">
        <v>295.39019999999999</v>
      </c>
      <c r="G160" s="29">
        <f t="shared" ref="G160:I160" si="629">F160/F159-1</f>
        <v>-2.998159071220885E-2</v>
      </c>
      <c r="H160" s="28">
        <v>256.84640000000002</v>
      </c>
      <c r="I160" s="29">
        <f t="shared" si="629"/>
        <v>-2.6774035626973114E-2</v>
      </c>
      <c r="J160" s="29"/>
      <c r="K160" s="27">
        <v>44985</v>
      </c>
      <c r="L160" s="28">
        <v>293.05220000000003</v>
      </c>
      <c r="M160" s="29">
        <f t="shared" ref="M160" si="630">L160/L159-1</f>
        <v>-3.2613600614527449E-2</v>
      </c>
      <c r="N160" s="28">
        <v>276.8605</v>
      </c>
      <c r="O160" s="29">
        <f t="shared" ref="O160:Q160" si="631">N160/N159-1</f>
        <v>-2.7682857875347189E-2</v>
      </c>
      <c r="P160" s="28">
        <v>247.8449</v>
      </c>
      <c r="Q160" s="29">
        <f t="shared" si="631"/>
        <v>-2.3918332754406801E-2</v>
      </c>
      <c r="R160" s="28">
        <v>211.21690000000001</v>
      </c>
      <c r="S160" s="29">
        <f t="shared" ref="S160" si="632">R160/R159-1</f>
        <v>-2.0752634182549135E-2</v>
      </c>
    </row>
    <row r="161" spans="1:19">
      <c r="A161" s="27">
        <v>45016</v>
      </c>
      <c r="B161" s="28">
        <v>315.64229999999998</v>
      </c>
      <c r="C161" s="29">
        <f t="shared" si="520"/>
        <v>5.2641904471935064E-3</v>
      </c>
      <c r="D161" s="28">
        <v>315.64229999999998</v>
      </c>
      <c r="E161" s="29">
        <f t="shared" si="520"/>
        <v>5.2641904471935064E-3</v>
      </c>
      <c r="F161" s="28">
        <v>297.89519999999999</v>
      </c>
      <c r="G161" s="29">
        <f t="shared" ref="G161:I161" si="633">F161/F160-1</f>
        <v>8.4803084191689138E-3</v>
      </c>
      <c r="H161" s="28">
        <v>260.07690000000002</v>
      </c>
      <c r="I161" s="29">
        <f t="shared" si="633"/>
        <v>1.257755608020994E-2</v>
      </c>
      <c r="J161" s="29"/>
      <c r="K161" s="27">
        <v>45016</v>
      </c>
      <c r="L161" s="28">
        <v>298.35509999999999</v>
      </c>
      <c r="M161" s="29">
        <f t="shared" ref="M161" si="634">L161/L160-1</f>
        <v>1.809541098821299E-2</v>
      </c>
      <c r="N161" s="28">
        <v>281.9366</v>
      </c>
      <c r="O161" s="29">
        <f t="shared" ref="O161:Q161" si="635">N161/N160-1</f>
        <v>1.8334504199768453E-2</v>
      </c>
      <c r="P161" s="28">
        <v>252.45769999999999</v>
      </c>
      <c r="Q161" s="29">
        <f t="shared" si="635"/>
        <v>1.8611639779555711E-2</v>
      </c>
      <c r="R161" s="28">
        <v>215.202</v>
      </c>
      <c r="S161" s="29">
        <f t="shared" ref="S161" si="636">R161/R160-1</f>
        <v>1.8867334952837433E-2</v>
      </c>
    </row>
    <row r="162" spans="1:19">
      <c r="A162" s="27">
        <v>45046</v>
      </c>
      <c r="B162" s="28">
        <v>322.03989999999999</v>
      </c>
      <c r="C162" s="29">
        <f t="shared" si="520"/>
        <v>2.0268512807060324E-2</v>
      </c>
      <c r="D162" s="28">
        <v>322.03989999999999</v>
      </c>
      <c r="E162" s="29">
        <f t="shared" si="520"/>
        <v>2.0268512807060324E-2</v>
      </c>
      <c r="F162" s="28">
        <v>302.81</v>
      </c>
      <c r="G162" s="29">
        <f t="shared" ref="G162:I162" si="637">F162/F161-1</f>
        <v>1.6498419578429013E-2</v>
      </c>
      <c r="H162" s="28">
        <v>263.47160000000002</v>
      </c>
      <c r="I162" s="29">
        <f t="shared" si="637"/>
        <v>1.305267788104203E-2</v>
      </c>
      <c r="J162" s="29"/>
      <c r="K162" s="27">
        <v>45046</v>
      </c>
      <c r="L162" s="28">
        <v>304.23939999999999</v>
      </c>
      <c r="M162" s="29">
        <f t="shared" ref="M162" si="638">L162/L161-1</f>
        <v>1.9722471645364781E-2</v>
      </c>
      <c r="N162" s="28">
        <v>286.37130000000002</v>
      </c>
      <c r="O162" s="29">
        <f t="shared" ref="O162:Q162" si="639">N162/N161-1</f>
        <v>1.5729422856060715E-2</v>
      </c>
      <c r="P162" s="28">
        <v>255.3297</v>
      </c>
      <c r="Q162" s="29">
        <f t="shared" si="639"/>
        <v>1.1376163214669388E-2</v>
      </c>
      <c r="R162" s="28">
        <v>216.6739</v>
      </c>
      <c r="S162" s="29">
        <f t="shared" ref="S162" si="640">R162/R161-1</f>
        <v>6.8396204496241619E-3</v>
      </c>
    </row>
    <row r="163" spans="1:19">
      <c r="A163" s="27">
        <v>45077</v>
      </c>
      <c r="B163" s="28">
        <v>308.53460000000001</v>
      </c>
      <c r="C163" s="29">
        <f t="shared" si="520"/>
        <v>-4.1936728958119729E-2</v>
      </c>
      <c r="D163" s="28">
        <v>308.53460000000001</v>
      </c>
      <c r="E163" s="29">
        <f t="shared" si="520"/>
        <v>-4.1936728958119729E-2</v>
      </c>
      <c r="F163" s="28">
        <v>292.54899999999998</v>
      </c>
      <c r="G163" s="29">
        <f t="shared" ref="G163:I163" si="641">F163/F162-1</f>
        <v>-3.3885935074799423E-2</v>
      </c>
      <c r="H163" s="28">
        <v>256.47899999999998</v>
      </c>
      <c r="I163" s="29">
        <f t="shared" si="641"/>
        <v>-2.6540241908425966E-2</v>
      </c>
      <c r="J163" s="29"/>
      <c r="K163" s="27">
        <v>45077</v>
      </c>
      <c r="L163" s="28">
        <v>294.95030000000003</v>
      </c>
      <c r="M163" s="29">
        <f t="shared" ref="M163" si="642">L163/L162-1</f>
        <v>-3.0532205887863206E-2</v>
      </c>
      <c r="N163" s="28">
        <v>279.37419999999997</v>
      </c>
      <c r="O163" s="29">
        <f t="shared" ref="O163:Q163" si="643">N163/N162-1</f>
        <v>-2.4433663568940167E-2</v>
      </c>
      <c r="P163" s="28">
        <v>250.58930000000001</v>
      </c>
      <c r="Q163" s="29">
        <f t="shared" si="643"/>
        <v>-1.8565799435005026E-2</v>
      </c>
      <c r="R163" s="28">
        <v>213.8974</v>
      </c>
      <c r="S163" s="29">
        <f t="shared" ref="S163" si="644">R163/R162-1</f>
        <v>-1.2814187587891324E-2</v>
      </c>
    </row>
    <row r="164" spans="1:19">
      <c r="A164" s="27">
        <v>45107</v>
      </c>
      <c r="B164" s="28">
        <v>319.45749999999998</v>
      </c>
      <c r="C164" s="29">
        <f t="shared" si="520"/>
        <v>3.5402512392451291E-2</v>
      </c>
      <c r="D164" s="28">
        <v>319.45749999999998</v>
      </c>
      <c r="E164" s="29">
        <f t="shared" si="520"/>
        <v>3.5402512392451291E-2</v>
      </c>
      <c r="F164" s="28">
        <v>300.27749999999997</v>
      </c>
      <c r="G164" s="29">
        <f t="shared" ref="G164:I164" si="645">F164/F163-1</f>
        <v>2.6417796676796002E-2</v>
      </c>
      <c r="H164" s="28">
        <v>260.99650000000003</v>
      </c>
      <c r="I164" s="29">
        <f t="shared" si="645"/>
        <v>1.7613527813193475E-2</v>
      </c>
      <c r="J164" s="29"/>
      <c r="K164" s="27">
        <v>45107</v>
      </c>
      <c r="L164" s="28">
        <v>306.89089999999999</v>
      </c>
      <c r="M164" s="29">
        <f t="shared" ref="M164" si="646">L164/L163-1</f>
        <v>4.0483430598307502E-2</v>
      </c>
      <c r="N164" s="28">
        <v>288.09320000000002</v>
      </c>
      <c r="O164" s="29">
        <f t="shared" ref="O164:Q164" si="647">N164/N163-1</f>
        <v>3.1209037914023741E-2</v>
      </c>
      <c r="P164" s="28">
        <v>256.35109999999997</v>
      </c>
      <c r="Q164" s="29">
        <f t="shared" si="647"/>
        <v>2.2993000898282379E-2</v>
      </c>
      <c r="R164" s="28">
        <v>217.23840000000001</v>
      </c>
      <c r="S164" s="29">
        <f t="shared" ref="S164" si="648">R164/R163-1</f>
        <v>1.5619638200370822E-2</v>
      </c>
    </row>
    <row r="165" spans="1:19">
      <c r="A165" s="27">
        <v>45138</v>
      </c>
      <c r="B165" s="28">
        <v>325.803</v>
      </c>
      <c r="C165" s="29">
        <f t="shared" si="520"/>
        <v>1.9863362106070426E-2</v>
      </c>
      <c r="D165" s="28">
        <v>325.803</v>
      </c>
      <c r="E165" s="29">
        <f t="shared" si="520"/>
        <v>1.9863362106070426E-2</v>
      </c>
      <c r="F165" s="28">
        <v>305.06909999999999</v>
      </c>
      <c r="G165" s="29">
        <f t="shared" ref="G165:I165" si="649">F165/F164-1</f>
        <v>1.5957239553413105E-2</v>
      </c>
      <c r="H165" s="28">
        <v>264.05869999999999</v>
      </c>
      <c r="I165" s="29">
        <f t="shared" si="649"/>
        <v>1.1732724385192794E-2</v>
      </c>
      <c r="J165" s="29"/>
      <c r="K165" s="27">
        <v>45138</v>
      </c>
      <c r="L165" s="28">
        <v>314.1182</v>
      </c>
      <c r="M165" s="29">
        <f t="shared" ref="M165" si="650">L165/L164-1</f>
        <v>2.3550062905091096E-2</v>
      </c>
      <c r="N165" s="28">
        <v>293.51310000000001</v>
      </c>
      <c r="O165" s="29">
        <f t="shared" ref="O165:Q165" si="651">N165/N164-1</f>
        <v>1.8813009123436419E-2</v>
      </c>
      <c r="P165" s="28">
        <v>260.02890000000002</v>
      </c>
      <c r="Q165" s="29">
        <f t="shared" si="651"/>
        <v>1.4346729934063385E-2</v>
      </c>
      <c r="R165" s="28">
        <v>219.33240000000001</v>
      </c>
      <c r="S165" s="29">
        <f t="shared" ref="S165" si="652">R165/R164-1</f>
        <v>9.6391798135135875E-3</v>
      </c>
    </row>
    <row r="166" spans="1:19">
      <c r="A166" s="27">
        <v>45169</v>
      </c>
      <c r="B166" s="28">
        <v>319.08769999999998</v>
      </c>
      <c r="C166" s="29">
        <f t="shared" si="520"/>
        <v>-2.0611535191511487E-2</v>
      </c>
      <c r="D166" s="28">
        <v>319.08769999999998</v>
      </c>
      <c r="E166" s="29">
        <f t="shared" si="520"/>
        <v>-2.0611535191511487E-2</v>
      </c>
      <c r="F166" s="28">
        <v>300.30090000000001</v>
      </c>
      <c r="G166" s="29">
        <f t="shared" ref="G166:I166" si="653">F166/F165-1</f>
        <v>-1.5629901553451231E-2</v>
      </c>
      <c r="H166" s="28">
        <v>260.9742</v>
      </c>
      <c r="I166" s="29">
        <f t="shared" si="653"/>
        <v>-1.1681114843025364E-2</v>
      </c>
      <c r="J166" s="29"/>
      <c r="K166" s="27">
        <v>45169</v>
      </c>
      <c r="L166" s="28">
        <v>308.42869999999999</v>
      </c>
      <c r="M166" s="29">
        <f t="shared" ref="M166" si="654">L166/L165-1</f>
        <v>-1.8112608565820199E-2</v>
      </c>
      <c r="N166" s="28">
        <v>289.47089999999997</v>
      </c>
      <c r="O166" s="29">
        <f t="shared" ref="O166:Q166" si="655">N166/N165-1</f>
        <v>-1.3771787358043075E-2</v>
      </c>
      <c r="P166" s="28">
        <v>257.30509999999998</v>
      </c>
      <c r="Q166" s="29">
        <f t="shared" si="655"/>
        <v>-1.0474989510781407E-2</v>
      </c>
      <c r="R166" s="28">
        <v>217.60429999999999</v>
      </c>
      <c r="S166" s="29">
        <f t="shared" ref="S166" si="656">R166/R165-1</f>
        <v>-7.8789089072112128E-3</v>
      </c>
    </row>
    <row r="167" spans="1:19">
      <c r="A167" s="27">
        <v>45199</v>
      </c>
      <c r="B167" s="28">
        <v>306.71260000000001</v>
      </c>
      <c r="C167" s="29">
        <f t="shared" si="520"/>
        <v>-3.8782754709755229E-2</v>
      </c>
      <c r="D167" s="28">
        <v>306.71260000000001</v>
      </c>
      <c r="E167" s="29">
        <f t="shared" si="520"/>
        <v>-3.8782754709755229E-2</v>
      </c>
      <c r="F167" s="28">
        <v>290.79489999999998</v>
      </c>
      <c r="G167" s="29">
        <f t="shared" ref="G167:I167" si="657">F167/F166-1</f>
        <v>-3.1654916785131326E-2</v>
      </c>
      <c r="H167" s="28">
        <v>253.9342</v>
      </c>
      <c r="I167" s="29">
        <f t="shared" si="657"/>
        <v>-2.6975846654573532E-2</v>
      </c>
      <c r="J167" s="29"/>
      <c r="K167" s="27">
        <v>45199</v>
      </c>
      <c r="L167" s="28">
        <v>296.04329999999999</v>
      </c>
      <c r="M167" s="29">
        <f t="shared" ref="M167" si="658">L167/L166-1</f>
        <v>-4.0156444585085604E-2</v>
      </c>
      <c r="N167" s="28">
        <v>280.08510000000001</v>
      </c>
      <c r="O167" s="29">
        <f t="shared" ref="O167:Q167" si="659">N167/N166-1</f>
        <v>-3.2423984587051646E-2</v>
      </c>
      <c r="P167" s="28">
        <v>250.39</v>
      </c>
      <c r="Q167" s="29">
        <f t="shared" si="659"/>
        <v>-2.687509886123518E-2</v>
      </c>
      <c r="R167" s="28">
        <v>212.76769999999999</v>
      </c>
      <c r="S167" s="29">
        <f t="shared" ref="S167" si="660">R167/R166-1</f>
        <v>-2.2226582838666298E-2</v>
      </c>
    </row>
    <row r="168" spans="1:19">
      <c r="A168" s="27">
        <v>45230</v>
      </c>
      <c r="B168" s="28">
        <v>305.41800000000001</v>
      </c>
      <c r="C168" s="29">
        <f t="shared" si="520"/>
        <v>-4.2208895232865862E-3</v>
      </c>
      <c r="D168" s="28">
        <v>305.41800000000001</v>
      </c>
      <c r="E168" s="29">
        <f t="shared" si="520"/>
        <v>-4.2208895232865862E-3</v>
      </c>
      <c r="F168" s="28">
        <v>289.79759999999999</v>
      </c>
      <c r="G168" s="29">
        <f t="shared" ref="G168:I168" si="661">F168/F167-1</f>
        <v>-3.4295649614212165E-3</v>
      </c>
      <c r="H168" s="28">
        <v>252.77289999999999</v>
      </c>
      <c r="I168" s="29">
        <f t="shared" si="661"/>
        <v>-4.5732319632408869E-3</v>
      </c>
      <c r="J168" s="29"/>
      <c r="K168" s="27">
        <v>45230</v>
      </c>
      <c r="L168" s="28">
        <v>293.74579999999997</v>
      </c>
      <c r="M168" s="29">
        <f t="shared" ref="M168" si="662">L168/L167-1</f>
        <v>-7.7606890613637347E-3</v>
      </c>
      <c r="N168" s="28">
        <v>278.46859999999998</v>
      </c>
      <c r="O168" s="29">
        <f t="shared" ref="O168:Q168" si="663">N168/N167-1</f>
        <v>-5.7714601740685989E-3</v>
      </c>
      <c r="P168" s="28">
        <v>249.0883</v>
      </c>
      <c r="Q168" s="29">
        <f t="shared" si="663"/>
        <v>-5.1986900435320171E-3</v>
      </c>
      <c r="R168" s="28">
        <v>211.67519999999999</v>
      </c>
      <c r="S168" s="29">
        <f t="shared" ref="S168" si="664">R168/R167-1</f>
        <v>-5.1347079467418677E-3</v>
      </c>
    </row>
    <row r="169" spans="1:19">
      <c r="A169" s="27">
        <v>45260</v>
      </c>
      <c r="B169" s="28">
        <v>327.61329999999998</v>
      </c>
      <c r="C169" s="29">
        <f t="shared" si="520"/>
        <v>7.2671879195070233E-2</v>
      </c>
      <c r="D169" s="28">
        <v>327.61329999999998</v>
      </c>
      <c r="E169" s="29">
        <f t="shared" si="520"/>
        <v>7.2671879195070233E-2</v>
      </c>
      <c r="F169" s="28">
        <v>307.30489999999998</v>
      </c>
      <c r="G169" s="29">
        <f t="shared" ref="G169:I169" si="665">F169/F168-1</f>
        <v>6.0412163523783535E-2</v>
      </c>
      <c r="H169" s="28">
        <v>265.88659999999999</v>
      </c>
      <c r="I169" s="29">
        <f t="shared" si="665"/>
        <v>5.1879374727274996E-2</v>
      </c>
      <c r="J169" s="29"/>
      <c r="K169" s="27">
        <v>45260</v>
      </c>
      <c r="L169" s="28">
        <v>315.73779999999999</v>
      </c>
      <c r="M169" s="29">
        <f t="shared" ref="M169" si="666">L169/L168-1</f>
        <v>7.4867453424015018E-2</v>
      </c>
      <c r="N169" s="28">
        <v>295.8374</v>
      </c>
      <c r="O169" s="29">
        <f t="shared" ref="O169:Q169" si="667">N169/N168-1</f>
        <v>6.2372561933374149E-2</v>
      </c>
      <c r="P169" s="28">
        <v>262.55650000000003</v>
      </c>
      <c r="Q169" s="29">
        <f t="shared" si="667"/>
        <v>5.4069982411859563E-2</v>
      </c>
      <c r="R169" s="28">
        <v>221.79810000000001</v>
      </c>
      <c r="S169" s="29">
        <f t="shared" ref="S169" si="668">R169/R168-1</f>
        <v>4.7822796435293302E-2</v>
      </c>
    </row>
    <row r="170" spans="1:19">
      <c r="A170" s="27">
        <v>45291</v>
      </c>
      <c r="B170" s="28">
        <v>338.6739</v>
      </c>
      <c r="C170" s="29">
        <f t="shared" si="520"/>
        <v>3.3761144617755257E-2</v>
      </c>
      <c r="D170" s="28">
        <v>338.6739</v>
      </c>
      <c r="E170" s="29">
        <f t="shared" si="520"/>
        <v>3.3761144617755257E-2</v>
      </c>
      <c r="F170" s="28">
        <v>316.529</v>
      </c>
      <c r="G170" s="29">
        <f t="shared" ref="G170:I170" si="669">F170/F169-1</f>
        <v>3.0016117543195664E-2</v>
      </c>
      <c r="H170" s="28">
        <v>273.56169999999997</v>
      </c>
      <c r="I170" s="29">
        <f t="shared" si="669"/>
        <v>2.8866065457980872E-2</v>
      </c>
      <c r="J170" s="29"/>
      <c r="K170" s="27">
        <v>45291</v>
      </c>
      <c r="L170" s="28">
        <v>327.79790000000003</v>
      </c>
      <c r="M170" s="29">
        <f t="shared" ref="M170" si="670">L170/L169-1</f>
        <v>3.8196566898230255E-2</v>
      </c>
      <c r="N170" s="28">
        <v>305.52809999999999</v>
      </c>
      <c r="O170" s="29">
        <f t="shared" ref="O170:Q170" si="671">N170/N169-1</f>
        <v>3.275684548336355E-2</v>
      </c>
      <c r="P170" s="28">
        <v>269.99970000000002</v>
      </c>
      <c r="Q170" s="29">
        <f t="shared" si="671"/>
        <v>2.8348945845941609E-2</v>
      </c>
      <c r="R170" s="28">
        <v>227.21899999999999</v>
      </c>
      <c r="S170" s="29">
        <f t="shared" ref="S170" si="672">R170/R169-1</f>
        <v>2.4440696290906061E-2</v>
      </c>
    </row>
    <row r="171" spans="1:19">
      <c r="A171" s="27">
        <v>45322</v>
      </c>
      <c r="B171" s="28">
        <v>341.02010000000001</v>
      </c>
      <c r="C171" s="29">
        <f t="shared" si="520"/>
        <v>6.9276079438067573E-3</v>
      </c>
      <c r="D171" s="28">
        <v>341.02010000000001</v>
      </c>
      <c r="E171" s="29">
        <f t="shared" si="520"/>
        <v>6.9276079438067573E-3</v>
      </c>
      <c r="F171" s="28">
        <v>318.39859999999999</v>
      </c>
      <c r="G171" s="29">
        <f t="shared" ref="G171:I171" si="673">F171/F170-1</f>
        <v>5.9065678026342106E-3</v>
      </c>
      <c r="H171" s="28">
        <v>274.76330000000002</v>
      </c>
      <c r="I171" s="29">
        <f t="shared" si="673"/>
        <v>4.3924277411642176E-3</v>
      </c>
      <c r="J171" s="29"/>
      <c r="K171" s="27">
        <v>45322</v>
      </c>
      <c r="L171" s="28">
        <v>330.80770000000001</v>
      </c>
      <c r="M171" s="29">
        <f t="shared" ref="M171" si="674">L171/L170-1</f>
        <v>9.1818770040930087E-3</v>
      </c>
      <c r="N171" s="28">
        <v>307.8886</v>
      </c>
      <c r="O171" s="29">
        <f t="shared" ref="O171:Q171" si="675">N171/N170-1</f>
        <v>7.7259669405203013E-3</v>
      </c>
      <c r="P171" s="28">
        <v>271.56810000000002</v>
      </c>
      <c r="Q171" s="29">
        <f t="shared" si="675"/>
        <v>5.8088953432169355E-3</v>
      </c>
      <c r="R171" s="28">
        <v>228.04740000000001</v>
      </c>
      <c r="S171" s="29">
        <f t="shared" ref="S171" si="676">R171/R170-1</f>
        <v>3.6458218722907887E-3</v>
      </c>
    </row>
    <row r="172" spans="1:19">
      <c r="A172" s="27">
        <v>45351</v>
      </c>
      <c r="B172" s="28">
        <v>357.6585</v>
      </c>
      <c r="C172" s="29">
        <f t="shared" si="520"/>
        <v>4.8790085980269238E-2</v>
      </c>
      <c r="D172" s="28">
        <v>357.6585</v>
      </c>
      <c r="E172" s="29">
        <f t="shared" si="520"/>
        <v>4.8790085980269238E-2</v>
      </c>
      <c r="F172" s="28">
        <v>329.98110000000003</v>
      </c>
      <c r="G172" s="29">
        <f t="shared" ref="G172:I172" si="677">F172/F171-1</f>
        <v>3.6377358443159036E-2</v>
      </c>
      <c r="H172" s="28">
        <v>281.06549999999999</v>
      </c>
      <c r="I172" s="29">
        <f t="shared" si="677"/>
        <v>2.2936833267033663E-2</v>
      </c>
      <c r="J172" s="29"/>
      <c r="K172" s="27">
        <v>45351</v>
      </c>
      <c r="L172" s="28">
        <v>347.03550000000001</v>
      </c>
      <c r="M172" s="29">
        <f t="shared" ref="M172" si="678">L172/L171-1</f>
        <v>4.9055085477151872E-2</v>
      </c>
      <c r="N172" s="28">
        <v>319.40809999999999</v>
      </c>
      <c r="O172" s="29">
        <f t="shared" ref="O172:Q172" si="679">N172/N171-1</f>
        <v>3.7414506415632154E-2</v>
      </c>
      <c r="P172" s="28">
        <v>278.73050000000001</v>
      </c>
      <c r="Q172" s="29">
        <f t="shared" si="679"/>
        <v>2.6374231730457165E-2</v>
      </c>
      <c r="R172" s="28">
        <v>231.61859999999999</v>
      </c>
      <c r="S172" s="29">
        <f t="shared" ref="S172" si="680">R172/R171-1</f>
        <v>1.5659902283472471E-2</v>
      </c>
    </row>
    <row r="173" spans="1:19">
      <c r="A173" s="27">
        <v>45382</v>
      </c>
      <c r="B173" s="28">
        <v>368.5865</v>
      </c>
      <c r="C173" s="29">
        <f t="shared" si="520"/>
        <v>3.0554285722274255E-2</v>
      </c>
      <c r="D173" s="28">
        <v>368.5865</v>
      </c>
      <c r="E173" s="29">
        <f t="shared" si="520"/>
        <v>3.0554285722274255E-2</v>
      </c>
      <c r="F173" s="28">
        <v>338.37119999999999</v>
      </c>
      <c r="G173" s="29">
        <f t="shared" ref="G173:I173" si="681">F173/F172-1</f>
        <v>2.5426001671004617E-2</v>
      </c>
      <c r="H173" s="28">
        <v>286.9282</v>
      </c>
      <c r="I173" s="29">
        <f t="shared" si="681"/>
        <v>2.0858838953909276E-2</v>
      </c>
      <c r="J173" s="29"/>
      <c r="K173" s="27">
        <v>45382</v>
      </c>
      <c r="L173" s="28">
        <v>357.28429999999997</v>
      </c>
      <c r="M173" s="29">
        <f t="shared" ref="M173" si="682">L173/L172-1</f>
        <v>2.953242535705991E-2</v>
      </c>
      <c r="N173" s="28">
        <v>327.13479999999998</v>
      </c>
      <c r="O173" s="29">
        <f t="shared" ref="O173:Q173" si="683">N173/N172-1</f>
        <v>2.4190682703412847E-2</v>
      </c>
      <c r="P173" s="28">
        <v>283.90600000000001</v>
      </c>
      <c r="Q173" s="29">
        <f t="shared" si="683"/>
        <v>1.8568115078902325E-2</v>
      </c>
      <c r="R173" s="28">
        <v>234.58369999999999</v>
      </c>
      <c r="S173" s="29">
        <f t="shared" ref="S173" si="684">R173/R172-1</f>
        <v>1.2801648917660335E-2</v>
      </c>
    </row>
    <row r="174" spans="1:19">
      <c r="A174" s="27">
        <v>45412</v>
      </c>
      <c r="B174" s="28">
        <v>351.58760000000001</v>
      </c>
      <c r="C174" s="29">
        <f t="shared" si="520"/>
        <v>-4.6119160631222234E-2</v>
      </c>
      <c r="D174" s="28">
        <v>351.58760000000001</v>
      </c>
      <c r="E174" s="29">
        <f t="shared" si="520"/>
        <v>-4.6119160631222234E-2</v>
      </c>
      <c r="F174" s="28">
        <v>325.25400000000002</v>
      </c>
      <c r="G174" s="29">
        <f t="shared" ref="G174:I174" si="685">F174/F173-1</f>
        <v>-3.8765710556926791E-2</v>
      </c>
      <c r="H174" s="28">
        <v>277.33730000000003</v>
      </c>
      <c r="I174" s="29">
        <f t="shared" si="685"/>
        <v>-3.3426132391308983E-2</v>
      </c>
      <c r="J174" s="29"/>
      <c r="K174" s="27">
        <v>45412</v>
      </c>
      <c r="L174" s="28">
        <v>340.95089999999999</v>
      </c>
      <c r="M174" s="29">
        <f t="shared" ref="M174" si="686">L174/L173-1</f>
        <v>-4.571541486709596E-2</v>
      </c>
      <c r="N174" s="28">
        <v>314.81729999999999</v>
      </c>
      <c r="O174" s="29">
        <f t="shared" ref="O174:Q174" si="687">N174/N173-1</f>
        <v>-3.7652674065859038E-2</v>
      </c>
      <c r="P174" s="28">
        <v>275.39429999999999</v>
      </c>
      <c r="Q174" s="29">
        <f t="shared" si="687"/>
        <v>-2.998069783660795E-2</v>
      </c>
      <c r="R174" s="28">
        <v>229.30260000000001</v>
      </c>
      <c r="S174" s="29">
        <f t="shared" ref="S174" si="688">R174/R173-1</f>
        <v>-2.2512646871884034E-2</v>
      </c>
    </row>
    <row r="175" spans="1:19">
      <c r="A175" s="27">
        <v>45443</v>
      </c>
      <c r="B175" s="28">
        <v>370.98750000000001</v>
      </c>
      <c r="C175" s="29">
        <f t="shared" si="520"/>
        <v>5.5177998313933774E-2</v>
      </c>
      <c r="D175" s="28">
        <v>370.98750000000001</v>
      </c>
      <c r="E175" s="29">
        <f t="shared" si="520"/>
        <v>5.5177998313933774E-2</v>
      </c>
      <c r="F175" s="28">
        <v>340.2022</v>
      </c>
      <c r="G175" s="29">
        <f t="shared" ref="G175:I175" si="689">F175/F174-1</f>
        <v>4.5958543169338339E-2</v>
      </c>
      <c r="H175" s="28">
        <v>287.80810000000002</v>
      </c>
      <c r="I175" s="29">
        <f t="shared" si="689"/>
        <v>3.7754748459727594E-2</v>
      </c>
      <c r="J175" s="29"/>
      <c r="K175" s="27">
        <v>45443</v>
      </c>
      <c r="L175" s="28">
        <v>359.81099999999998</v>
      </c>
      <c r="M175" s="29">
        <f t="shared" ref="M175" si="690">L175/L174-1</f>
        <v>5.531617602417227E-2</v>
      </c>
      <c r="N175" s="28">
        <v>329.08859999999999</v>
      </c>
      <c r="O175" s="29">
        <f t="shared" ref="O175:Q175" si="691">N175/N174-1</f>
        <v>4.533200684968719E-2</v>
      </c>
      <c r="P175" s="28">
        <v>285.0127</v>
      </c>
      <c r="Q175" s="29">
        <f t="shared" si="691"/>
        <v>3.492592257719207E-2</v>
      </c>
      <c r="R175" s="28">
        <v>234.88650000000001</v>
      </c>
      <c r="S175" s="29">
        <f t="shared" ref="S175" si="692">R175/R174-1</f>
        <v>2.4351664569001841E-2</v>
      </c>
    </row>
    <row r="176" spans="1:19">
      <c r="A176" s="27">
        <v>45473</v>
      </c>
      <c r="B176" s="28">
        <v>384.39839999999998</v>
      </c>
      <c r="C176" s="29">
        <f t="shared" si="520"/>
        <v>3.6149196401495942E-2</v>
      </c>
      <c r="D176" s="28">
        <v>384.39839999999998</v>
      </c>
      <c r="E176" s="29">
        <f t="shared" si="520"/>
        <v>3.6149196401495942E-2</v>
      </c>
      <c r="F176" s="28">
        <v>350.45839999999998</v>
      </c>
      <c r="G176" s="29">
        <f t="shared" ref="G176:I176" si="693">F176/F175-1</f>
        <v>3.0147365302164442E-2</v>
      </c>
      <c r="H176" s="28">
        <v>294.86219999999997</v>
      </c>
      <c r="I176" s="29">
        <f t="shared" si="693"/>
        <v>2.4509734090180091E-2</v>
      </c>
      <c r="J176" s="29"/>
      <c r="K176" s="27">
        <v>45473</v>
      </c>
      <c r="L176" s="28">
        <v>371.12</v>
      </c>
      <c r="M176" s="29">
        <f t="shared" ref="M176" si="694">L176/L175-1</f>
        <v>3.1430389843556839E-2</v>
      </c>
      <c r="N176" s="28">
        <v>337.84059999999999</v>
      </c>
      <c r="O176" s="29">
        <f t="shared" ref="O176:Q176" si="695">N176/N175-1</f>
        <v>2.6594661741549341E-2</v>
      </c>
      <c r="P176" s="28">
        <v>291.43310000000002</v>
      </c>
      <c r="Q176" s="29">
        <f t="shared" si="695"/>
        <v>2.2526715476187675E-2</v>
      </c>
      <c r="R176" s="28">
        <v>239.31180000000001</v>
      </c>
      <c r="S176" s="29">
        <f t="shared" ref="S176" si="696">R176/R175-1</f>
        <v>1.8840163227771711E-2</v>
      </c>
    </row>
    <row r="177" spans="1:19">
      <c r="A177" s="27">
        <v>45504</v>
      </c>
      <c r="B177" s="28">
        <v>378.2971</v>
      </c>
      <c r="C177" s="29">
        <f t="shared" si="520"/>
        <v>-1.587233453625192E-2</v>
      </c>
      <c r="D177" s="28">
        <v>378.2971</v>
      </c>
      <c r="E177" s="29">
        <f t="shared" si="520"/>
        <v>-1.587233453625192E-2</v>
      </c>
      <c r="F177" s="28">
        <v>347.10550000000001</v>
      </c>
      <c r="G177" s="29">
        <f t="shared" ref="G177:I177" si="697">F177/F176-1</f>
        <v>-9.5671840081447135E-3</v>
      </c>
      <c r="H177" s="28">
        <v>294.23559999999998</v>
      </c>
      <c r="I177" s="29">
        <f t="shared" si="697"/>
        <v>-2.1250604519670313E-3</v>
      </c>
      <c r="J177" s="29"/>
      <c r="K177" s="27">
        <v>45504</v>
      </c>
      <c r="L177" s="28">
        <v>367.858</v>
      </c>
      <c r="M177" s="29">
        <f t="shared" ref="M177" si="698">L177/L176-1</f>
        <v>-8.7896098297046699E-3</v>
      </c>
      <c r="N177" s="28">
        <v>336.26549999999997</v>
      </c>
      <c r="O177" s="29">
        <f t="shared" ref="O177:Q177" si="699">N177/N176-1</f>
        <v>-4.6622578813796389E-3</v>
      </c>
      <c r="P177" s="28">
        <v>291.16320000000002</v>
      </c>
      <c r="Q177" s="29">
        <f t="shared" si="699"/>
        <v>-9.2611305990986104E-4</v>
      </c>
      <c r="R177" s="28">
        <v>239.9264</v>
      </c>
      <c r="S177" s="29">
        <f t="shared" ref="S177" si="700">R177/R176-1</f>
        <v>2.5681976400662165E-3</v>
      </c>
    </row>
    <row r="178" spans="1:19">
      <c r="A178" s="27">
        <v>45535</v>
      </c>
      <c r="B178" s="28">
        <v>388.25360000000001</v>
      </c>
      <c r="C178" s="29">
        <f t="shared" si="520"/>
        <v>2.6319260708052017E-2</v>
      </c>
      <c r="D178" s="28">
        <v>388.25360000000001</v>
      </c>
      <c r="E178" s="29">
        <f t="shared" si="520"/>
        <v>2.6319260708052017E-2</v>
      </c>
      <c r="F178" s="28">
        <v>355.24799999999999</v>
      </c>
      <c r="G178" s="29">
        <f t="shared" ref="G178:I178" si="701">F178/F177-1</f>
        <v>2.3458285737333329E-2</v>
      </c>
      <c r="H178" s="28">
        <v>300.41919999999999</v>
      </c>
      <c r="I178" s="29">
        <f t="shared" si="701"/>
        <v>2.1015811818828167E-2</v>
      </c>
      <c r="J178" s="29"/>
      <c r="K178" s="27">
        <v>45535</v>
      </c>
      <c r="L178" s="28">
        <v>378.78530000000001</v>
      </c>
      <c r="M178" s="29">
        <f t="shared" ref="M178" si="702">L178/L177-1</f>
        <v>2.9705212337369336E-2</v>
      </c>
      <c r="N178" s="28">
        <v>344.93860000000001</v>
      </c>
      <c r="O178" s="29">
        <f t="shared" ref="O178:Q178" si="703">N178/N177-1</f>
        <v>2.5792417003825951E-2</v>
      </c>
      <c r="P178" s="28">
        <v>297.47309999999999</v>
      </c>
      <c r="Q178" s="29">
        <f t="shared" si="703"/>
        <v>2.1671351324617838E-2</v>
      </c>
      <c r="R178" s="28">
        <v>244.09440000000001</v>
      </c>
      <c r="S178" s="29">
        <f t="shared" ref="S178" si="704">R178/R177-1</f>
        <v>1.7371994078184017E-2</v>
      </c>
    </row>
    <row r="179" spans="1:19">
      <c r="A179" s="27">
        <v>45565</v>
      </c>
      <c r="B179" s="28">
        <v>396.4581</v>
      </c>
      <c r="C179" s="29">
        <f t="shared" si="520"/>
        <v>2.1131806633602368E-2</v>
      </c>
      <c r="D179" s="28">
        <v>396.4581</v>
      </c>
      <c r="E179" s="29">
        <f t="shared" si="520"/>
        <v>2.1131806633602368E-2</v>
      </c>
      <c r="F179" s="28">
        <v>361.8537</v>
      </c>
      <c r="G179" s="29">
        <f t="shared" ref="G179:I179" si="705">F179/F178-1</f>
        <v>1.8594615592487429E-2</v>
      </c>
      <c r="H179" s="28">
        <v>305.44970000000001</v>
      </c>
      <c r="I179" s="29">
        <f t="shared" si="705"/>
        <v>1.674493507738517E-2</v>
      </c>
      <c r="J179" s="29"/>
      <c r="K179" s="27">
        <v>45565</v>
      </c>
      <c r="L179" s="28">
        <v>385.54140000000001</v>
      </c>
      <c r="M179" s="29">
        <f t="shared" ref="M179" si="706">L179/L178-1</f>
        <v>1.7836225429022745E-2</v>
      </c>
      <c r="N179" s="28">
        <v>350.49149999999997</v>
      </c>
      <c r="O179" s="29">
        <f t="shared" ref="O179:Q179" si="707">N179/N178-1</f>
        <v>1.6098227336691195E-2</v>
      </c>
      <c r="P179" s="28">
        <v>301.74970000000002</v>
      </c>
      <c r="Q179" s="29">
        <f t="shared" si="707"/>
        <v>1.4376425969272688E-2</v>
      </c>
      <c r="R179" s="28">
        <v>247.17619999999999</v>
      </c>
      <c r="S179" s="29">
        <f t="shared" ref="S179" si="708">R179/R178-1</f>
        <v>1.2625443271127912E-2</v>
      </c>
    </row>
    <row r="180" spans="1:19">
      <c r="A180" s="27">
        <v>45596</v>
      </c>
      <c r="B180" s="28">
        <v>394.26369999999997</v>
      </c>
      <c r="C180" s="29">
        <f t="shared" si="520"/>
        <v>-5.5350111398910773E-3</v>
      </c>
      <c r="D180" s="28">
        <v>394.26369999999997</v>
      </c>
      <c r="E180" s="29">
        <f t="shared" si="520"/>
        <v>-5.5350111398910773E-3</v>
      </c>
      <c r="F180" s="28">
        <v>358.47120000000001</v>
      </c>
      <c r="G180" s="29">
        <f t="shared" ref="G180:I180" si="709">F180/F179-1</f>
        <v>-9.347700465685449E-3</v>
      </c>
      <c r="H180" s="28">
        <v>301.41149999999999</v>
      </c>
      <c r="I180" s="29">
        <f t="shared" si="709"/>
        <v>-1.3220507337214693E-2</v>
      </c>
      <c r="J180" s="29"/>
      <c r="K180" s="27">
        <v>45596</v>
      </c>
      <c r="L180" s="28">
        <v>380.70240000000001</v>
      </c>
      <c r="M180" s="29">
        <f t="shared" ref="M180" si="710">L180/L179-1</f>
        <v>-1.2551181273917633E-2</v>
      </c>
      <c r="N180" s="28">
        <v>346.1789</v>
      </c>
      <c r="O180" s="29">
        <f t="shared" ref="O180:Q180" si="711">N180/N179-1</f>
        <v>-1.230443534293979E-2</v>
      </c>
      <c r="P180" s="28">
        <v>298.13170000000002</v>
      </c>
      <c r="Q180" s="29">
        <f t="shared" si="711"/>
        <v>-1.1990069915562396E-2</v>
      </c>
      <c r="R180" s="28">
        <v>244.292</v>
      </c>
      <c r="S180" s="29">
        <f t="shared" ref="S180" si="712">R180/R179-1</f>
        <v>-1.1668599161246074E-2</v>
      </c>
    </row>
    <row r="181" spans="1:19">
      <c r="A181" s="27">
        <v>45626</v>
      </c>
      <c r="B181" s="28">
        <v>419.58589999999998</v>
      </c>
      <c r="C181" s="29">
        <f t="shared" si="520"/>
        <v>6.4226556997258433E-2</v>
      </c>
      <c r="D181" s="28">
        <v>419.58589999999998</v>
      </c>
      <c r="E181" s="29">
        <f t="shared" si="520"/>
        <v>6.4226556997258433E-2</v>
      </c>
      <c r="F181" s="28">
        <v>377.66899999999998</v>
      </c>
      <c r="G181" s="29">
        <f t="shared" ref="G181:I181" si="713">F181/F180-1</f>
        <v>5.3554650973355766E-2</v>
      </c>
      <c r="H181" s="28">
        <v>314.34429999999998</v>
      </c>
      <c r="I181" s="29">
        <f t="shared" si="713"/>
        <v>4.2907453763376679E-2</v>
      </c>
      <c r="J181" s="29"/>
      <c r="K181" s="27">
        <v>45626</v>
      </c>
      <c r="L181" s="28">
        <v>401.70179999999999</v>
      </c>
      <c r="M181" s="29">
        <f t="shared" ref="M181" si="714">L181/L180-1</f>
        <v>5.5159620743131521E-2</v>
      </c>
      <c r="N181" s="28">
        <v>362.70420000000001</v>
      </c>
      <c r="O181" s="29">
        <f t="shared" ref="O181:Q181" si="715">N181/N180-1</f>
        <v>4.7736300508205431E-2</v>
      </c>
      <c r="P181" s="28">
        <v>310.2851</v>
      </c>
      <c r="Q181" s="29">
        <f t="shared" si="715"/>
        <v>4.0765205444439401E-2</v>
      </c>
      <c r="R181" s="28">
        <v>252.60059999999999</v>
      </c>
      <c r="S181" s="29">
        <f t="shared" ref="S181" si="716">R181/R180-1</f>
        <v>3.4010937730257096E-2</v>
      </c>
    </row>
    <row r="182" spans="1:19">
      <c r="A182" s="27">
        <v>45657</v>
      </c>
      <c r="B182" s="28">
        <v>415.56060000000002</v>
      </c>
      <c r="C182" s="29">
        <f t="shared" si="520"/>
        <v>-9.5935063594843051E-3</v>
      </c>
      <c r="D182" s="28">
        <v>415.56060000000002</v>
      </c>
      <c r="E182" s="29">
        <f t="shared" si="520"/>
        <v>-9.5935063594843051E-3</v>
      </c>
      <c r="F182" s="28">
        <v>373.5444</v>
      </c>
      <c r="G182" s="29">
        <f t="shared" ref="G182:I182" si="717">F182/F181-1</f>
        <v>-1.0921203487710085E-2</v>
      </c>
      <c r="H182" s="28">
        <v>310.47239999999999</v>
      </c>
      <c r="I182" s="29">
        <f t="shared" si="717"/>
        <v>-1.2317385745502563E-2</v>
      </c>
      <c r="J182" s="29"/>
      <c r="K182" s="27">
        <v>45657</v>
      </c>
      <c r="L182" s="28">
        <v>394.59980000000002</v>
      </c>
      <c r="M182" s="29">
        <f t="shared" ref="M182" si="718">L182/L181-1</f>
        <v>-1.7679781370160574E-2</v>
      </c>
      <c r="N182" s="28">
        <v>356.61509999999998</v>
      </c>
      <c r="O182" s="29">
        <f t="shared" ref="O182:Q182" si="719">N182/N181-1</f>
        <v>-1.6788060353312817E-2</v>
      </c>
      <c r="P182" s="28">
        <v>305.27699999999999</v>
      </c>
      <c r="Q182" s="29">
        <f t="shared" si="719"/>
        <v>-1.6140317404864102E-2</v>
      </c>
      <c r="R182" s="28">
        <v>248.6481</v>
      </c>
      <c r="S182" s="29">
        <f t="shared" ref="S182" si="720">R182/R181-1</f>
        <v>-1.5647231241730952E-2</v>
      </c>
    </row>
    <row r="183" spans="1:19">
      <c r="A183" s="27">
        <v>45688</v>
      </c>
      <c r="B183" s="28">
        <v>426.6438</v>
      </c>
      <c r="C183" s="29">
        <f t="shared" si="520"/>
        <v>2.6670478385101948E-2</v>
      </c>
      <c r="D183" s="28">
        <v>426.6438</v>
      </c>
      <c r="E183" s="29">
        <f t="shared" si="520"/>
        <v>2.6670478385101948E-2</v>
      </c>
      <c r="F183" s="28">
        <v>381.94420000000002</v>
      </c>
      <c r="G183" s="29">
        <f t="shared" ref="G183:I183" si="721">F183/F182-1</f>
        <v>2.24867512402811E-2</v>
      </c>
      <c r="H183" s="28">
        <v>316.13639999999998</v>
      </c>
      <c r="I183" s="29">
        <f t="shared" si="721"/>
        <v>1.8243167508609437E-2</v>
      </c>
      <c r="J183" s="29"/>
      <c r="K183" s="27">
        <v>45688</v>
      </c>
      <c r="L183" s="28">
        <v>405.9348</v>
      </c>
      <c r="M183" s="29">
        <f t="shared" ref="M183" si="722">L183/L182-1</f>
        <v>2.8725305993566153E-2</v>
      </c>
      <c r="N183" s="28">
        <v>364.86739999999998</v>
      </c>
      <c r="O183" s="29">
        <f t="shared" ref="O183:Q183" si="723">N183/N182-1</f>
        <v>2.3140635379713226E-2</v>
      </c>
      <c r="P183" s="28">
        <v>310.69080000000002</v>
      </c>
      <c r="Q183" s="29">
        <f t="shared" si="723"/>
        <v>1.773405792116689E-2</v>
      </c>
      <c r="R183" s="28">
        <v>251.7302</v>
      </c>
      <c r="S183" s="29">
        <f t="shared" ref="S183" si="724">R183/R182-1</f>
        <v>1.2395429524697743E-2</v>
      </c>
    </row>
    <row r="184" spans="1:19">
      <c r="A184" s="27">
        <v>45716</v>
      </c>
      <c r="B184" s="28">
        <v>418.60759999999999</v>
      </c>
      <c r="C184" s="29">
        <f t="shared" si="520"/>
        <v>-1.883585323400927E-2</v>
      </c>
      <c r="D184" s="28">
        <v>418.60759999999999</v>
      </c>
      <c r="E184" s="29">
        <f t="shared" si="520"/>
        <v>-1.883585323400927E-2</v>
      </c>
      <c r="F184" s="28">
        <v>377.85649999999998</v>
      </c>
      <c r="G184" s="29">
        <f t="shared" ref="G184:I184" si="725">F184/F183-1</f>
        <v>-1.0702348667685047E-2</v>
      </c>
      <c r="H184" s="28">
        <v>315.35840000000002</v>
      </c>
      <c r="I184" s="29">
        <f t="shared" si="725"/>
        <v>-2.4609630526568615E-3</v>
      </c>
      <c r="J184" s="29"/>
      <c r="K184" s="27">
        <v>45716</v>
      </c>
      <c r="L184" s="28">
        <v>398.85649999999998</v>
      </c>
      <c r="M184" s="29">
        <f t="shared" ref="M184" si="726">L184/L183-1</f>
        <v>-1.743703668667973E-2</v>
      </c>
      <c r="N184" s="28">
        <v>360.72050000000002</v>
      </c>
      <c r="O184" s="29">
        <f t="shared" ref="O184:Q184" si="727">N184/N183-1</f>
        <v>-1.1365498808608154E-2</v>
      </c>
      <c r="P184" s="28">
        <v>308.98410000000001</v>
      </c>
      <c r="Q184" s="29">
        <f t="shared" si="727"/>
        <v>-5.4932427995937338E-3</v>
      </c>
      <c r="R184" s="28">
        <v>251.79689999999999</v>
      </c>
      <c r="S184" s="29">
        <f t="shared" ref="S184" si="728">R184/R183-1</f>
        <v>2.6496622177241136E-4</v>
      </c>
    </row>
    <row r="185" spans="1:19">
      <c r="A185" s="27">
        <v>45747</v>
      </c>
      <c r="B185" s="28">
        <v>391.46010000000001</v>
      </c>
      <c r="C185" s="29">
        <f t="shared" si="520"/>
        <v>-6.485190426547438E-2</v>
      </c>
      <c r="D185" s="28">
        <v>391.46010000000001</v>
      </c>
      <c r="E185" s="29">
        <f t="shared" si="520"/>
        <v>-6.485190426547438E-2</v>
      </c>
      <c r="F185" s="28">
        <v>358.26960000000003</v>
      </c>
      <c r="G185" s="29">
        <f t="shared" ref="G185:I185" si="729">F185/F184-1</f>
        <v>-5.1836874580693859E-2</v>
      </c>
      <c r="H185" s="28">
        <v>303.0951</v>
      </c>
      <c r="I185" s="29">
        <f t="shared" si="729"/>
        <v>-3.8886866498561656E-2</v>
      </c>
      <c r="J185" s="29"/>
      <c r="K185" s="27">
        <v>45747</v>
      </c>
      <c r="L185" s="28">
        <v>374.78750000000002</v>
      </c>
      <c r="M185" s="29">
        <f t="shared" ref="M185" si="730">L185/L184-1</f>
        <v>-6.034501130105685E-2</v>
      </c>
      <c r="N185" s="28">
        <v>342.03460000000001</v>
      </c>
      <c r="O185" s="29">
        <f t="shared" ref="O185:Q185" si="731">N185/N184-1</f>
        <v>-5.1801602625855758E-2</v>
      </c>
      <c r="P185" s="28">
        <v>295.57220000000001</v>
      </c>
      <c r="Q185" s="29">
        <f t="shared" si="731"/>
        <v>-4.340644065503696E-2</v>
      </c>
      <c r="R185" s="28">
        <v>242.95079999999999</v>
      </c>
      <c r="S185" s="29">
        <f t="shared" ref="S185" si="732">R185/R184-1</f>
        <v>-3.5131886055785433E-2</v>
      </c>
    </row>
    <row r="186" spans="1:19">
      <c r="A186" s="27">
        <v>45777</v>
      </c>
      <c r="B186" s="28">
        <v>393.07799999999997</v>
      </c>
      <c r="C186" s="29">
        <f t="shared" si="520"/>
        <v>4.132988266237092E-3</v>
      </c>
      <c r="D186" s="28">
        <v>393.07799999999997</v>
      </c>
      <c r="E186" s="29">
        <f t="shared" si="520"/>
        <v>4.132988266237092E-3</v>
      </c>
      <c r="F186" s="28">
        <v>360.27870000000001</v>
      </c>
      <c r="G186" s="29">
        <f t="shared" ref="G186:I186" si="733">F186/F185-1</f>
        <v>5.6077881014744424E-3</v>
      </c>
      <c r="H186" s="28">
        <v>305.03129999999999</v>
      </c>
      <c r="I186" s="29">
        <f t="shared" si="733"/>
        <v>6.3880940338527648E-3</v>
      </c>
      <c r="J186" s="29"/>
      <c r="K186" s="27">
        <v>45777</v>
      </c>
      <c r="L186" s="28">
        <v>376.19389999999999</v>
      </c>
      <c r="M186" s="29">
        <f t="shared" ref="M186" si="734">L186/L185-1</f>
        <v>3.7525264316444762E-3</v>
      </c>
      <c r="N186" s="28">
        <v>343.2192</v>
      </c>
      <c r="O186" s="29">
        <f t="shared" ref="O186:Q186" si="735">N186/N185-1</f>
        <v>3.4633923000773059E-3</v>
      </c>
      <c r="P186" s="28">
        <v>296.25349999999997</v>
      </c>
      <c r="Q186" s="29">
        <f t="shared" si="735"/>
        <v>2.3050205668868617E-3</v>
      </c>
      <c r="R186" s="28">
        <v>242.9819</v>
      </c>
      <c r="S186" s="29">
        <f t="shared" ref="S186" si="736">R186/R185-1</f>
        <v>1.2800945705881972E-4</v>
      </c>
    </row>
    <row r="187" spans="1:19">
      <c r="A187" s="27">
        <v>45808</v>
      </c>
      <c r="B187" s="28">
        <v>419.84039999999999</v>
      </c>
      <c r="C187" s="29">
        <f t="shared" si="520"/>
        <v>6.8084197029597116E-2</v>
      </c>
      <c r="D187" s="28">
        <v>419.84039999999999</v>
      </c>
      <c r="E187" s="29">
        <f t="shared" si="520"/>
        <v>6.8084197029597116E-2</v>
      </c>
      <c r="F187" s="28">
        <v>379.42899999999997</v>
      </c>
      <c r="G187" s="29">
        <f t="shared" ref="G187:I187" si="737">F187/F186-1</f>
        <v>5.3154127623975533E-2</v>
      </c>
      <c r="H187" s="28">
        <v>316.68470000000002</v>
      </c>
      <c r="I187" s="29">
        <f t="shared" si="737"/>
        <v>3.820394825055673E-2</v>
      </c>
      <c r="J187" s="29"/>
      <c r="K187" s="27">
        <v>45808</v>
      </c>
      <c r="L187" s="28">
        <v>399.75639999999999</v>
      </c>
      <c r="M187" s="29">
        <f t="shared" ref="M187" si="738">L187/L186-1</f>
        <v>6.2633923622897658E-2</v>
      </c>
      <c r="N187" s="28">
        <v>359.96030000000002</v>
      </c>
      <c r="O187" s="29">
        <f t="shared" ref="O187:Q187" si="739">N187/N186-1</f>
        <v>4.8776700137987739E-2</v>
      </c>
      <c r="P187" s="28">
        <v>306.63979999999998</v>
      </c>
      <c r="Q187" s="29">
        <f t="shared" si="739"/>
        <v>3.5058826309225077E-2</v>
      </c>
      <c r="R187" s="28">
        <v>248.19560000000001</v>
      </c>
      <c r="S187" s="29">
        <f t="shared" ref="S187" si="740">R187/R186-1</f>
        <v>2.1457153804460338E-2</v>
      </c>
    </row>
    <row r="188" spans="1:19">
      <c r="A188" s="27">
        <v>45838</v>
      </c>
      <c r="B188" s="28">
        <v>439.13159999999999</v>
      </c>
      <c r="C188" s="29">
        <f t="shared" si="520"/>
        <v>4.5948889149305394E-2</v>
      </c>
      <c r="D188" s="28">
        <v>439.13159999999999</v>
      </c>
      <c r="E188" s="29">
        <f t="shared" si="520"/>
        <v>4.5948889149305394E-2</v>
      </c>
      <c r="F188" s="28">
        <v>394.51940000000002</v>
      </c>
      <c r="G188" s="29">
        <f t="shared" ref="G188:I188" si="741">F188/F187-1</f>
        <v>3.9771340619720874E-2</v>
      </c>
      <c r="H188" s="28">
        <v>327.29230000000001</v>
      </c>
      <c r="I188" s="29">
        <f t="shared" si="741"/>
        <v>3.349577671418924E-2</v>
      </c>
      <c r="J188" s="29"/>
      <c r="K188" s="27">
        <v>45838</v>
      </c>
      <c r="L188" s="28">
        <v>417.69470000000001</v>
      </c>
      <c r="M188" s="29">
        <f t="shared" ref="M188" si="742">L188/L187-1</f>
        <v>4.4873077704322029E-2</v>
      </c>
      <c r="N188" s="28">
        <v>373.47140000000002</v>
      </c>
      <c r="O188" s="29">
        <f t="shared" ref="O188:Q188" si="743">N188/N187-1</f>
        <v>3.7534972606701356E-2</v>
      </c>
      <c r="P188" s="28">
        <v>315.84980000000002</v>
      </c>
      <c r="Q188" s="29">
        <f t="shared" si="743"/>
        <v>3.003524004385616E-2</v>
      </c>
      <c r="R188" s="28">
        <v>253.77099999999999</v>
      </c>
      <c r="S188" s="29">
        <f t="shared" ref="S188" si="744">R188/R187-1</f>
        <v>2.2463734248310496E-2</v>
      </c>
    </row>
    <row r="189" spans="1:19">
      <c r="A189" s="27">
        <v>45869</v>
      </c>
      <c r="B189" s="28">
        <v>446.06830000000002</v>
      </c>
      <c r="C189" s="29">
        <f t="shared" si="520"/>
        <v>1.5796403629344979E-2</v>
      </c>
      <c r="D189" s="28">
        <v>446.06830000000002</v>
      </c>
      <c r="E189" s="29">
        <f t="shared" si="520"/>
        <v>1.5796403629344979E-2</v>
      </c>
      <c r="F189" s="28">
        <v>399.3322</v>
      </c>
      <c r="G189" s="29">
        <f t="shared" ref="G189:I189" si="745">F189/F188-1</f>
        <v>1.2199146607239086E-2</v>
      </c>
      <c r="H189" s="28">
        <v>330.0797</v>
      </c>
      <c r="I189" s="29">
        <f t="shared" si="745"/>
        <v>8.5165462187775098E-3</v>
      </c>
      <c r="J189" s="29"/>
      <c r="K189" s="27">
        <v>45869</v>
      </c>
      <c r="L189" s="28">
        <v>422.161</v>
      </c>
      <c r="M189" s="29">
        <f t="shared" ref="M189" si="746">L189/L188-1</f>
        <v>1.0692738021334636E-2</v>
      </c>
      <c r="N189" s="28">
        <v>376.39510000000001</v>
      </c>
      <c r="O189" s="29">
        <f t="shared" ref="O189:Q189" si="747">N189/N188-1</f>
        <v>7.8284441593117204E-3</v>
      </c>
      <c r="P189" s="28">
        <v>317.34350000000001</v>
      </c>
      <c r="Q189" s="29">
        <f t="shared" si="747"/>
        <v>4.7291465753658279E-3</v>
      </c>
      <c r="R189" s="28">
        <v>254.15360000000001</v>
      </c>
      <c r="S189" s="29">
        <f t="shared" ref="S189" si="748">R189/R188-1</f>
        <v>1.5076584794952996E-3</v>
      </c>
    </row>
    <row r="190" spans="1:19">
      <c r="A190" s="27">
        <v>45900</v>
      </c>
      <c r="B190" s="28">
        <v>453.81959999999998</v>
      </c>
      <c r="C190" s="29">
        <f t="shared" si="520"/>
        <v>1.7376935325823295E-2</v>
      </c>
      <c r="D190" s="28">
        <v>453.81959999999998</v>
      </c>
      <c r="E190" s="29">
        <f t="shared" si="520"/>
        <v>1.7376935325823295E-2</v>
      </c>
      <c r="F190" s="28">
        <v>405.90960000000001</v>
      </c>
      <c r="G190" s="29">
        <f t="shared" ref="G190:I190" si="749">F190/F189-1</f>
        <v>1.6470998331714837E-2</v>
      </c>
      <c r="H190" s="28">
        <v>335.17090000000002</v>
      </c>
      <c r="I190" s="29">
        <f t="shared" si="749"/>
        <v>1.5424153621079961E-2</v>
      </c>
      <c r="J190" s="29"/>
      <c r="K190" s="27">
        <v>45900</v>
      </c>
      <c r="L190" s="28">
        <v>430.53730000000002</v>
      </c>
      <c r="M190" s="29">
        <f t="shared" ref="M190" si="750">L190/L189-1</f>
        <v>1.9841482278088352E-2</v>
      </c>
      <c r="N190" s="28">
        <v>383.04340000000002</v>
      </c>
      <c r="O190" s="29">
        <f t="shared" ref="O190:Q190" si="751">N190/N189-1</f>
        <v>1.7663088600250232E-2</v>
      </c>
      <c r="P190" s="28">
        <v>322.26440000000002</v>
      </c>
      <c r="Q190" s="29">
        <f t="shared" si="751"/>
        <v>1.5506541019431719E-2</v>
      </c>
      <c r="R190" s="28">
        <v>257.54430000000002</v>
      </c>
      <c r="S190" s="29">
        <f t="shared" ref="S190" si="752">R190/R189-1</f>
        <v>1.3341144882464739E-2</v>
      </c>
    </row>
    <row r="191" spans="1:19">
      <c r="A191" s="27">
        <v>45930</v>
      </c>
      <c r="B191" s="28">
        <v>470.88889999999998</v>
      </c>
      <c r="C191" s="29">
        <f t="shared" si="520"/>
        <v>3.7612522685225525E-2</v>
      </c>
      <c r="D191" s="28">
        <v>470.88889999999998</v>
      </c>
      <c r="E191" s="29">
        <f t="shared" si="520"/>
        <v>3.7612522685225525E-2</v>
      </c>
      <c r="F191" s="28">
        <v>419.00209999999998</v>
      </c>
      <c r="G191" s="29">
        <f t="shared" ref="G191:I191" si="753">F191/F190-1</f>
        <v>3.2254718784675118E-2</v>
      </c>
      <c r="H191" s="28">
        <v>344.21300000000002</v>
      </c>
      <c r="I191" s="29">
        <f t="shared" si="753"/>
        <v>2.6977580690925151E-2</v>
      </c>
      <c r="J191" s="29"/>
      <c r="K191" s="27">
        <v>45930</v>
      </c>
      <c r="L191" s="28">
        <v>446.84070000000003</v>
      </c>
      <c r="M191" s="29">
        <f t="shared" ref="M191" si="754">L191/L190-1</f>
        <v>3.7867566875158021E-2</v>
      </c>
      <c r="N191" s="28">
        <v>396.52210000000002</v>
      </c>
      <c r="O191" s="29">
        <f t="shared" ref="O191:Q191" si="755">N191/N190-1</f>
        <v>3.5188440787649711E-2</v>
      </c>
      <c r="P191" s="28">
        <v>333.02330000000001</v>
      </c>
      <c r="Q191" s="29">
        <f t="shared" si="755"/>
        <v>3.3385319631954236E-2</v>
      </c>
      <c r="R191" s="28">
        <v>265.78840000000002</v>
      </c>
      <c r="S191" s="29">
        <f t="shared" ref="S191" si="756">R191/R190-1</f>
        <v>3.2010415295543382E-2</v>
      </c>
    </row>
    <row r="192" spans="1:19">
      <c r="A192" s="27">
        <v>45961</v>
      </c>
      <c r="B192" s="28">
        <v>482.48750000000001</v>
      </c>
      <c r="C192" s="29">
        <f t="shared" si="520"/>
        <v>2.4631287762357568E-2</v>
      </c>
      <c r="D192" s="28">
        <v>482.48750000000001</v>
      </c>
      <c r="E192" s="29">
        <f t="shared" si="520"/>
        <v>2.4631287762357568E-2</v>
      </c>
      <c r="F192" s="28">
        <v>428.22059999999999</v>
      </c>
      <c r="G192" s="29">
        <f t="shared" ref="G192:I192" si="757">F192/F191-1</f>
        <v>2.2001083049464354E-2</v>
      </c>
      <c r="H192" s="28">
        <v>350.55270000000002</v>
      </c>
      <c r="I192" s="29">
        <f t="shared" si="757"/>
        <v>1.8417956323555362E-2</v>
      </c>
      <c r="J192" s="29"/>
      <c r="K192" s="27">
        <v>45961</v>
      </c>
      <c r="L192" s="28">
        <v>457.90449999999998</v>
      </c>
      <c r="M192" s="29">
        <f t="shared" ref="M192" si="758">L192/L191-1</f>
        <v>2.4760054310182467E-2</v>
      </c>
      <c r="N192" s="28">
        <v>405.59129999999999</v>
      </c>
      <c r="O192" s="29">
        <f t="shared" ref="O192:Q192" si="759">N192/N191-1</f>
        <v>2.2871865149508563E-2</v>
      </c>
      <c r="P192" s="28">
        <v>339.94479999999999</v>
      </c>
      <c r="Q192" s="29">
        <f t="shared" si="759"/>
        <v>2.0783831041251366E-2</v>
      </c>
      <c r="R192" s="28">
        <v>270.77</v>
      </c>
      <c r="S192" s="29">
        <f t="shared" ref="S192" si="760">R192/R191-1</f>
        <v>1.8742729178549355E-2</v>
      </c>
    </row>
    <row r="193" spans="1:19">
      <c r="A193" s="27">
        <v>45991</v>
      </c>
      <c r="B193" s="28">
        <v>478.47370000000001</v>
      </c>
      <c r="C193" s="29">
        <f t="shared" si="520"/>
        <v>-8.3189719940931495E-3</v>
      </c>
      <c r="D193" s="28">
        <v>478.47370000000001</v>
      </c>
      <c r="E193" s="29">
        <f t="shared" si="520"/>
        <v>-8.3189719940931495E-3</v>
      </c>
      <c r="F193" s="28">
        <v>425.32580000000002</v>
      </c>
      <c r="G193" s="29">
        <f t="shared" ref="G193:I193" si="761">F193/F192-1</f>
        <v>-6.7600671242812327E-3</v>
      </c>
      <c r="H193" s="28">
        <v>349.23219999999998</v>
      </c>
      <c r="I193" s="29">
        <f t="shared" si="761"/>
        <v>-3.7669086559596332E-3</v>
      </c>
      <c r="J193" s="29"/>
      <c r="K193" s="27">
        <v>45991</v>
      </c>
      <c r="L193" s="28">
        <v>456.66809999999998</v>
      </c>
      <c r="M193" s="29">
        <f t="shared" ref="M193" si="762">L193/L192-1</f>
        <v>-2.7001263363867212E-3</v>
      </c>
      <c r="N193" s="28">
        <v>404.5034</v>
      </c>
      <c r="O193" s="29">
        <f t="shared" ref="O193:Q193" si="763">N193/N192-1</f>
        <v>-2.6822567446589396E-3</v>
      </c>
      <c r="P193" s="28">
        <v>339.40940000000001</v>
      </c>
      <c r="Q193" s="29">
        <f t="shared" si="763"/>
        <v>-1.5749615819979912E-3</v>
      </c>
      <c r="R193" s="28">
        <v>270.62329999999997</v>
      </c>
      <c r="S193" s="29">
        <f t="shared" ref="S193" si="764">R193/R192-1</f>
        <v>-5.4178823355621741E-4</v>
      </c>
    </row>
    <row r="194" spans="1:19">
      <c r="A194" s="27">
        <v>46022</v>
      </c>
      <c r="B194" s="28">
        <v>480.98160000000001</v>
      </c>
      <c r="C194" s="29">
        <f t="shared" si="520"/>
        <v>5.2414584124478303E-3</v>
      </c>
      <c r="D194" s="28">
        <v>480.98160000000001</v>
      </c>
      <c r="E194" s="29">
        <f t="shared" si="520"/>
        <v>5.2414584124478303E-3</v>
      </c>
      <c r="F194" s="28">
        <v>427.28739999999999</v>
      </c>
      <c r="G194" s="29">
        <f t="shared" ref="G194:I194" si="765">F194/F193-1</f>
        <v>4.6119939114908082E-3</v>
      </c>
      <c r="H194" s="28">
        <v>350.29860000000002</v>
      </c>
      <c r="I194" s="29">
        <f t="shared" si="765"/>
        <v>3.0535557717761286E-3</v>
      </c>
      <c r="J194" s="29"/>
      <c r="K194" s="27">
        <v>46022</v>
      </c>
      <c r="L194" s="28">
        <v>459.10430000000002</v>
      </c>
      <c r="M194" s="29">
        <f t="shared" ref="M194" si="766">L194/L193-1</f>
        <v>5.3347277815114502E-3</v>
      </c>
      <c r="N194" s="28">
        <v>406.51209999999998</v>
      </c>
      <c r="O194" s="29">
        <f t="shared" ref="O194:Q194" si="767">N194/N193-1</f>
        <v>4.9658420670877224E-3</v>
      </c>
      <c r="P194" s="28">
        <v>340.8091</v>
      </c>
      <c r="Q194" s="29">
        <f t="shared" si="767"/>
        <v>4.1239282117702114E-3</v>
      </c>
      <c r="R194" s="28">
        <v>271.47660000000002</v>
      </c>
      <c r="S194" s="29">
        <f t="shared" ref="S194" si="768">R194/R193-1</f>
        <v>3.1530914004820332E-3</v>
      </c>
    </row>
    <row r="195" spans="1:19">
      <c r="A195" s="27">
        <v>46053</v>
      </c>
      <c r="B195" s="28">
        <v>488.06420000000003</v>
      </c>
      <c r="C195" s="29">
        <f t="shared" si="520"/>
        <v>1.472530342117051E-2</v>
      </c>
      <c r="D195" s="28">
        <v>488.06420000000003</v>
      </c>
      <c r="E195" s="29">
        <f t="shared" si="520"/>
        <v>1.472530342117051E-2</v>
      </c>
      <c r="F195" s="28">
        <v>433.101</v>
      </c>
      <c r="G195" s="29">
        <f t="shared" ref="G195:I195" si="769">F195/F194-1</f>
        <v>1.3605830642326566E-2</v>
      </c>
      <c r="H195" s="28">
        <v>354.22430000000003</v>
      </c>
      <c r="I195" s="29">
        <f t="shared" si="769"/>
        <v>1.1206724777090171E-2</v>
      </c>
      <c r="J195" s="29"/>
      <c r="K195" s="27">
        <v>46053</v>
      </c>
      <c r="L195" s="28">
        <v>469.64890000000003</v>
      </c>
      <c r="M195" s="29">
        <f t="shared" ref="M195" si="770">L195/L194-1</f>
        <v>2.2967765712497146E-2</v>
      </c>
      <c r="N195" s="28">
        <v>414.87049999999999</v>
      </c>
      <c r="O195" s="29">
        <f t="shared" ref="O195:Q195" si="771">N195/N194-1</f>
        <v>2.0561257586182657E-2</v>
      </c>
      <c r="P195" s="28">
        <v>346.73110000000003</v>
      </c>
      <c r="Q195" s="29">
        <f t="shared" si="771"/>
        <v>1.7376296583629935E-2</v>
      </c>
      <c r="R195" s="28">
        <v>275.32049999999998</v>
      </c>
      <c r="S195" s="29">
        <f t="shared" ref="S195" si="772">R195/R194-1</f>
        <v>1.4159231403369388E-2</v>
      </c>
    </row>
    <row r="196" spans="1:19">
      <c r="A196" s="27">
        <v>46081</v>
      </c>
      <c r="B196" s="28">
        <v>482.81259999999997</v>
      </c>
      <c r="C196" s="29">
        <f t="shared" si="520"/>
        <v>-1.0760059844586167E-2</v>
      </c>
      <c r="D196" s="28">
        <v>482.81259999999997</v>
      </c>
      <c r="E196" s="29">
        <f t="shared" si="520"/>
        <v>-1.0760059844586167E-2</v>
      </c>
      <c r="F196" s="28">
        <v>429.61180000000002</v>
      </c>
      <c r="G196" s="29">
        <f t="shared" ref="G196:I196" si="773">F196/F195-1</f>
        <v>-8.0563194266464189E-3</v>
      </c>
      <c r="H196" s="28">
        <v>353.30399999999997</v>
      </c>
      <c r="I196" s="29">
        <f t="shared" si="773"/>
        <v>-2.5980713350270968E-3</v>
      </c>
      <c r="J196" s="29"/>
      <c r="K196" s="27">
        <v>46081</v>
      </c>
      <c r="L196" s="28">
        <v>468.46629999999999</v>
      </c>
      <c r="M196" s="29">
        <f t="shared" ref="M196" si="774">L196/L195-1</f>
        <v>-2.5180512506257635E-3</v>
      </c>
      <c r="N196" s="28">
        <v>414.19319999999999</v>
      </c>
      <c r="O196" s="29">
        <f t="shared" ref="O196:Q196" si="775">N196/N195-1</f>
        <v>-1.6325576294289323E-3</v>
      </c>
      <c r="P196" s="28">
        <v>347.37889999999999</v>
      </c>
      <c r="Q196" s="29">
        <f t="shared" si="775"/>
        <v>1.8683065926303755E-3</v>
      </c>
      <c r="R196" s="28">
        <v>276.8152</v>
      </c>
      <c r="S196" s="29">
        <f t="shared" ref="S196" si="776">R196/R195-1</f>
        <v>5.428945538018537E-3</v>
      </c>
    </row>
    <row r="197" spans="1:19">
      <c r="A197" s="27">
        <v>46112</v>
      </c>
      <c r="B197" s="28">
        <v>457.32229999999998</v>
      </c>
      <c r="C197" s="29">
        <f t="shared" ref="C197:E199" si="777">B197/B196-1</f>
        <v>-5.2795432430719491E-2</v>
      </c>
      <c r="D197" s="28">
        <v>457.32229999999998</v>
      </c>
      <c r="E197" s="29">
        <f t="shared" si="777"/>
        <v>-5.2795432430719491E-2</v>
      </c>
      <c r="F197" s="28">
        <v>408.38299999999998</v>
      </c>
      <c r="G197" s="29">
        <f t="shared" ref="G197:I197" si="778">F197/F196-1</f>
        <v>-4.9413912746344546E-2</v>
      </c>
      <c r="H197" s="28">
        <v>338.32150000000001</v>
      </c>
      <c r="I197" s="29">
        <f t="shared" si="778"/>
        <v>-4.2406822453184723E-2</v>
      </c>
      <c r="J197" s="29"/>
      <c r="K197" s="27">
        <v>46112</v>
      </c>
      <c r="L197" s="28">
        <v>440.99169999999998</v>
      </c>
      <c r="M197" s="29">
        <f t="shared" ref="M197" si="779">L197/L196-1</f>
        <v>-5.864797531860888E-2</v>
      </c>
      <c r="N197" s="28">
        <v>391.65699999999998</v>
      </c>
      <c r="O197" s="29">
        <f t="shared" ref="O197:Q197" si="780">N197/N196-1</f>
        <v>-5.440987442575107E-2</v>
      </c>
      <c r="P197" s="28">
        <v>331.01549999999997</v>
      </c>
      <c r="Q197" s="29">
        <f t="shared" si="780"/>
        <v>-4.7105336564771227E-2</v>
      </c>
      <c r="R197" s="28">
        <v>265.79419999999999</v>
      </c>
      <c r="S197" s="29">
        <f t="shared" ref="S197" si="781">R197/R196-1</f>
        <v>-3.9813565151046726E-2</v>
      </c>
    </row>
    <row r="198" spans="1:19">
      <c r="A198" s="27">
        <v>46142</v>
      </c>
      <c r="B198" s="28">
        <v>493.3818</v>
      </c>
      <c r="C198" s="29">
        <f t="shared" si="777"/>
        <v>7.8849205472814266E-2</v>
      </c>
      <c r="D198" s="28">
        <v>493.3818</v>
      </c>
      <c r="E198" s="29">
        <f t="shared" si="777"/>
        <v>7.8849205472814266E-2</v>
      </c>
      <c r="F198" s="28">
        <v>437.40730000000002</v>
      </c>
      <c r="G198" s="29">
        <f t="shared" ref="G198:I198" si="782">F198/F197-1</f>
        <v>7.1071273779760746E-2</v>
      </c>
      <c r="H198" s="28">
        <v>357.05450000000002</v>
      </c>
      <c r="I198" s="29">
        <f t="shared" si="782"/>
        <v>5.5370409506933393E-2</v>
      </c>
      <c r="J198" s="29"/>
      <c r="K198" s="27">
        <v>46142</v>
      </c>
      <c r="L198" s="28">
        <v>478.8972</v>
      </c>
      <c r="M198" s="29">
        <f t="shared" ref="M198" si="783">L198/L197-1</f>
        <v>8.5955132488888086E-2</v>
      </c>
      <c r="N198" s="28">
        <v>422.09359999999998</v>
      </c>
      <c r="O198" s="29">
        <f t="shared" ref="O198:Q198" si="784">N198/N197-1</f>
        <v>7.7712386092933405E-2</v>
      </c>
      <c r="P198" s="28">
        <v>351.80059999999997</v>
      </c>
      <c r="Q198" s="29">
        <f t="shared" si="784"/>
        <v>6.2791923641037917E-2</v>
      </c>
      <c r="R198" s="28">
        <v>278.5659</v>
      </c>
      <c r="S198" s="29">
        <f t="shared" ref="S198" si="785">R198/R197-1</f>
        <v>4.8051086141082111E-2</v>
      </c>
    </row>
    <row r="199" spans="1:19">
      <c r="A199" s="27">
        <v>46173</v>
      </c>
      <c r="B199" s="28">
        <v>512.33590000000004</v>
      </c>
      <c r="C199" s="29">
        <f t="shared" si="777"/>
        <v>3.8416698791889026E-2</v>
      </c>
      <c r="D199" s="28">
        <v>512.33590000000004</v>
      </c>
      <c r="E199" s="29">
        <f t="shared" si="777"/>
        <v>3.8416698791889026E-2</v>
      </c>
      <c r="F199" s="28">
        <v>452.66950000000003</v>
      </c>
      <c r="G199" s="29">
        <f t="shared" ref="G199:I199" si="786">F199/F198-1</f>
        <v>3.4892421777140026E-2</v>
      </c>
      <c r="H199" s="28">
        <v>366.96589999999998</v>
      </c>
      <c r="I199" s="29">
        <f t="shared" si="786"/>
        <v>2.7758787524033268E-2</v>
      </c>
      <c r="J199" s="29"/>
      <c r="K199" s="27">
        <v>46173</v>
      </c>
      <c r="L199" s="28">
        <v>497.3349</v>
      </c>
      <c r="M199" s="29">
        <f t="shared" ref="M199" si="787">L199/L198-1</f>
        <v>3.8500329507042519E-2</v>
      </c>
      <c r="N199" s="28">
        <v>436.82749999999999</v>
      </c>
      <c r="O199" s="29">
        <f t="shared" ref="O199:Q199" si="788">N199/N198-1</f>
        <v>3.4906712634354076E-2</v>
      </c>
      <c r="P199" s="28">
        <v>361.55279999999999</v>
      </c>
      <c r="Q199" s="29">
        <f t="shared" si="788"/>
        <v>2.7720816849090113E-2</v>
      </c>
      <c r="R199" s="28">
        <v>284.28370000000001</v>
      </c>
      <c r="S199" s="29">
        <f t="shared" ref="S199" si="789">R199/R198-1</f>
        <v>2.0525843256478993E-2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 Data</vt:lpstr>
      <vt:lpstr>Signals and Model Returns</vt:lpstr>
      <vt:lpstr>GIPS Returns</vt:lpstr>
      <vt:lpstr>Bloomberg Model Returns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Gilbert</dc:creator>
  <cp:lastModifiedBy>Matt Gilbert</cp:lastModifiedBy>
  <dcterms:created xsi:type="dcterms:W3CDTF">2026-06-01T19:01:56Z</dcterms:created>
  <dcterms:modified xsi:type="dcterms:W3CDTF">2026-06-02T13:46:37Z</dcterms:modified>
</cp:coreProperties>
</file>